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onewri-my.sharepoint.com/personal/brian_zepka_wri_org/Documents/Documents/"/>
    </mc:Choice>
  </mc:AlternateContent>
  <xr:revisionPtr revIDLastSave="22" documentId="8_{7F8FA64C-6F89-47CC-A028-EEF0281723EE}" xr6:coauthVersionLast="47" xr6:coauthVersionMax="47" xr10:uidLastSave="{D2FA5B1D-2548-4958-9979-C92DE6844FCB}"/>
  <bookViews>
    <workbookView xWindow="28680" yWindow="-120" windowWidth="29040" windowHeight="15720" tabRatio="717" xr2:uid="{E9E3C6FE-4D56-4CE0-BB82-3E43050DB204}"/>
  </bookViews>
  <sheets>
    <sheet name="2024WRISchoolDistrictStudyRaw " sheetId="1" r:id="rId1"/>
    <sheet name="2024WRISchoolDistrictAnalysis" sheetId="3" r:id="rId2"/>
    <sheet name="QsCodebook" sheetId="14" r:id="rId3"/>
  </sheets>
  <externalReferences>
    <externalReference r:id="rId4"/>
  </externalReferences>
  <definedNames>
    <definedName name="_xlnm._FilterDatabase" localSheetId="1" hidden="1">'2024WRISchoolDistrictAnalysis'!$A$1:$JR$260</definedName>
    <definedName name="_xlnm._FilterDatabase" localSheetId="0" hidden="1">'2024WRISchoolDistrictStudyRaw '!$A$1:$IX$314</definedName>
    <definedName name="_xlnm._FilterDatabase" localSheetId="2" hidden="1">QsCodebook!$A$20:$B$23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 l="1"/>
  <c r="E4" i="3"/>
  <c r="E5" i="3"/>
  <c r="E6" i="3"/>
  <c r="E7" i="3"/>
  <c r="E8" i="3"/>
  <c r="E9" i="3"/>
  <c r="E10" i="3"/>
  <c r="E11" i="3"/>
  <c r="E12" i="3"/>
  <c r="E13" i="3"/>
  <c r="E14" i="3"/>
  <c r="E15" i="3"/>
  <c r="E16" i="3"/>
  <c r="E17" i="3"/>
  <c r="E18" i="3"/>
  <c r="E19" i="3"/>
  <c r="E238" i="3"/>
  <c r="E20"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21" i="3"/>
  <c r="E59" i="3"/>
  <c r="E60" i="3"/>
  <c r="E61" i="3"/>
  <c r="E62" i="3"/>
  <c r="E63" i="3"/>
  <c r="E64" i="3"/>
  <c r="E65" i="3"/>
  <c r="E66" i="3"/>
  <c r="E67" i="3"/>
  <c r="E68" i="3"/>
  <c r="E69" i="3"/>
  <c r="E70" i="3"/>
  <c r="E58" i="3"/>
  <c r="E72" i="3"/>
  <c r="E73" i="3"/>
  <c r="E74" i="3"/>
  <c r="E75" i="3"/>
  <c r="E76" i="3"/>
  <c r="E71" i="3"/>
  <c r="E78" i="3"/>
  <c r="E239" i="3"/>
  <c r="E80" i="3"/>
  <c r="E81" i="3"/>
  <c r="E82" i="3"/>
  <c r="E83" i="3"/>
  <c r="E84" i="3"/>
  <c r="E85" i="3"/>
  <c r="E86" i="3"/>
  <c r="E87" i="3"/>
  <c r="E88" i="3"/>
  <c r="E89" i="3"/>
  <c r="E90" i="3"/>
  <c r="E91" i="3"/>
  <c r="E77"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240" i="3"/>
  <c r="E184" i="3"/>
  <c r="E185" i="3"/>
  <c r="E186" i="3"/>
  <c r="E187" i="3"/>
  <c r="E188" i="3"/>
  <c r="E7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92" i="3"/>
  <c r="E183" i="3"/>
  <c r="E246" i="3"/>
  <c r="E247" i="3"/>
  <c r="E189" i="3"/>
  <c r="E241" i="3"/>
  <c r="E242" i="3"/>
  <c r="E243" i="3"/>
  <c r="E244" i="3"/>
  <c r="E245" i="3"/>
  <c r="E236" i="3"/>
  <c r="E249" i="3"/>
  <c r="E248" i="3"/>
  <c r="E250" i="3"/>
  <c r="E237" i="3"/>
  <c r="E251" i="3"/>
  <c r="E252" i="3"/>
  <c r="E253" i="3"/>
  <c r="E254" i="3"/>
  <c r="E255" i="3"/>
  <c r="E256" i="3"/>
  <c r="E257" i="3"/>
  <c r="E258" i="3"/>
  <c r="E259" i="3"/>
  <c r="E260" i="3"/>
  <c r="E2" i="3"/>
  <c r="JM3" i="3" l="1" a="1"/>
  <c r="JM3" i="3" s="1"/>
  <c r="JM4" i="3" a="1"/>
  <c r="JM4" i="3" s="1"/>
  <c r="JM5" i="3" a="1"/>
  <c r="JM5" i="3" s="1"/>
  <c r="JM6" i="3" a="1"/>
  <c r="JM6" i="3" s="1"/>
  <c r="JM7" i="3" a="1"/>
  <c r="JM7" i="3" s="1"/>
  <c r="JM8" i="3" a="1"/>
  <c r="JM8" i="3" s="1"/>
  <c r="JM9" i="3" a="1"/>
  <c r="JM9" i="3" s="1"/>
  <c r="JM10" i="3" a="1"/>
  <c r="JM10" i="3" s="1"/>
  <c r="JM11" i="3" a="1"/>
  <c r="JM11" i="3" s="1"/>
  <c r="JM12" i="3" a="1"/>
  <c r="JM12" i="3" s="1"/>
  <c r="JM13" i="3" a="1"/>
  <c r="JM13" i="3" s="1"/>
  <c r="JM14" i="3" a="1"/>
  <c r="JM14" i="3" s="1"/>
  <c r="JM15" i="3" a="1"/>
  <c r="JM15" i="3" s="1"/>
  <c r="JM16" i="3" a="1"/>
  <c r="JM16" i="3" s="1"/>
  <c r="JM17" i="3" a="1"/>
  <c r="JM17" i="3" s="1"/>
  <c r="JM18" i="3" a="1"/>
  <c r="JM18" i="3" s="1"/>
  <c r="JM19" i="3" a="1"/>
  <c r="JM19" i="3" s="1"/>
  <c r="JM238" i="3" a="1"/>
  <c r="JM238" i="3" s="1"/>
  <c r="JM20" i="3" a="1"/>
  <c r="JM20" i="3" s="1"/>
  <c r="JM22" i="3" a="1"/>
  <c r="JM22" i="3" s="1"/>
  <c r="JM23" i="3" a="1"/>
  <c r="JM23" i="3" s="1"/>
  <c r="JM24" i="3" a="1"/>
  <c r="JM24" i="3" s="1"/>
  <c r="JM25" i="3" a="1"/>
  <c r="JM25" i="3" s="1"/>
  <c r="JM26" i="3" a="1"/>
  <c r="JM26" i="3" s="1"/>
  <c r="JM27" i="3" a="1"/>
  <c r="JM27" i="3" s="1"/>
  <c r="JM28" i="3" a="1"/>
  <c r="JM28" i="3" s="1"/>
  <c r="JM29" i="3" a="1"/>
  <c r="JM29" i="3" s="1"/>
  <c r="JM30" i="3" a="1"/>
  <c r="JM30" i="3" s="1"/>
  <c r="JM31" i="3" a="1"/>
  <c r="JM31" i="3" s="1"/>
  <c r="JM32" i="3" a="1"/>
  <c r="JM32" i="3" s="1"/>
  <c r="JM33" i="3" a="1"/>
  <c r="JM33" i="3" s="1"/>
  <c r="JM34" i="3" a="1"/>
  <c r="JM34" i="3" s="1"/>
  <c r="JM35" i="3" a="1"/>
  <c r="JM35" i="3" s="1"/>
  <c r="JM36" i="3" a="1"/>
  <c r="JM36" i="3" s="1"/>
  <c r="JM37" i="3" a="1"/>
  <c r="JM37" i="3" s="1"/>
  <c r="JM38" i="3" a="1"/>
  <c r="JM38" i="3" s="1"/>
  <c r="JM39" i="3" a="1"/>
  <c r="JM39" i="3" s="1"/>
  <c r="JM40" i="3" a="1"/>
  <c r="JM40" i="3" s="1"/>
  <c r="JM41" i="3" a="1"/>
  <c r="JM41" i="3" s="1"/>
  <c r="JM42" i="3" a="1"/>
  <c r="JM42" i="3" s="1"/>
  <c r="JM43" i="3" a="1"/>
  <c r="JM43" i="3" s="1"/>
  <c r="JM44" i="3" a="1"/>
  <c r="JM44" i="3" s="1"/>
  <c r="JM45" i="3" a="1"/>
  <c r="JM45" i="3" s="1"/>
  <c r="JM46" i="3" a="1"/>
  <c r="JM46" i="3" s="1"/>
  <c r="JM47" i="3" a="1"/>
  <c r="JM47" i="3" s="1"/>
  <c r="JM48" i="3" a="1"/>
  <c r="JM48" i="3" s="1"/>
  <c r="JM49" i="3" a="1"/>
  <c r="JM49" i="3" s="1"/>
  <c r="JM50" i="3" a="1"/>
  <c r="JM50" i="3" s="1"/>
  <c r="JM51" i="3" a="1"/>
  <c r="JM51" i="3" s="1"/>
  <c r="JM52" i="3" a="1"/>
  <c r="JM52" i="3" s="1"/>
  <c r="JM53" i="3" a="1"/>
  <c r="JM53" i="3" s="1"/>
  <c r="JM54" i="3" a="1"/>
  <c r="JM54" i="3" s="1"/>
  <c r="JM55" i="3" a="1"/>
  <c r="JM55" i="3" s="1"/>
  <c r="JM56" i="3" a="1"/>
  <c r="JM56" i="3" s="1"/>
  <c r="JM57" i="3" a="1"/>
  <c r="JM57" i="3" s="1"/>
  <c r="JM21" i="3" a="1"/>
  <c r="JM21" i="3" s="1"/>
  <c r="JM59" i="3" a="1"/>
  <c r="JM59" i="3" s="1"/>
  <c r="JM60" i="3" a="1"/>
  <c r="JM60" i="3" s="1"/>
  <c r="JM61" i="3" a="1"/>
  <c r="JM61" i="3" s="1"/>
  <c r="JM62" i="3" a="1"/>
  <c r="JM62" i="3" s="1"/>
  <c r="JM63" i="3" a="1"/>
  <c r="JM63" i="3" s="1"/>
  <c r="JM64" i="3" a="1"/>
  <c r="JM64" i="3" s="1"/>
  <c r="JM65" i="3" a="1"/>
  <c r="JM65" i="3" s="1"/>
  <c r="JM66" i="3" a="1"/>
  <c r="JM66" i="3" s="1"/>
  <c r="JM67" i="3" a="1"/>
  <c r="JM67" i="3" s="1"/>
  <c r="JM68" i="3" a="1"/>
  <c r="JM68" i="3" s="1"/>
  <c r="JM69" i="3" a="1"/>
  <c r="JM69" i="3" s="1"/>
  <c r="JM70" i="3" a="1"/>
  <c r="JM70" i="3" s="1"/>
  <c r="JM58" i="3" a="1"/>
  <c r="JM58" i="3" s="1"/>
  <c r="JM72" i="3" a="1"/>
  <c r="JM72" i="3" s="1"/>
  <c r="JM73" i="3" a="1"/>
  <c r="JM73" i="3" s="1"/>
  <c r="JM74" i="3" a="1"/>
  <c r="JM74" i="3" s="1"/>
  <c r="JM75" i="3" a="1"/>
  <c r="JM75" i="3" s="1"/>
  <c r="JM76" i="3" a="1"/>
  <c r="JM76" i="3" s="1"/>
  <c r="JM71" i="3" a="1"/>
  <c r="JM71" i="3" s="1"/>
  <c r="JM78" i="3" a="1"/>
  <c r="JM78" i="3" s="1"/>
  <c r="JM239" i="3" a="1"/>
  <c r="JM239" i="3" s="1"/>
  <c r="JM80" i="3" a="1"/>
  <c r="JM80" i="3" s="1"/>
  <c r="JM81" i="3" a="1"/>
  <c r="JM81" i="3" s="1"/>
  <c r="JM82" i="3" a="1"/>
  <c r="JM82" i="3" s="1"/>
  <c r="JM83" i="3" a="1"/>
  <c r="JM83" i="3" s="1"/>
  <c r="JM84" i="3" a="1"/>
  <c r="JM84" i="3" s="1"/>
  <c r="JM85" i="3" a="1"/>
  <c r="JM85" i="3" s="1"/>
  <c r="JM86" i="3" a="1"/>
  <c r="JM86" i="3" s="1"/>
  <c r="JM87" i="3" a="1"/>
  <c r="JM87" i="3" s="1"/>
  <c r="JM88" i="3" a="1"/>
  <c r="JM88" i="3" s="1"/>
  <c r="JM89" i="3" a="1"/>
  <c r="JM89" i="3" s="1"/>
  <c r="JM90" i="3" a="1"/>
  <c r="JM90" i="3" s="1"/>
  <c r="JM91" i="3" a="1"/>
  <c r="JM91" i="3" s="1"/>
  <c r="JM77" i="3" a="1"/>
  <c r="JM77" i="3" s="1"/>
  <c r="JM93" i="3" a="1"/>
  <c r="JM93" i="3" s="1"/>
  <c r="JM94" i="3" a="1"/>
  <c r="JM94" i="3" s="1"/>
  <c r="JM95" i="3" a="1"/>
  <c r="JM95" i="3" s="1"/>
  <c r="JM96" i="3" a="1"/>
  <c r="JM96" i="3" s="1"/>
  <c r="JM97" i="3" a="1"/>
  <c r="JM97" i="3" s="1"/>
  <c r="JM98" i="3" a="1"/>
  <c r="JM98" i="3" s="1"/>
  <c r="JM99" i="3" a="1"/>
  <c r="JM99" i="3" s="1"/>
  <c r="JM100" i="3" a="1"/>
  <c r="JM100" i="3" s="1"/>
  <c r="JM101" i="3" a="1"/>
  <c r="JM101" i="3" s="1"/>
  <c r="JM102" i="3" a="1"/>
  <c r="JM102" i="3" s="1"/>
  <c r="JM103" i="3" a="1"/>
  <c r="JM103" i="3" s="1"/>
  <c r="JM104" i="3" a="1"/>
  <c r="JM104" i="3" s="1"/>
  <c r="JM105" i="3" a="1"/>
  <c r="JM105" i="3" s="1"/>
  <c r="JM106" i="3" a="1"/>
  <c r="JM106" i="3" s="1"/>
  <c r="JM107" i="3" a="1"/>
  <c r="JM107" i="3" s="1"/>
  <c r="JM108" i="3" a="1"/>
  <c r="JM108" i="3" s="1"/>
  <c r="JM109" i="3" a="1"/>
  <c r="JM109" i="3" s="1"/>
  <c r="JM110" i="3" a="1"/>
  <c r="JM110" i="3" s="1"/>
  <c r="JM111" i="3" a="1"/>
  <c r="JM111" i="3" s="1"/>
  <c r="JM112" i="3" a="1"/>
  <c r="JM112" i="3" s="1"/>
  <c r="JM113" i="3" a="1"/>
  <c r="JM113" i="3" s="1"/>
  <c r="JM114" i="3" a="1"/>
  <c r="JM114" i="3" s="1"/>
  <c r="JM115" i="3" a="1"/>
  <c r="JM115" i="3" s="1"/>
  <c r="JM116" i="3" a="1"/>
  <c r="JM116" i="3" s="1"/>
  <c r="JM117" i="3" a="1"/>
  <c r="JM117" i="3" s="1"/>
  <c r="JM118" i="3" a="1"/>
  <c r="JM118" i="3" s="1"/>
  <c r="JM119" i="3" a="1"/>
  <c r="JM119" i="3" s="1"/>
  <c r="JM120" i="3" a="1"/>
  <c r="JM120" i="3" s="1"/>
  <c r="JM121" i="3" a="1"/>
  <c r="JM121" i="3" s="1"/>
  <c r="JM122" i="3" a="1"/>
  <c r="JM122" i="3" s="1"/>
  <c r="JM123" i="3" a="1"/>
  <c r="JM123" i="3" s="1"/>
  <c r="JM124" i="3" a="1"/>
  <c r="JM124" i="3" s="1"/>
  <c r="JM125" i="3" a="1"/>
  <c r="JM125" i="3" s="1"/>
  <c r="JM126" i="3" a="1"/>
  <c r="JM126" i="3" s="1"/>
  <c r="JM127" i="3" a="1"/>
  <c r="JM127" i="3" s="1"/>
  <c r="JM128" i="3" a="1"/>
  <c r="JM128" i="3" s="1"/>
  <c r="JM129" i="3" a="1"/>
  <c r="JM129" i="3" s="1"/>
  <c r="JM130" i="3" a="1"/>
  <c r="JM130" i="3" s="1"/>
  <c r="JM131" i="3" a="1"/>
  <c r="JM131" i="3" s="1"/>
  <c r="JM132" i="3" a="1"/>
  <c r="JM132" i="3" s="1"/>
  <c r="JM133" i="3" a="1"/>
  <c r="JM133" i="3" s="1"/>
  <c r="JM134" i="3" a="1"/>
  <c r="JM134" i="3" s="1"/>
  <c r="JM135" i="3" a="1"/>
  <c r="JM135" i="3" s="1"/>
  <c r="JM136" i="3" a="1"/>
  <c r="JM136" i="3" s="1"/>
  <c r="JM137" i="3" a="1"/>
  <c r="JM137" i="3" s="1"/>
  <c r="JM138" i="3" a="1"/>
  <c r="JM138" i="3" s="1"/>
  <c r="JM139" i="3" a="1"/>
  <c r="JM139" i="3" s="1"/>
  <c r="JM140" i="3" a="1"/>
  <c r="JM140" i="3" s="1"/>
  <c r="JM141" i="3" a="1"/>
  <c r="JM141" i="3" s="1"/>
  <c r="JM142" i="3" a="1"/>
  <c r="JM142" i="3" s="1"/>
  <c r="JM143" i="3" a="1"/>
  <c r="JM143" i="3" s="1"/>
  <c r="JM144" i="3" a="1"/>
  <c r="JM144" i="3" s="1"/>
  <c r="JM145" i="3" a="1"/>
  <c r="JM145" i="3" s="1"/>
  <c r="JM146" i="3" a="1"/>
  <c r="JM146" i="3" s="1"/>
  <c r="JM147" i="3" a="1"/>
  <c r="JM147" i="3" s="1"/>
  <c r="JM148" i="3" a="1"/>
  <c r="JM148" i="3" s="1"/>
  <c r="JM149" i="3" a="1"/>
  <c r="JM149" i="3" s="1"/>
  <c r="JM150" i="3" a="1"/>
  <c r="JM150" i="3" s="1"/>
  <c r="JM151" i="3" a="1"/>
  <c r="JM151" i="3" s="1"/>
  <c r="JM152" i="3" a="1"/>
  <c r="JM152" i="3" s="1"/>
  <c r="JM153" i="3" a="1"/>
  <c r="JM153" i="3" s="1"/>
  <c r="JM154" i="3" a="1"/>
  <c r="JM154" i="3" s="1"/>
  <c r="JM155" i="3" a="1"/>
  <c r="JM155" i="3" s="1"/>
  <c r="JM156" i="3" a="1"/>
  <c r="JM156" i="3" s="1"/>
  <c r="JM157" i="3" a="1"/>
  <c r="JM157" i="3" s="1"/>
  <c r="JM158" i="3" a="1"/>
  <c r="JM158" i="3" s="1"/>
  <c r="JM159" i="3" a="1"/>
  <c r="JM159" i="3" s="1"/>
  <c r="JM160" i="3" a="1"/>
  <c r="JM160" i="3" s="1"/>
  <c r="JM161" i="3" a="1"/>
  <c r="JM161" i="3" s="1"/>
  <c r="JM162" i="3" a="1"/>
  <c r="JM162" i="3" s="1"/>
  <c r="JM163" i="3" a="1"/>
  <c r="JM163" i="3" s="1"/>
  <c r="JM164" i="3" a="1"/>
  <c r="JM164" i="3" s="1"/>
  <c r="JM165" i="3" a="1"/>
  <c r="JM165" i="3" s="1"/>
  <c r="JM166" i="3" a="1"/>
  <c r="JM166" i="3" s="1"/>
  <c r="JM167" i="3" a="1"/>
  <c r="JM167" i="3" s="1"/>
  <c r="JM168" i="3" a="1"/>
  <c r="JM168" i="3" s="1"/>
  <c r="JM169" i="3" a="1"/>
  <c r="JM169" i="3" s="1"/>
  <c r="JM170" i="3" a="1"/>
  <c r="JM170" i="3" s="1"/>
  <c r="JM171" i="3" a="1"/>
  <c r="JM171" i="3" s="1"/>
  <c r="JM172" i="3" a="1"/>
  <c r="JM172" i="3" s="1"/>
  <c r="JM173" i="3" a="1"/>
  <c r="JM173" i="3" s="1"/>
  <c r="JM174" i="3" a="1"/>
  <c r="JM174" i="3" s="1"/>
  <c r="JM175" i="3" a="1"/>
  <c r="JM175" i="3" s="1"/>
  <c r="JM176" i="3" a="1"/>
  <c r="JM176" i="3" s="1"/>
  <c r="JM177" i="3" a="1"/>
  <c r="JM177" i="3" s="1"/>
  <c r="JM178" i="3" a="1"/>
  <c r="JM178" i="3" s="1"/>
  <c r="JM179" i="3" a="1"/>
  <c r="JM179" i="3" s="1"/>
  <c r="JM180" i="3" a="1"/>
  <c r="JM180" i="3" s="1"/>
  <c r="JM181" i="3" a="1"/>
  <c r="JM181" i="3" s="1"/>
  <c r="JM182" i="3" a="1"/>
  <c r="JM182" i="3" s="1"/>
  <c r="JM240" i="3" a="1"/>
  <c r="JM240" i="3" s="1"/>
  <c r="JM184" i="3" a="1"/>
  <c r="JM184" i="3" s="1"/>
  <c r="JM185" i="3" a="1"/>
  <c r="JM185" i="3" s="1"/>
  <c r="JM186" i="3" a="1"/>
  <c r="JM186" i="3" s="1"/>
  <c r="JM187" i="3" a="1"/>
  <c r="JM187" i="3" s="1"/>
  <c r="JM188" i="3" a="1"/>
  <c r="JM188" i="3" s="1"/>
  <c r="JM79" i="3" a="1"/>
  <c r="JM79" i="3" s="1"/>
  <c r="JM190" i="3" a="1"/>
  <c r="JM190" i="3" s="1"/>
  <c r="JM191" i="3" a="1"/>
  <c r="JM191" i="3" s="1"/>
  <c r="JM192" i="3" a="1"/>
  <c r="JM192" i="3" s="1"/>
  <c r="JM193" i="3" a="1"/>
  <c r="JM193" i="3" s="1"/>
  <c r="JM194" i="3" a="1"/>
  <c r="JM194" i="3" s="1"/>
  <c r="JM195" i="3" a="1"/>
  <c r="JM195" i="3" s="1"/>
  <c r="JM196" i="3" a="1"/>
  <c r="JM196" i="3" s="1"/>
  <c r="JM197" i="3" a="1"/>
  <c r="JM197" i="3" s="1"/>
  <c r="JM198" i="3" a="1"/>
  <c r="JM198" i="3" s="1"/>
  <c r="JM199" i="3" a="1"/>
  <c r="JM199" i="3" s="1"/>
  <c r="JM200" i="3" a="1"/>
  <c r="JM200" i="3" s="1"/>
  <c r="JM201" i="3" a="1"/>
  <c r="JM201" i="3" s="1"/>
  <c r="JM202" i="3" a="1"/>
  <c r="JM202" i="3" s="1"/>
  <c r="JM203" i="3" a="1"/>
  <c r="JM203" i="3" s="1"/>
  <c r="JM204" i="3" a="1"/>
  <c r="JM204" i="3" s="1"/>
  <c r="JM205" i="3" a="1"/>
  <c r="JM205" i="3" s="1"/>
  <c r="JM206" i="3" a="1"/>
  <c r="JM206" i="3" s="1"/>
  <c r="JM207" i="3" a="1"/>
  <c r="JM207" i="3" s="1"/>
  <c r="JM208" i="3" a="1"/>
  <c r="JM208" i="3" s="1"/>
  <c r="JM209" i="3" a="1"/>
  <c r="JM209" i="3" s="1"/>
  <c r="JM210" i="3" a="1"/>
  <c r="JM210" i="3" s="1"/>
  <c r="JM211" i="3" a="1"/>
  <c r="JM211" i="3" s="1"/>
  <c r="JM212" i="3" a="1"/>
  <c r="JM212" i="3" s="1"/>
  <c r="JM213" i="3" a="1"/>
  <c r="JM213" i="3" s="1"/>
  <c r="JM214" i="3" a="1"/>
  <c r="JM214" i="3" s="1"/>
  <c r="JM215" i="3" a="1"/>
  <c r="JM215" i="3" s="1"/>
  <c r="JM216" i="3" a="1"/>
  <c r="JM216" i="3" s="1"/>
  <c r="JM217" i="3" a="1"/>
  <c r="JM217" i="3" s="1"/>
  <c r="JM218" i="3" a="1"/>
  <c r="JM218" i="3" s="1"/>
  <c r="JM219" i="3" a="1"/>
  <c r="JM219" i="3" s="1"/>
  <c r="JM220" i="3" a="1"/>
  <c r="JM220" i="3" s="1"/>
  <c r="JM221" i="3" a="1"/>
  <c r="JM221" i="3" s="1"/>
  <c r="JM222" i="3" a="1"/>
  <c r="JM222" i="3" s="1"/>
  <c r="JM223" i="3" a="1"/>
  <c r="JM223" i="3" s="1"/>
  <c r="JM224" i="3" a="1"/>
  <c r="JM224" i="3" s="1"/>
  <c r="JM225" i="3" a="1"/>
  <c r="JM225" i="3" s="1"/>
  <c r="JM226" i="3" a="1"/>
  <c r="JM226" i="3" s="1"/>
  <c r="JM227" i="3" a="1"/>
  <c r="JM227" i="3" s="1"/>
  <c r="JM228" i="3" a="1"/>
  <c r="JM228" i="3" s="1"/>
  <c r="JM229" i="3" a="1"/>
  <c r="JM229" i="3" s="1"/>
  <c r="JM230" i="3" a="1"/>
  <c r="JM230" i="3" s="1"/>
  <c r="JM231" i="3" a="1"/>
  <c r="JM231" i="3" s="1"/>
  <c r="JM232" i="3" a="1"/>
  <c r="JM232" i="3" s="1"/>
  <c r="JM233" i="3" a="1"/>
  <c r="JM233" i="3" s="1"/>
  <c r="JM234" i="3" a="1"/>
  <c r="JM234" i="3" s="1"/>
  <c r="JM235" i="3" a="1"/>
  <c r="JM235" i="3" s="1"/>
  <c r="JM92" i="3" a="1"/>
  <c r="JM92" i="3" s="1"/>
  <c r="JM183" i="3" a="1"/>
  <c r="JM183" i="3" s="1"/>
  <c r="JM246" i="3" a="1"/>
  <c r="JM246" i="3" s="1"/>
  <c r="JM247" i="3" a="1"/>
  <c r="JM247" i="3" s="1"/>
  <c r="JM189" i="3" a="1"/>
  <c r="JM189" i="3" s="1"/>
  <c r="JM241" i="3" a="1"/>
  <c r="JM241" i="3" s="1"/>
  <c r="JM242" i="3" a="1"/>
  <c r="JM242" i="3" s="1"/>
  <c r="JM243" i="3" a="1"/>
  <c r="JM243" i="3" s="1"/>
  <c r="JM244" i="3" a="1"/>
  <c r="JM244" i="3" s="1"/>
  <c r="JM245" i="3" a="1"/>
  <c r="JM245" i="3" s="1"/>
  <c r="JM236" i="3" a="1"/>
  <c r="JM236" i="3" s="1"/>
  <c r="JM249" i="3" a="1"/>
  <c r="JM249" i="3" s="1"/>
  <c r="JM248" i="3" a="1"/>
  <c r="JM248" i="3" s="1"/>
  <c r="JM250" i="3" a="1"/>
  <c r="JM250" i="3" s="1"/>
  <c r="JM237" i="3" a="1"/>
  <c r="JM237" i="3" s="1"/>
  <c r="JM251" i="3" a="1"/>
  <c r="JM251" i="3" s="1"/>
  <c r="JM252" i="3" a="1"/>
  <c r="JM252" i="3" s="1"/>
  <c r="JM253" i="3" a="1"/>
  <c r="JM253" i="3" s="1"/>
  <c r="JM254" i="3" a="1"/>
  <c r="JM254" i="3" s="1"/>
  <c r="JM255" i="3" a="1"/>
  <c r="JM255" i="3" s="1"/>
  <c r="JM256" i="3" a="1"/>
  <c r="JM256" i="3" s="1"/>
  <c r="JM257" i="3" a="1"/>
  <c r="JM257" i="3" s="1"/>
  <c r="JM258" i="3" a="1"/>
  <c r="JM258" i="3" s="1"/>
  <c r="JM259" i="3" a="1"/>
  <c r="JM259" i="3" s="1"/>
  <c r="JM2" i="3" a="1"/>
  <c r="JM2" i="3" s="1"/>
  <c r="M260" i="3" l="1"/>
  <c r="M259" i="3"/>
  <c r="M258" i="3"/>
  <c r="M257" i="3"/>
  <c r="M256" i="3"/>
  <c r="M255" i="3"/>
  <c r="M254" i="3"/>
  <c r="M253" i="3"/>
  <c r="M252" i="3"/>
  <c r="M251" i="3"/>
  <c r="M237" i="3"/>
  <c r="M250" i="3"/>
  <c r="M248" i="3"/>
  <c r="M249" i="3"/>
  <c r="M236" i="3"/>
  <c r="M245" i="3"/>
  <c r="M244" i="3"/>
  <c r="M243" i="3"/>
  <c r="M242" i="3"/>
  <c r="M241" i="3"/>
  <c r="M189" i="3"/>
  <c r="M247" i="3"/>
  <c r="M246" i="3"/>
  <c r="M183" i="3"/>
  <c r="M92"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79" i="3"/>
  <c r="M188" i="3"/>
  <c r="M187" i="3"/>
  <c r="M186" i="3"/>
  <c r="M185" i="3"/>
  <c r="M184" i="3"/>
  <c r="M240"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77" i="3"/>
  <c r="M91" i="3"/>
  <c r="M90" i="3"/>
  <c r="M89" i="3"/>
  <c r="M88" i="3"/>
  <c r="M87" i="3"/>
  <c r="M86" i="3"/>
  <c r="M85" i="3"/>
  <c r="M84" i="3"/>
  <c r="M83" i="3"/>
  <c r="M82" i="3"/>
  <c r="M81" i="3"/>
  <c r="M80" i="3"/>
  <c r="M239" i="3"/>
  <c r="M78" i="3"/>
  <c r="M71" i="3"/>
  <c r="M76" i="3"/>
  <c r="M75" i="3"/>
  <c r="M74" i="3"/>
  <c r="M73" i="3"/>
  <c r="M72" i="3"/>
  <c r="M58" i="3"/>
  <c r="M70" i="3"/>
  <c r="M69" i="3"/>
  <c r="M68" i="3"/>
  <c r="M67" i="3"/>
  <c r="M66" i="3"/>
  <c r="M65" i="3"/>
  <c r="M64" i="3"/>
  <c r="M63" i="3"/>
  <c r="M62" i="3"/>
  <c r="M61" i="3"/>
  <c r="M60" i="3"/>
  <c r="M59" i="3"/>
  <c r="M21" i="3"/>
  <c r="M57" i="3"/>
  <c r="M56" i="3"/>
  <c r="M55" i="3"/>
  <c r="M54" i="3"/>
  <c r="M53" i="3"/>
  <c r="M52" i="3"/>
  <c r="M51" i="3"/>
  <c r="M50" i="3"/>
  <c r="M48" i="3"/>
  <c r="M47" i="3"/>
  <c r="M46" i="3"/>
  <c r="M45" i="3"/>
  <c r="M44" i="3"/>
  <c r="M43" i="3"/>
  <c r="M42" i="3"/>
  <c r="M41" i="3"/>
  <c r="M40" i="3"/>
  <c r="M39" i="3"/>
  <c r="M38" i="3"/>
  <c r="M37" i="3"/>
  <c r="M36" i="3"/>
  <c r="M35" i="3"/>
  <c r="M34" i="3"/>
  <c r="M33" i="3"/>
  <c r="M32" i="3"/>
  <c r="M31" i="3"/>
  <c r="M30" i="3"/>
  <c r="M29" i="3"/>
  <c r="M28" i="3"/>
  <c r="M27" i="3"/>
  <c r="M26" i="3"/>
  <c r="M25" i="3"/>
  <c r="M24" i="3"/>
  <c r="M23" i="3"/>
  <c r="M22" i="3"/>
  <c r="M20" i="3"/>
  <c r="M238" i="3"/>
  <c r="M19" i="3"/>
  <c r="M18" i="3"/>
  <c r="M17" i="3"/>
  <c r="M16" i="3"/>
  <c r="M15" i="3"/>
  <c r="M14" i="3"/>
  <c r="M13" i="3"/>
  <c r="M12" i="3"/>
  <c r="M11" i="3"/>
  <c r="M10" i="3"/>
  <c r="M9" i="3"/>
  <c r="M8" i="3"/>
  <c r="M7" i="3"/>
  <c r="M6" i="3"/>
  <c r="M5" i="3"/>
  <c r="M4" i="3"/>
  <c r="M3" i="3"/>
  <c r="M2" i="3"/>
  <c r="Y260" i="3" l="1"/>
  <c r="X260" i="3"/>
  <c r="Y259" i="3"/>
  <c r="X259" i="3"/>
  <c r="Y258" i="3"/>
  <c r="X258" i="3"/>
  <c r="Y257" i="3"/>
  <c r="X257" i="3"/>
  <c r="Y256" i="3"/>
  <c r="X256" i="3"/>
  <c r="Y255" i="3"/>
  <c r="X255" i="3"/>
  <c r="Y254" i="3"/>
  <c r="X254" i="3"/>
  <c r="Y253" i="3"/>
  <c r="X253" i="3"/>
  <c r="Y252" i="3"/>
  <c r="X252" i="3"/>
  <c r="Y251" i="3"/>
  <c r="X251" i="3"/>
  <c r="Y237" i="3"/>
  <c r="X237" i="3"/>
  <c r="Y250" i="3"/>
  <c r="X250" i="3"/>
  <c r="Y248" i="3"/>
  <c r="X248" i="3"/>
  <c r="Y249" i="3"/>
  <c r="X249" i="3"/>
  <c r="Y236" i="3"/>
  <c r="X236" i="3"/>
  <c r="Y245" i="3"/>
  <c r="X245" i="3"/>
  <c r="Y244" i="3"/>
  <c r="X244" i="3"/>
  <c r="Y243" i="3"/>
  <c r="X243" i="3"/>
  <c r="Y242" i="3"/>
  <c r="X242" i="3"/>
  <c r="Y241" i="3"/>
  <c r="X241" i="3"/>
  <c r="Y189" i="3"/>
  <c r="X189" i="3"/>
  <c r="Y247" i="3"/>
  <c r="X247" i="3"/>
  <c r="Y246" i="3"/>
  <c r="X246" i="3"/>
  <c r="Y183" i="3"/>
  <c r="X183" i="3"/>
  <c r="Y92" i="3"/>
  <c r="X92" i="3"/>
  <c r="Y235" i="3"/>
  <c r="X235" i="3"/>
  <c r="Y234" i="3"/>
  <c r="X234" i="3"/>
  <c r="Y233" i="3"/>
  <c r="X233" i="3"/>
  <c r="Y232" i="3"/>
  <c r="X232" i="3"/>
  <c r="Y231" i="3"/>
  <c r="X231" i="3"/>
  <c r="Y230" i="3"/>
  <c r="X230" i="3"/>
  <c r="Y229" i="3"/>
  <c r="X229" i="3"/>
  <c r="Y228" i="3"/>
  <c r="X228" i="3"/>
  <c r="Y227" i="3"/>
  <c r="X227" i="3"/>
  <c r="Y226" i="3"/>
  <c r="X226" i="3"/>
  <c r="Y225" i="3"/>
  <c r="X225" i="3"/>
  <c r="Y224" i="3"/>
  <c r="X224" i="3"/>
  <c r="Y223" i="3"/>
  <c r="X223" i="3"/>
  <c r="Y222" i="3"/>
  <c r="X222" i="3"/>
  <c r="Y221" i="3"/>
  <c r="X221" i="3"/>
  <c r="Y220" i="3"/>
  <c r="X220" i="3"/>
  <c r="Y219" i="3"/>
  <c r="X219" i="3"/>
  <c r="Y218" i="3"/>
  <c r="X218" i="3"/>
  <c r="Y217" i="3"/>
  <c r="X217" i="3"/>
  <c r="Y216" i="3"/>
  <c r="X216" i="3"/>
  <c r="Y215" i="3"/>
  <c r="X215" i="3"/>
  <c r="Y214" i="3"/>
  <c r="X214" i="3"/>
  <c r="Y213" i="3"/>
  <c r="X213" i="3"/>
  <c r="Y212" i="3"/>
  <c r="X212" i="3"/>
  <c r="Y211" i="3"/>
  <c r="X211" i="3"/>
  <c r="Y210" i="3"/>
  <c r="X210" i="3"/>
  <c r="Y209" i="3"/>
  <c r="X209" i="3"/>
  <c r="Y208" i="3"/>
  <c r="X208" i="3"/>
  <c r="Y207" i="3"/>
  <c r="X207" i="3"/>
  <c r="Y206" i="3"/>
  <c r="X206" i="3"/>
  <c r="Y205" i="3"/>
  <c r="X205" i="3"/>
  <c r="Y204" i="3"/>
  <c r="X204" i="3"/>
  <c r="Y203" i="3"/>
  <c r="X203" i="3"/>
  <c r="Y202" i="3"/>
  <c r="X202" i="3"/>
  <c r="Y201" i="3"/>
  <c r="X201" i="3"/>
  <c r="Y200" i="3"/>
  <c r="X200" i="3"/>
  <c r="Y199" i="3"/>
  <c r="X199" i="3"/>
  <c r="Y198" i="3"/>
  <c r="X198" i="3"/>
  <c r="Y197" i="3"/>
  <c r="X197" i="3"/>
  <c r="Y196" i="3"/>
  <c r="X196" i="3"/>
  <c r="Y195" i="3"/>
  <c r="X195" i="3"/>
  <c r="Y194" i="3"/>
  <c r="X194" i="3"/>
  <c r="Y193" i="3"/>
  <c r="X193" i="3"/>
  <c r="Y192" i="3"/>
  <c r="X192" i="3"/>
  <c r="Y191" i="3"/>
  <c r="X191" i="3"/>
  <c r="Y190" i="3"/>
  <c r="X190" i="3"/>
  <c r="Y79" i="3"/>
  <c r="X79" i="3"/>
  <c r="Y188" i="3"/>
  <c r="X188" i="3"/>
  <c r="Y187" i="3"/>
  <c r="X187" i="3"/>
  <c r="Y186" i="3"/>
  <c r="X186" i="3"/>
  <c r="Y185" i="3"/>
  <c r="X185" i="3"/>
  <c r="Y184" i="3"/>
  <c r="X184" i="3"/>
  <c r="Y240" i="3"/>
  <c r="X240" i="3"/>
  <c r="Y182" i="3"/>
  <c r="X182" i="3"/>
  <c r="Y181" i="3"/>
  <c r="X181" i="3"/>
  <c r="Y180" i="3"/>
  <c r="X180" i="3"/>
  <c r="Y179" i="3"/>
  <c r="X179" i="3"/>
  <c r="Y178" i="3"/>
  <c r="X178" i="3"/>
  <c r="Y177" i="3"/>
  <c r="X177" i="3"/>
  <c r="Y176" i="3"/>
  <c r="X176" i="3"/>
  <c r="Y175" i="3"/>
  <c r="X175" i="3"/>
  <c r="Y174" i="3"/>
  <c r="X174" i="3"/>
  <c r="Y173" i="3"/>
  <c r="X173" i="3"/>
  <c r="Y172" i="3"/>
  <c r="X172" i="3"/>
  <c r="Y171" i="3"/>
  <c r="X171" i="3"/>
  <c r="Y170" i="3"/>
  <c r="X170" i="3"/>
  <c r="Y169" i="3"/>
  <c r="X169" i="3"/>
  <c r="Y168" i="3"/>
  <c r="X168" i="3"/>
  <c r="Y167" i="3"/>
  <c r="X167" i="3"/>
  <c r="Y166" i="3"/>
  <c r="X166" i="3"/>
  <c r="Y165" i="3"/>
  <c r="X165" i="3"/>
  <c r="Y164" i="3"/>
  <c r="X164" i="3"/>
  <c r="Y163" i="3"/>
  <c r="X163" i="3"/>
  <c r="Y162" i="3"/>
  <c r="X162" i="3"/>
  <c r="Y161" i="3"/>
  <c r="X161" i="3"/>
  <c r="Y160" i="3"/>
  <c r="X160" i="3"/>
  <c r="Y159" i="3"/>
  <c r="X159" i="3"/>
  <c r="Y158" i="3"/>
  <c r="X158" i="3"/>
  <c r="Y157" i="3"/>
  <c r="X157" i="3"/>
  <c r="Y156" i="3"/>
  <c r="X156" i="3"/>
  <c r="Y155" i="3"/>
  <c r="X155" i="3"/>
  <c r="Y154" i="3"/>
  <c r="X154" i="3"/>
  <c r="Y153" i="3"/>
  <c r="X153" i="3"/>
  <c r="Y152" i="3"/>
  <c r="X152" i="3"/>
  <c r="Y151" i="3"/>
  <c r="X151" i="3"/>
  <c r="Y150" i="3"/>
  <c r="X150" i="3"/>
  <c r="Y149" i="3"/>
  <c r="X149" i="3"/>
  <c r="Y148" i="3"/>
  <c r="X148" i="3"/>
  <c r="Y147" i="3"/>
  <c r="X147" i="3"/>
  <c r="Y146" i="3"/>
  <c r="X146" i="3"/>
  <c r="Y145" i="3"/>
  <c r="X145" i="3"/>
  <c r="Y144" i="3"/>
  <c r="X144" i="3"/>
  <c r="Y143" i="3"/>
  <c r="X143" i="3"/>
  <c r="Y142" i="3"/>
  <c r="X142" i="3"/>
  <c r="Y141" i="3"/>
  <c r="X141" i="3"/>
  <c r="Y140" i="3"/>
  <c r="X140" i="3"/>
  <c r="Y139" i="3"/>
  <c r="X139" i="3"/>
  <c r="Y138" i="3"/>
  <c r="X138" i="3"/>
  <c r="Y137" i="3"/>
  <c r="X137" i="3"/>
  <c r="Y136" i="3"/>
  <c r="X136" i="3"/>
  <c r="Y135" i="3"/>
  <c r="X135" i="3"/>
  <c r="Y134" i="3"/>
  <c r="X134" i="3"/>
  <c r="Y133" i="3"/>
  <c r="X133" i="3"/>
  <c r="Y132" i="3"/>
  <c r="X132" i="3"/>
  <c r="Y131" i="3"/>
  <c r="X131" i="3"/>
  <c r="Y130" i="3"/>
  <c r="X130" i="3"/>
  <c r="Y129" i="3"/>
  <c r="X129" i="3"/>
  <c r="Y128" i="3"/>
  <c r="X128" i="3"/>
  <c r="Y127" i="3"/>
  <c r="X127" i="3"/>
  <c r="Y126" i="3"/>
  <c r="X126" i="3"/>
  <c r="Y125" i="3"/>
  <c r="X125" i="3"/>
  <c r="Y124" i="3"/>
  <c r="X124" i="3"/>
  <c r="Y123" i="3"/>
  <c r="X123" i="3"/>
  <c r="Y122" i="3"/>
  <c r="X122" i="3"/>
  <c r="Y121" i="3"/>
  <c r="X121" i="3"/>
  <c r="Y120" i="3"/>
  <c r="X120" i="3"/>
  <c r="Y119" i="3"/>
  <c r="X119" i="3"/>
  <c r="Y118" i="3"/>
  <c r="X118" i="3"/>
  <c r="Y117" i="3"/>
  <c r="X117" i="3"/>
  <c r="Y116" i="3"/>
  <c r="X116" i="3"/>
  <c r="Y115" i="3"/>
  <c r="X115" i="3"/>
  <c r="Y114" i="3"/>
  <c r="X114" i="3"/>
  <c r="Y113" i="3"/>
  <c r="X113" i="3"/>
  <c r="Y112" i="3"/>
  <c r="X112" i="3"/>
  <c r="Y111" i="3"/>
  <c r="X111" i="3"/>
  <c r="Y110" i="3"/>
  <c r="X110" i="3"/>
  <c r="Y109" i="3"/>
  <c r="X109" i="3"/>
  <c r="Y108" i="3"/>
  <c r="X108" i="3"/>
  <c r="Y107" i="3"/>
  <c r="X107" i="3"/>
  <c r="Y106" i="3"/>
  <c r="X106" i="3"/>
  <c r="Y105" i="3"/>
  <c r="X105" i="3"/>
  <c r="Y104" i="3"/>
  <c r="X104" i="3"/>
  <c r="Y103" i="3"/>
  <c r="X103" i="3"/>
  <c r="Y102" i="3"/>
  <c r="X102" i="3"/>
  <c r="Y101" i="3"/>
  <c r="X101" i="3"/>
  <c r="Y100" i="3"/>
  <c r="X100" i="3"/>
  <c r="Y99" i="3"/>
  <c r="X99" i="3"/>
  <c r="Y98" i="3"/>
  <c r="X98" i="3"/>
  <c r="Y97" i="3"/>
  <c r="X97" i="3"/>
  <c r="Y96" i="3"/>
  <c r="X96" i="3"/>
  <c r="Y95" i="3"/>
  <c r="X95" i="3"/>
  <c r="Y94" i="3"/>
  <c r="X94" i="3"/>
  <c r="Y93" i="3"/>
  <c r="X93" i="3"/>
  <c r="Y77" i="3"/>
  <c r="X77" i="3"/>
  <c r="Y91" i="3"/>
  <c r="X91" i="3"/>
  <c r="Y90" i="3"/>
  <c r="X90" i="3"/>
  <c r="Y89" i="3"/>
  <c r="X89" i="3"/>
  <c r="Y88" i="3"/>
  <c r="X88" i="3"/>
  <c r="Y87" i="3"/>
  <c r="X87" i="3"/>
  <c r="Y86" i="3"/>
  <c r="X86" i="3"/>
  <c r="Y85" i="3"/>
  <c r="X85" i="3"/>
  <c r="Y84" i="3"/>
  <c r="X84" i="3"/>
  <c r="Y83" i="3"/>
  <c r="X83" i="3"/>
  <c r="Y82" i="3"/>
  <c r="X82" i="3"/>
  <c r="Y81" i="3"/>
  <c r="X81" i="3"/>
  <c r="Y80" i="3"/>
  <c r="X80" i="3"/>
  <c r="Y239" i="3"/>
  <c r="X239" i="3"/>
  <c r="Y78" i="3"/>
  <c r="X78" i="3"/>
  <c r="Y71" i="3"/>
  <c r="X71" i="3"/>
  <c r="Y76" i="3"/>
  <c r="X76" i="3"/>
  <c r="Y75" i="3"/>
  <c r="X75" i="3"/>
  <c r="Y74" i="3"/>
  <c r="X74" i="3"/>
  <c r="Y73" i="3"/>
  <c r="X73" i="3"/>
  <c r="Y72" i="3"/>
  <c r="X72" i="3"/>
  <c r="Y58" i="3"/>
  <c r="X58" i="3"/>
  <c r="Y70" i="3"/>
  <c r="X70" i="3"/>
  <c r="Y69" i="3"/>
  <c r="X69" i="3"/>
  <c r="Y68" i="3"/>
  <c r="X68" i="3"/>
  <c r="Y67" i="3"/>
  <c r="X67" i="3"/>
  <c r="Y66" i="3"/>
  <c r="X66" i="3"/>
  <c r="Y65" i="3"/>
  <c r="X65" i="3"/>
  <c r="Y64" i="3"/>
  <c r="X64" i="3"/>
  <c r="Y63" i="3"/>
  <c r="X63" i="3"/>
  <c r="Y62" i="3"/>
  <c r="X62" i="3"/>
  <c r="Y61" i="3"/>
  <c r="X61" i="3"/>
  <c r="Y60" i="3"/>
  <c r="X60" i="3"/>
  <c r="Y59" i="3"/>
  <c r="X59" i="3"/>
  <c r="Y21" i="3"/>
  <c r="X21" i="3"/>
  <c r="Y57" i="3"/>
  <c r="X57" i="3"/>
  <c r="Y56" i="3"/>
  <c r="X56" i="3"/>
  <c r="Y55" i="3"/>
  <c r="X55" i="3"/>
  <c r="Y54" i="3"/>
  <c r="X54" i="3"/>
  <c r="Y53" i="3"/>
  <c r="X53" i="3"/>
  <c r="Y52" i="3"/>
  <c r="X52" i="3"/>
  <c r="Y51" i="3"/>
  <c r="X51" i="3"/>
  <c r="Y50" i="3"/>
  <c r="X50" i="3"/>
  <c r="Y49" i="3"/>
  <c r="X49" i="3"/>
  <c r="Y48" i="3"/>
  <c r="X48" i="3"/>
  <c r="Y47" i="3"/>
  <c r="X47" i="3"/>
  <c r="Y46" i="3"/>
  <c r="X46" i="3"/>
  <c r="Y45" i="3"/>
  <c r="X45" i="3"/>
  <c r="Y44" i="3"/>
  <c r="X44" i="3"/>
  <c r="Y43" i="3"/>
  <c r="X43" i="3"/>
  <c r="Y42" i="3"/>
  <c r="X42" i="3"/>
  <c r="Y41" i="3"/>
  <c r="X41" i="3"/>
  <c r="Y40" i="3"/>
  <c r="X40" i="3"/>
  <c r="Y39" i="3"/>
  <c r="X39" i="3"/>
  <c r="Y38" i="3"/>
  <c r="X38" i="3"/>
  <c r="Y37" i="3"/>
  <c r="X37" i="3"/>
  <c r="Y36" i="3"/>
  <c r="X36" i="3"/>
  <c r="Y35" i="3"/>
  <c r="X35" i="3"/>
  <c r="Y34" i="3"/>
  <c r="X34" i="3"/>
  <c r="Y33" i="3"/>
  <c r="X33" i="3"/>
  <c r="Y32" i="3"/>
  <c r="X32" i="3"/>
  <c r="Y31" i="3"/>
  <c r="X31" i="3"/>
  <c r="Y30" i="3"/>
  <c r="X30" i="3"/>
  <c r="Y29" i="3"/>
  <c r="X29" i="3"/>
  <c r="Y28" i="3"/>
  <c r="X28" i="3"/>
  <c r="Y27" i="3"/>
  <c r="X27" i="3"/>
  <c r="Y26" i="3"/>
  <c r="X26" i="3"/>
  <c r="Y25" i="3"/>
  <c r="X25" i="3"/>
  <c r="Y24" i="3"/>
  <c r="X24" i="3"/>
  <c r="Y23" i="3"/>
  <c r="X23" i="3"/>
  <c r="Y22" i="3"/>
  <c r="X22" i="3"/>
  <c r="Y20" i="3"/>
  <c r="X20" i="3"/>
  <c r="Y238" i="3"/>
  <c r="X238" i="3"/>
  <c r="Y19" i="3"/>
  <c r="X19" i="3"/>
  <c r="Y18" i="3"/>
  <c r="X18" i="3"/>
  <c r="Y17" i="3"/>
  <c r="X17" i="3"/>
  <c r="Y16" i="3"/>
  <c r="X16" i="3"/>
  <c r="Y15" i="3"/>
  <c r="X15" i="3"/>
  <c r="Y14" i="3"/>
  <c r="X14" i="3"/>
  <c r="Y13" i="3"/>
  <c r="X13" i="3"/>
  <c r="Y12" i="3"/>
  <c r="X12" i="3"/>
  <c r="Y11" i="3"/>
  <c r="X11" i="3"/>
  <c r="Y10" i="3"/>
  <c r="X10" i="3"/>
  <c r="Y9" i="3"/>
  <c r="X9" i="3"/>
  <c r="Y8" i="3"/>
  <c r="X8" i="3"/>
  <c r="Y7" i="3"/>
  <c r="X7" i="3"/>
  <c r="Y6" i="3"/>
  <c r="X6" i="3"/>
  <c r="Y5" i="3"/>
  <c r="X5" i="3"/>
  <c r="Y4" i="3"/>
  <c r="X4" i="3"/>
  <c r="Y3" i="3"/>
  <c r="X3" i="3"/>
  <c r="X2" i="3"/>
  <c r="Y2" i="3"/>
  <c r="W3" i="3"/>
  <c r="W4" i="3"/>
  <c r="W5" i="3"/>
  <c r="W6" i="3"/>
  <c r="W7" i="3"/>
  <c r="W8" i="3"/>
  <c r="W9" i="3"/>
  <c r="W10" i="3"/>
  <c r="W11" i="3"/>
  <c r="W12" i="3"/>
  <c r="W13" i="3"/>
  <c r="W14" i="3"/>
  <c r="W15" i="3"/>
  <c r="W16" i="3"/>
  <c r="W17" i="3"/>
  <c r="W18" i="3"/>
  <c r="W19" i="3"/>
  <c r="W238" i="3"/>
  <c r="W20"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21" i="3"/>
  <c r="W59" i="3"/>
  <c r="W60" i="3"/>
  <c r="W61" i="3"/>
  <c r="W62" i="3"/>
  <c r="W63" i="3"/>
  <c r="W64" i="3"/>
  <c r="W65" i="3"/>
  <c r="W66" i="3"/>
  <c r="W67" i="3"/>
  <c r="W68" i="3"/>
  <c r="W69" i="3"/>
  <c r="W70" i="3"/>
  <c r="W58" i="3"/>
  <c r="W72" i="3"/>
  <c r="W73" i="3"/>
  <c r="W74" i="3"/>
  <c r="W75" i="3"/>
  <c r="W76" i="3"/>
  <c r="W71" i="3"/>
  <c r="W78" i="3"/>
  <c r="W239" i="3"/>
  <c r="W80" i="3"/>
  <c r="W81" i="3"/>
  <c r="W82" i="3"/>
  <c r="W83" i="3"/>
  <c r="W84" i="3"/>
  <c r="W85" i="3"/>
  <c r="W86" i="3"/>
  <c r="W87" i="3"/>
  <c r="W88" i="3"/>
  <c r="W89" i="3"/>
  <c r="W90" i="3"/>
  <c r="W91" i="3"/>
  <c r="W77"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240" i="3"/>
  <c r="W184" i="3"/>
  <c r="W185" i="3"/>
  <c r="W186" i="3"/>
  <c r="W187" i="3"/>
  <c r="W188" i="3"/>
  <c r="W7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92" i="3"/>
  <c r="W183" i="3"/>
  <c r="W246" i="3"/>
  <c r="W247" i="3"/>
  <c r="W189" i="3"/>
  <c r="W241" i="3"/>
  <c r="W242" i="3"/>
  <c r="W243" i="3"/>
  <c r="W244" i="3"/>
  <c r="W245" i="3"/>
  <c r="W236" i="3"/>
  <c r="W249" i="3"/>
  <c r="W248" i="3"/>
  <c r="W250" i="3"/>
  <c r="W237" i="3"/>
  <c r="W251" i="3"/>
  <c r="W252" i="3"/>
  <c r="W253" i="3"/>
  <c r="W254" i="3"/>
  <c r="W255" i="3"/>
  <c r="W256" i="3"/>
  <c r="W257" i="3"/>
  <c r="W258" i="3"/>
  <c r="W259" i="3"/>
  <c r="W260" i="3"/>
  <c r="W2" i="3"/>
  <c r="V3" i="3" a="1"/>
  <c r="V3" i="3" s="1"/>
  <c r="V4" i="3" a="1"/>
  <c r="V4" i="3" s="1"/>
  <c r="V5" i="3" a="1"/>
  <c r="V5" i="3" s="1"/>
  <c r="V6" i="3" a="1"/>
  <c r="V6" i="3" s="1"/>
  <c r="V7" i="3" a="1"/>
  <c r="V7" i="3" s="1"/>
  <c r="V8" i="3" a="1"/>
  <c r="V8" i="3" s="1"/>
  <c r="V9" i="3" a="1"/>
  <c r="V9" i="3" s="1"/>
  <c r="V10" i="3" a="1"/>
  <c r="V10" i="3" s="1"/>
  <c r="V11" i="3" a="1"/>
  <c r="V11" i="3" s="1"/>
  <c r="V12" i="3" a="1"/>
  <c r="V12" i="3" s="1"/>
  <c r="V13" i="3" a="1"/>
  <c r="V13" i="3" s="1"/>
  <c r="V14" i="3" a="1"/>
  <c r="V14" i="3" s="1"/>
  <c r="V15" i="3" a="1"/>
  <c r="V15" i="3" s="1"/>
  <c r="V16" i="3" a="1"/>
  <c r="V16" i="3" s="1"/>
  <c r="V17" i="3" a="1"/>
  <c r="V17" i="3" s="1"/>
  <c r="V18" i="3" a="1"/>
  <c r="V18" i="3" s="1"/>
  <c r="V19" i="3" a="1"/>
  <c r="V19" i="3" s="1"/>
  <c r="V238" i="3" a="1"/>
  <c r="V238" i="3" s="1"/>
  <c r="V20" i="3" a="1"/>
  <c r="V20" i="3" s="1"/>
  <c r="V22" i="3" a="1"/>
  <c r="V22" i="3" s="1"/>
  <c r="V23" i="3" a="1"/>
  <c r="V23" i="3" s="1"/>
  <c r="V24" i="3" a="1"/>
  <c r="V24" i="3" s="1"/>
  <c r="V25" i="3" a="1"/>
  <c r="V25" i="3" s="1"/>
  <c r="V26" i="3" a="1"/>
  <c r="V26" i="3" s="1"/>
  <c r="V27" i="3" a="1"/>
  <c r="V27" i="3" s="1"/>
  <c r="V28" i="3" a="1"/>
  <c r="V28" i="3" s="1"/>
  <c r="V29" i="3" a="1"/>
  <c r="V29" i="3" s="1"/>
  <c r="V30" i="3" a="1"/>
  <c r="V30" i="3" s="1"/>
  <c r="V31" i="3" a="1"/>
  <c r="V31" i="3" s="1"/>
  <c r="V32" i="3" a="1"/>
  <c r="V32" i="3" s="1"/>
  <c r="V33" i="3" a="1"/>
  <c r="V33" i="3" s="1"/>
  <c r="V34" i="3" a="1"/>
  <c r="V34" i="3" s="1"/>
  <c r="V35" i="3" a="1"/>
  <c r="V35" i="3" s="1"/>
  <c r="V36" i="3" a="1"/>
  <c r="V36" i="3" s="1"/>
  <c r="V37" i="3" a="1"/>
  <c r="V37" i="3" s="1"/>
  <c r="V38" i="3" a="1"/>
  <c r="V38" i="3" s="1"/>
  <c r="V39" i="3" a="1"/>
  <c r="V39" i="3" s="1"/>
  <c r="V40" i="3" a="1"/>
  <c r="V40" i="3" s="1"/>
  <c r="V41" i="3" a="1"/>
  <c r="V41" i="3" s="1"/>
  <c r="V42" i="3" a="1"/>
  <c r="V42" i="3" s="1"/>
  <c r="V43" i="3" a="1"/>
  <c r="V43" i="3" s="1"/>
  <c r="V44" i="3" a="1"/>
  <c r="V44" i="3" s="1"/>
  <c r="V45" i="3" a="1"/>
  <c r="V45" i="3" s="1"/>
  <c r="V46" i="3" a="1"/>
  <c r="V46" i="3" s="1"/>
  <c r="V47" i="3" a="1"/>
  <c r="V47" i="3" s="1"/>
  <c r="V48" i="3" a="1"/>
  <c r="V48" i="3" s="1"/>
  <c r="V49" i="3" a="1"/>
  <c r="V49" i="3" s="1"/>
  <c r="V50" i="3" a="1"/>
  <c r="V50" i="3" s="1"/>
  <c r="V51" i="3" a="1"/>
  <c r="V51" i="3" s="1"/>
  <c r="V52" i="3" a="1"/>
  <c r="V52" i="3" s="1"/>
  <c r="V53" i="3" a="1"/>
  <c r="V53" i="3" s="1"/>
  <c r="V54" i="3" a="1"/>
  <c r="V54" i="3" s="1"/>
  <c r="V55" i="3" a="1"/>
  <c r="V55" i="3" s="1"/>
  <c r="V56" i="3" a="1"/>
  <c r="V56" i="3" s="1"/>
  <c r="V57" i="3" a="1"/>
  <c r="V57" i="3" s="1"/>
  <c r="V21" i="3" a="1"/>
  <c r="V21" i="3" s="1"/>
  <c r="V59" i="3" a="1"/>
  <c r="V59" i="3" s="1"/>
  <c r="V60" i="3" a="1"/>
  <c r="V60" i="3" s="1"/>
  <c r="V61" i="3" a="1"/>
  <c r="V61" i="3" s="1"/>
  <c r="V62" i="3" a="1"/>
  <c r="V62" i="3" s="1"/>
  <c r="V63" i="3" a="1"/>
  <c r="V63" i="3" s="1"/>
  <c r="V64" i="3" a="1"/>
  <c r="V64" i="3" s="1"/>
  <c r="V65" i="3" a="1"/>
  <c r="V65" i="3" s="1"/>
  <c r="V66" i="3" a="1"/>
  <c r="V66" i="3" s="1"/>
  <c r="V67" i="3" a="1"/>
  <c r="V67" i="3" s="1"/>
  <c r="V68" i="3" a="1"/>
  <c r="V68" i="3" s="1"/>
  <c r="V69" i="3" a="1"/>
  <c r="V69" i="3" s="1"/>
  <c r="V70" i="3" a="1"/>
  <c r="V70" i="3" s="1"/>
  <c r="V58" i="3" a="1"/>
  <c r="V58" i="3" s="1"/>
  <c r="V72" i="3" a="1"/>
  <c r="V72" i="3" s="1"/>
  <c r="V73" i="3" a="1"/>
  <c r="V73" i="3" s="1"/>
  <c r="V74" i="3" a="1"/>
  <c r="V74" i="3" s="1"/>
  <c r="V75" i="3" a="1"/>
  <c r="V75" i="3" s="1"/>
  <c r="V76" i="3" a="1"/>
  <c r="V76" i="3" s="1"/>
  <c r="V71" i="3" a="1"/>
  <c r="V71" i="3" s="1"/>
  <c r="V78" i="3" a="1"/>
  <c r="V78" i="3" s="1"/>
  <c r="V239" i="3" a="1"/>
  <c r="V239" i="3" s="1"/>
  <c r="V80" i="3" a="1"/>
  <c r="V80" i="3" s="1"/>
  <c r="V81" i="3" a="1"/>
  <c r="V81" i="3" s="1"/>
  <c r="V82" i="3" a="1"/>
  <c r="V82" i="3" s="1"/>
  <c r="V83" i="3" a="1"/>
  <c r="V83" i="3" s="1"/>
  <c r="V84" i="3" a="1"/>
  <c r="V84" i="3" s="1"/>
  <c r="V85" i="3" a="1"/>
  <c r="V85" i="3" s="1"/>
  <c r="V86" i="3" a="1"/>
  <c r="V86" i="3" s="1"/>
  <c r="V87" i="3" a="1"/>
  <c r="V87" i="3" s="1"/>
  <c r="V88" i="3" a="1"/>
  <c r="V88" i="3" s="1"/>
  <c r="V89" i="3" a="1"/>
  <c r="V89" i="3" s="1"/>
  <c r="V90" i="3" a="1"/>
  <c r="V90" i="3" s="1"/>
  <c r="V91" i="3" a="1"/>
  <c r="V91" i="3" s="1"/>
  <c r="V77" i="3" a="1"/>
  <c r="V77" i="3" s="1"/>
  <c r="V93" i="3" a="1"/>
  <c r="V93" i="3" s="1"/>
  <c r="V94" i="3" a="1"/>
  <c r="V94" i="3" s="1"/>
  <c r="V95" i="3" a="1"/>
  <c r="V95" i="3" s="1"/>
  <c r="V96" i="3" a="1"/>
  <c r="V96" i="3" s="1"/>
  <c r="V97" i="3" a="1"/>
  <c r="V97" i="3" s="1"/>
  <c r="V98" i="3" a="1"/>
  <c r="V98" i="3" s="1"/>
  <c r="V99" i="3" a="1"/>
  <c r="V99" i="3" s="1"/>
  <c r="V100" i="3" a="1"/>
  <c r="V100" i="3" s="1"/>
  <c r="V101" i="3" a="1"/>
  <c r="V101" i="3" s="1"/>
  <c r="V102" i="3" a="1"/>
  <c r="V102" i="3" s="1"/>
  <c r="V103" i="3" a="1"/>
  <c r="V103" i="3" s="1"/>
  <c r="V104" i="3" a="1"/>
  <c r="V104" i="3" s="1"/>
  <c r="V105" i="3" a="1"/>
  <c r="V105" i="3" s="1"/>
  <c r="V106" i="3" a="1"/>
  <c r="V106" i="3" s="1"/>
  <c r="V107" i="3" a="1"/>
  <c r="V107" i="3" s="1"/>
  <c r="V108" i="3" a="1"/>
  <c r="V108" i="3" s="1"/>
  <c r="V109" i="3" a="1"/>
  <c r="V109" i="3" s="1"/>
  <c r="V110" i="3" a="1"/>
  <c r="V110" i="3" s="1"/>
  <c r="V111" i="3" a="1"/>
  <c r="V111" i="3" s="1"/>
  <c r="V112" i="3" a="1"/>
  <c r="V112" i="3" s="1"/>
  <c r="V113" i="3" a="1"/>
  <c r="V113" i="3" s="1"/>
  <c r="V114" i="3" a="1"/>
  <c r="V114" i="3" s="1"/>
  <c r="V115" i="3" a="1"/>
  <c r="V115" i="3" s="1"/>
  <c r="V116" i="3" a="1"/>
  <c r="V116" i="3" s="1"/>
  <c r="V117" i="3" a="1"/>
  <c r="V117" i="3" s="1"/>
  <c r="V118" i="3" a="1"/>
  <c r="V118" i="3" s="1"/>
  <c r="V119" i="3" a="1"/>
  <c r="V119" i="3" s="1"/>
  <c r="V120" i="3" a="1"/>
  <c r="V120" i="3" s="1"/>
  <c r="V121" i="3" a="1"/>
  <c r="V121" i="3" s="1"/>
  <c r="V122" i="3" a="1"/>
  <c r="V122" i="3" s="1"/>
  <c r="V123" i="3" a="1"/>
  <c r="V123" i="3" s="1"/>
  <c r="V124" i="3" a="1"/>
  <c r="V124" i="3" s="1"/>
  <c r="V125" i="3" a="1"/>
  <c r="V125" i="3" s="1"/>
  <c r="V126" i="3" a="1"/>
  <c r="V126" i="3" s="1"/>
  <c r="V127" i="3" a="1"/>
  <c r="V127" i="3" s="1"/>
  <c r="V128" i="3" a="1"/>
  <c r="V128" i="3" s="1"/>
  <c r="V129" i="3" a="1"/>
  <c r="V129" i="3" s="1"/>
  <c r="V130" i="3" a="1"/>
  <c r="V130" i="3" s="1"/>
  <c r="V131" i="3" a="1"/>
  <c r="V131" i="3" s="1"/>
  <c r="V132" i="3" a="1"/>
  <c r="V132" i="3" s="1"/>
  <c r="V133" i="3" a="1"/>
  <c r="V133" i="3" s="1"/>
  <c r="V134" i="3" a="1"/>
  <c r="V134" i="3" s="1"/>
  <c r="V135" i="3" a="1"/>
  <c r="V135" i="3" s="1"/>
  <c r="V136" i="3" a="1"/>
  <c r="V136" i="3" s="1"/>
  <c r="V137" i="3" a="1"/>
  <c r="V137" i="3" s="1"/>
  <c r="V138" i="3" a="1"/>
  <c r="V138" i="3" s="1"/>
  <c r="V139" i="3" a="1"/>
  <c r="V139" i="3" s="1"/>
  <c r="V140" i="3" a="1"/>
  <c r="V140" i="3" s="1"/>
  <c r="V141" i="3" a="1"/>
  <c r="V141" i="3" s="1"/>
  <c r="V142" i="3" a="1"/>
  <c r="V142" i="3" s="1"/>
  <c r="V143" i="3" a="1"/>
  <c r="V143" i="3" s="1"/>
  <c r="V144" i="3" a="1"/>
  <c r="V144" i="3" s="1"/>
  <c r="V145" i="3" a="1"/>
  <c r="V145" i="3" s="1"/>
  <c r="V146" i="3" a="1"/>
  <c r="V146" i="3" s="1"/>
  <c r="V147" i="3" a="1"/>
  <c r="V147" i="3" s="1"/>
  <c r="V148" i="3" a="1"/>
  <c r="V148" i="3" s="1"/>
  <c r="V149" i="3" a="1"/>
  <c r="V149" i="3" s="1"/>
  <c r="V150" i="3" a="1"/>
  <c r="V150" i="3" s="1"/>
  <c r="V151" i="3" a="1"/>
  <c r="V151" i="3" s="1"/>
  <c r="V152" i="3" a="1"/>
  <c r="V152" i="3" s="1"/>
  <c r="V153" i="3" a="1"/>
  <c r="V153" i="3" s="1"/>
  <c r="V154" i="3" a="1"/>
  <c r="V154" i="3" s="1"/>
  <c r="V155" i="3" a="1"/>
  <c r="V155" i="3" s="1"/>
  <c r="V156" i="3" a="1"/>
  <c r="V156" i="3" s="1"/>
  <c r="V157" i="3" a="1"/>
  <c r="V157" i="3" s="1"/>
  <c r="V158" i="3" a="1"/>
  <c r="V158" i="3" s="1"/>
  <c r="V159" i="3" a="1"/>
  <c r="V159" i="3" s="1"/>
  <c r="V160" i="3" a="1"/>
  <c r="V160" i="3" s="1"/>
  <c r="V161" i="3" a="1"/>
  <c r="V161" i="3" s="1"/>
  <c r="V162" i="3" a="1"/>
  <c r="V162" i="3" s="1"/>
  <c r="V163" i="3" a="1"/>
  <c r="V163" i="3" s="1"/>
  <c r="V164" i="3" a="1"/>
  <c r="V164" i="3" s="1"/>
  <c r="V165" i="3" a="1"/>
  <c r="V165" i="3" s="1"/>
  <c r="V166" i="3" a="1"/>
  <c r="V166" i="3" s="1"/>
  <c r="V167" i="3" a="1"/>
  <c r="V167" i="3" s="1"/>
  <c r="V168" i="3" a="1"/>
  <c r="V168" i="3" s="1"/>
  <c r="V169" i="3" a="1"/>
  <c r="V169" i="3" s="1"/>
  <c r="V170" i="3" a="1"/>
  <c r="V170" i="3" s="1"/>
  <c r="V171" i="3" a="1"/>
  <c r="V171" i="3" s="1"/>
  <c r="V172" i="3" a="1"/>
  <c r="V172" i="3" s="1"/>
  <c r="V173" i="3" a="1"/>
  <c r="V173" i="3" s="1"/>
  <c r="V174" i="3" a="1"/>
  <c r="V174" i="3" s="1"/>
  <c r="V175" i="3" a="1"/>
  <c r="V175" i="3" s="1"/>
  <c r="V176" i="3" a="1"/>
  <c r="V176" i="3" s="1"/>
  <c r="V177" i="3" a="1"/>
  <c r="V177" i="3" s="1"/>
  <c r="V178" i="3" a="1"/>
  <c r="V178" i="3" s="1"/>
  <c r="V179" i="3" a="1"/>
  <c r="V179" i="3" s="1"/>
  <c r="V180" i="3" a="1"/>
  <c r="V180" i="3" s="1"/>
  <c r="V181" i="3" a="1"/>
  <c r="V181" i="3" s="1"/>
  <c r="V182" i="3" a="1"/>
  <c r="V182" i="3" s="1"/>
  <c r="V240" i="3" a="1"/>
  <c r="V240" i="3" s="1"/>
  <c r="V184" i="3" a="1"/>
  <c r="V184" i="3" s="1"/>
  <c r="V185" i="3" a="1"/>
  <c r="V185" i="3" s="1"/>
  <c r="V186" i="3" a="1"/>
  <c r="V186" i="3" s="1"/>
  <c r="V187" i="3" a="1"/>
  <c r="V187" i="3" s="1"/>
  <c r="V188" i="3" a="1"/>
  <c r="V188" i="3" s="1"/>
  <c r="V79" i="3" a="1"/>
  <c r="V79" i="3" s="1"/>
  <c r="V190" i="3" a="1"/>
  <c r="V190" i="3" s="1"/>
  <c r="V191" i="3" a="1"/>
  <c r="V191" i="3" s="1"/>
  <c r="V192" i="3" a="1"/>
  <c r="V192" i="3" s="1"/>
  <c r="V193" i="3" a="1"/>
  <c r="V193" i="3" s="1"/>
  <c r="V194" i="3" a="1"/>
  <c r="V194" i="3" s="1"/>
  <c r="V195" i="3" a="1"/>
  <c r="V195" i="3" s="1"/>
  <c r="V196" i="3" a="1"/>
  <c r="V196" i="3" s="1"/>
  <c r="V197" i="3" a="1"/>
  <c r="V197" i="3" s="1"/>
  <c r="V198" i="3" a="1"/>
  <c r="V198" i="3" s="1"/>
  <c r="V199" i="3" a="1"/>
  <c r="V199" i="3" s="1"/>
  <c r="V200" i="3" a="1"/>
  <c r="V200" i="3" s="1"/>
  <c r="V201" i="3" a="1"/>
  <c r="V201" i="3" s="1"/>
  <c r="V202" i="3" a="1"/>
  <c r="V202" i="3" s="1"/>
  <c r="V203" i="3" a="1"/>
  <c r="V203" i="3" s="1"/>
  <c r="V204" i="3" a="1"/>
  <c r="V204" i="3" s="1"/>
  <c r="V205" i="3" a="1"/>
  <c r="V205" i="3" s="1"/>
  <c r="V206" i="3" a="1"/>
  <c r="V206" i="3" s="1"/>
  <c r="V207" i="3" a="1"/>
  <c r="V207" i="3" s="1"/>
  <c r="V208" i="3" a="1"/>
  <c r="V208" i="3" s="1"/>
  <c r="V209" i="3" a="1"/>
  <c r="V209" i="3" s="1"/>
  <c r="V210" i="3" a="1"/>
  <c r="V210" i="3" s="1"/>
  <c r="V211" i="3" a="1"/>
  <c r="V211" i="3" s="1"/>
  <c r="V212" i="3" a="1"/>
  <c r="V212" i="3" s="1"/>
  <c r="V213" i="3" a="1"/>
  <c r="V213" i="3" s="1"/>
  <c r="V214" i="3" a="1"/>
  <c r="V214" i="3" s="1"/>
  <c r="V215" i="3" a="1"/>
  <c r="V215" i="3" s="1"/>
  <c r="V216" i="3" a="1"/>
  <c r="V216" i="3" s="1"/>
  <c r="V217" i="3" a="1"/>
  <c r="V217" i="3" s="1"/>
  <c r="V218" i="3" a="1"/>
  <c r="V218" i="3" s="1"/>
  <c r="V219" i="3" a="1"/>
  <c r="V219" i="3" s="1"/>
  <c r="V220" i="3" a="1"/>
  <c r="V220" i="3" s="1"/>
  <c r="V221" i="3" a="1"/>
  <c r="V221" i="3" s="1"/>
  <c r="V222" i="3" a="1"/>
  <c r="V222" i="3" s="1"/>
  <c r="V223" i="3" a="1"/>
  <c r="V223" i="3" s="1"/>
  <c r="V224" i="3" a="1"/>
  <c r="V224" i="3" s="1"/>
  <c r="V225" i="3" a="1"/>
  <c r="V225" i="3" s="1"/>
  <c r="V226" i="3" a="1"/>
  <c r="V226" i="3" s="1"/>
  <c r="V227" i="3" a="1"/>
  <c r="V227" i="3" s="1"/>
  <c r="V228" i="3" a="1"/>
  <c r="V228" i="3" s="1"/>
  <c r="V229" i="3" a="1"/>
  <c r="V229" i="3" s="1"/>
  <c r="V230" i="3" a="1"/>
  <c r="V230" i="3" s="1"/>
  <c r="V231" i="3" a="1"/>
  <c r="V231" i="3" s="1"/>
  <c r="V232" i="3" a="1"/>
  <c r="V232" i="3" s="1"/>
  <c r="V233" i="3" a="1"/>
  <c r="V233" i="3" s="1"/>
  <c r="V234" i="3" a="1"/>
  <c r="V234" i="3" s="1"/>
  <c r="V235" i="3" a="1"/>
  <c r="V235" i="3" s="1"/>
  <c r="V92" i="3" a="1"/>
  <c r="V92" i="3" s="1"/>
  <c r="V183" i="3" a="1"/>
  <c r="V183" i="3" s="1"/>
  <c r="V246" i="3" a="1"/>
  <c r="V246" i="3" s="1"/>
  <c r="V247" i="3" a="1"/>
  <c r="V247" i="3" s="1"/>
  <c r="V189" i="3" a="1"/>
  <c r="V189" i="3" s="1"/>
  <c r="V241" i="3" a="1"/>
  <c r="V241" i="3" s="1"/>
  <c r="V242" i="3" a="1"/>
  <c r="V242" i="3" s="1"/>
  <c r="V243" i="3" a="1"/>
  <c r="V243" i="3" s="1"/>
  <c r="V244" i="3" a="1"/>
  <c r="V244" i="3" s="1"/>
  <c r="V245" i="3" a="1"/>
  <c r="V245" i="3" s="1"/>
  <c r="V236" i="3" a="1"/>
  <c r="V236" i="3" s="1"/>
  <c r="V249" i="3" a="1"/>
  <c r="V249" i="3" s="1"/>
  <c r="V248" i="3" a="1"/>
  <c r="V248" i="3" s="1"/>
  <c r="V250" i="3" a="1"/>
  <c r="V250" i="3" s="1"/>
  <c r="V237" i="3" a="1"/>
  <c r="V237" i="3" s="1"/>
  <c r="V251" i="3" a="1"/>
  <c r="V251" i="3" s="1"/>
  <c r="V252" i="3" a="1"/>
  <c r="V252" i="3" s="1"/>
  <c r="V253" i="3" a="1"/>
  <c r="V253" i="3" s="1"/>
  <c r="V254" i="3" a="1"/>
  <c r="V254" i="3" s="1"/>
  <c r="V255" i="3" a="1"/>
  <c r="V255" i="3" s="1"/>
  <c r="V256" i="3" a="1"/>
  <c r="V256" i="3" s="1"/>
  <c r="V257" i="3" a="1"/>
  <c r="V257" i="3" s="1"/>
  <c r="V258" i="3" a="1"/>
  <c r="V258" i="3" s="1"/>
  <c r="V259" i="3" a="1"/>
  <c r="V259" i="3" s="1"/>
  <c r="V260" i="3" a="1"/>
  <c r="V260" i="3" s="1"/>
  <c r="V2" i="3" a="1"/>
  <c r="V2" i="3" s="1"/>
  <c r="N260" i="3"/>
  <c r="U2" i="3"/>
  <c r="T3" i="3"/>
  <c r="U3" i="3"/>
  <c r="T4" i="3"/>
  <c r="U4" i="3"/>
  <c r="T5" i="3"/>
  <c r="U5" i="3"/>
  <c r="T6" i="3"/>
  <c r="U6" i="3"/>
  <c r="T7" i="3"/>
  <c r="U7" i="3"/>
  <c r="T8" i="3"/>
  <c r="U8" i="3"/>
  <c r="T9" i="3"/>
  <c r="U9" i="3"/>
  <c r="T10" i="3"/>
  <c r="U10" i="3"/>
  <c r="T11" i="3"/>
  <c r="U11" i="3"/>
  <c r="T12" i="3"/>
  <c r="U12" i="3"/>
  <c r="T13" i="3"/>
  <c r="U13" i="3"/>
  <c r="T14" i="3"/>
  <c r="U14" i="3"/>
  <c r="T15" i="3"/>
  <c r="U15" i="3"/>
  <c r="T16" i="3"/>
  <c r="U16" i="3"/>
  <c r="T17" i="3"/>
  <c r="U17" i="3"/>
  <c r="T18" i="3"/>
  <c r="U18" i="3"/>
  <c r="T19" i="3"/>
  <c r="U19" i="3"/>
  <c r="T238" i="3"/>
  <c r="U238" i="3"/>
  <c r="T20" i="3"/>
  <c r="U20" i="3"/>
  <c r="T22" i="3"/>
  <c r="U22" i="3"/>
  <c r="T23" i="3"/>
  <c r="U23" i="3"/>
  <c r="T24" i="3"/>
  <c r="U24" i="3"/>
  <c r="T25" i="3"/>
  <c r="U25" i="3"/>
  <c r="T26" i="3"/>
  <c r="U26" i="3"/>
  <c r="T27" i="3"/>
  <c r="U27" i="3"/>
  <c r="T28" i="3"/>
  <c r="U28" i="3"/>
  <c r="T29" i="3"/>
  <c r="U29" i="3"/>
  <c r="T30" i="3"/>
  <c r="U30" i="3"/>
  <c r="T31" i="3"/>
  <c r="U31" i="3"/>
  <c r="T32" i="3"/>
  <c r="U32" i="3"/>
  <c r="T33" i="3"/>
  <c r="U33" i="3"/>
  <c r="T34" i="3"/>
  <c r="U34" i="3"/>
  <c r="T35" i="3"/>
  <c r="U35" i="3"/>
  <c r="T36" i="3"/>
  <c r="U36" i="3"/>
  <c r="T37" i="3"/>
  <c r="U37" i="3"/>
  <c r="T38" i="3"/>
  <c r="U38" i="3"/>
  <c r="T39" i="3"/>
  <c r="U39" i="3"/>
  <c r="T40" i="3"/>
  <c r="U40" i="3"/>
  <c r="T41" i="3"/>
  <c r="U41" i="3"/>
  <c r="T42" i="3"/>
  <c r="U42" i="3"/>
  <c r="T43" i="3"/>
  <c r="U43" i="3"/>
  <c r="T44" i="3"/>
  <c r="U44" i="3"/>
  <c r="T45" i="3"/>
  <c r="U45" i="3"/>
  <c r="T46" i="3"/>
  <c r="U46" i="3"/>
  <c r="T47" i="3"/>
  <c r="U47" i="3"/>
  <c r="T48" i="3"/>
  <c r="U48" i="3"/>
  <c r="T49" i="3"/>
  <c r="U49" i="3"/>
  <c r="T50" i="3"/>
  <c r="U50" i="3"/>
  <c r="T51" i="3"/>
  <c r="U51" i="3"/>
  <c r="T52" i="3"/>
  <c r="U52" i="3"/>
  <c r="T53" i="3"/>
  <c r="U53" i="3"/>
  <c r="T54" i="3"/>
  <c r="U54" i="3"/>
  <c r="T55" i="3"/>
  <c r="U55" i="3"/>
  <c r="T56" i="3"/>
  <c r="U56" i="3"/>
  <c r="T57" i="3"/>
  <c r="U57" i="3"/>
  <c r="T21" i="3"/>
  <c r="U21" i="3"/>
  <c r="T59" i="3"/>
  <c r="U59" i="3"/>
  <c r="T60" i="3"/>
  <c r="U60" i="3"/>
  <c r="T61" i="3"/>
  <c r="U61" i="3"/>
  <c r="T62" i="3"/>
  <c r="U62" i="3"/>
  <c r="T63" i="3"/>
  <c r="U63" i="3"/>
  <c r="T64" i="3"/>
  <c r="U64" i="3"/>
  <c r="T65" i="3"/>
  <c r="U65" i="3"/>
  <c r="T66" i="3"/>
  <c r="U66" i="3"/>
  <c r="T67" i="3"/>
  <c r="U67" i="3"/>
  <c r="T68" i="3"/>
  <c r="U68" i="3"/>
  <c r="T69" i="3"/>
  <c r="U69" i="3"/>
  <c r="T70" i="3"/>
  <c r="U70" i="3"/>
  <c r="T58" i="3"/>
  <c r="U58" i="3"/>
  <c r="T72" i="3"/>
  <c r="U72" i="3"/>
  <c r="T73" i="3"/>
  <c r="U73" i="3"/>
  <c r="T74" i="3"/>
  <c r="U74" i="3"/>
  <c r="T75" i="3"/>
  <c r="U75" i="3"/>
  <c r="T76" i="3"/>
  <c r="U76" i="3"/>
  <c r="T71" i="3"/>
  <c r="U71" i="3"/>
  <c r="T78" i="3"/>
  <c r="U78" i="3"/>
  <c r="T239" i="3"/>
  <c r="U239" i="3"/>
  <c r="T80" i="3"/>
  <c r="U80" i="3"/>
  <c r="T81" i="3"/>
  <c r="U81" i="3"/>
  <c r="T82" i="3"/>
  <c r="U82" i="3"/>
  <c r="T83" i="3"/>
  <c r="U83" i="3"/>
  <c r="T84" i="3"/>
  <c r="U84" i="3"/>
  <c r="T85" i="3"/>
  <c r="U85" i="3"/>
  <c r="T86" i="3"/>
  <c r="U86" i="3"/>
  <c r="T87" i="3"/>
  <c r="U87" i="3"/>
  <c r="T88" i="3"/>
  <c r="U88" i="3"/>
  <c r="T89" i="3"/>
  <c r="U89" i="3"/>
  <c r="T90" i="3"/>
  <c r="U90" i="3"/>
  <c r="T91" i="3"/>
  <c r="U91" i="3"/>
  <c r="T77" i="3"/>
  <c r="U77" i="3"/>
  <c r="T93" i="3"/>
  <c r="U93" i="3"/>
  <c r="T94" i="3"/>
  <c r="U94" i="3"/>
  <c r="T95" i="3"/>
  <c r="U95" i="3"/>
  <c r="T96" i="3"/>
  <c r="U96" i="3"/>
  <c r="T97" i="3"/>
  <c r="U97" i="3"/>
  <c r="T98" i="3"/>
  <c r="U98" i="3"/>
  <c r="T99" i="3"/>
  <c r="U99" i="3"/>
  <c r="T100" i="3"/>
  <c r="U100" i="3"/>
  <c r="T101" i="3"/>
  <c r="U101" i="3"/>
  <c r="T102" i="3"/>
  <c r="U102" i="3"/>
  <c r="T103" i="3"/>
  <c r="U103" i="3"/>
  <c r="T104" i="3"/>
  <c r="U104" i="3"/>
  <c r="T105" i="3"/>
  <c r="U105" i="3"/>
  <c r="T106" i="3"/>
  <c r="U106" i="3"/>
  <c r="T107" i="3"/>
  <c r="U107" i="3"/>
  <c r="T108" i="3"/>
  <c r="U108" i="3"/>
  <c r="T109" i="3"/>
  <c r="U109" i="3"/>
  <c r="T110" i="3"/>
  <c r="U110" i="3"/>
  <c r="T111" i="3"/>
  <c r="U111" i="3"/>
  <c r="T112" i="3"/>
  <c r="U112" i="3"/>
  <c r="T113" i="3"/>
  <c r="U113" i="3"/>
  <c r="T114" i="3"/>
  <c r="U114" i="3"/>
  <c r="T115" i="3"/>
  <c r="U115" i="3"/>
  <c r="T116" i="3"/>
  <c r="U116" i="3"/>
  <c r="T117" i="3"/>
  <c r="U117" i="3"/>
  <c r="T118" i="3"/>
  <c r="U118" i="3"/>
  <c r="T119" i="3"/>
  <c r="U119" i="3"/>
  <c r="T120" i="3"/>
  <c r="U120" i="3"/>
  <c r="T121" i="3"/>
  <c r="U121" i="3"/>
  <c r="T122" i="3"/>
  <c r="U122" i="3"/>
  <c r="T123" i="3"/>
  <c r="U123" i="3"/>
  <c r="T124" i="3"/>
  <c r="U124" i="3"/>
  <c r="T125" i="3"/>
  <c r="U125" i="3"/>
  <c r="T126" i="3"/>
  <c r="U126" i="3"/>
  <c r="T127" i="3"/>
  <c r="U127" i="3"/>
  <c r="T128" i="3"/>
  <c r="U128" i="3"/>
  <c r="T129" i="3"/>
  <c r="U129" i="3"/>
  <c r="T130" i="3"/>
  <c r="U130" i="3"/>
  <c r="T131" i="3"/>
  <c r="U131" i="3"/>
  <c r="T132" i="3"/>
  <c r="U132" i="3"/>
  <c r="T133" i="3"/>
  <c r="U133" i="3"/>
  <c r="T134" i="3"/>
  <c r="U134" i="3"/>
  <c r="T135" i="3"/>
  <c r="U135" i="3"/>
  <c r="T136" i="3"/>
  <c r="U136" i="3"/>
  <c r="T137" i="3"/>
  <c r="U137" i="3"/>
  <c r="T138" i="3"/>
  <c r="U138" i="3"/>
  <c r="T139" i="3"/>
  <c r="U139" i="3"/>
  <c r="T140" i="3"/>
  <c r="U140" i="3"/>
  <c r="T141" i="3"/>
  <c r="U141" i="3"/>
  <c r="T142" i="3"/>
  <c r="U142" i="3"/>
  <c r="T143" i="3"/>
  <c r="U143" i="3"/>
  <c r="T144" i="3"/>
  <c r="U144" i="3"/>
  <c r="T145" i="3"/>
  <c r="U145" i="3"/>
  <c r="T146" i="3"/>
  <c r="U146" i="3"/>
  <c r="T147" i="3"/>
  <c r="U147" i="3"/>
  <c r="T148" i="3"/>
  <c r="U148" i="3"/>
  <c r="T149" i="3"/>
  <c r="U149" i="3"/>
  <c r="T150" i="3"/>
  <c r="U150" i="3"/>
  <c r="T151" i="3"/>
  <c r="U151" i="3"/>
  <c r="T152" i="3"/>
  <c r="U152" i="3"/>
  <c r="T153" i="3"/>
  <c r="U153" i="3"/>
  <c r="T154" i="3"/>
  <c r="U154" i="3"/>
  <c r="T155" i="3"/>
  <c r="U155" i="3"/>
  <c r="T156" i="3"/>
  <c r="U156" i="3"/>
  <c r="T157" i="3"/>
  <c r="U157" i="3"/>
  <c r="T158" i="3"/>
  <c r="U158" i="3"/>
  <c r="T159" i="3"/>
  <c r="U159" i="3"/>
  <c r="T160" i="3"/>
  <c r="U160" i="3"/>
  <c r="T161" i="3"/>
  <c r="U161" i="3"/>
  <c r="T162" i="3"/>
  <c r="U162" i="3"/>
  <c r="T163" i="3"/>
  <c r="U163" i="3"/>
  <c r="T164" i="3"/>
  <c r="U164" i="3"/>
  <c r="T165" i="3"/>
  <c r="U165" i="3"/>
  <c r="T166" i="3"/>
  <c r="U166" i="3"/>
  <c r="T167" i="3"/>
  <c r="U167" i="3"/>
  <c r="T168" i="3"/>
  <c r="U168" i="3"/>
  <c r="T169" i="3"/>
  <c r="U169" i="3"/>
  <c r="T170" i="3"/>
  <c r="U170" i="3"/>
  <c r="T171" i="3"/>
  <c r="U171" i="3"/>
  <c r="T172" i="3"/>
  <c r="U172" i="3"/>
  <c r="T173" i="3"/>
  <c r="U173" i="3"/>
  <c r="T174" i="3"/>
  <c r="U174" i="3"/>
  <c r="T175" i="3"/>
  <c r="U175" i="3"/>
  <c r="T176" i="3"/>
  <c r="U176" i="3"/>
  <c r="T177" i="3"/>
  <c r="U177" i="3"/>
  <c r="T178" i="3"/>
  <c r="U178" i="3"/>
  <c r="T179" i="3"/>
  <c r="U179" i="3"/>
  <c r="T180" i="3"/>
  <c r="U180" i="3"/>
  <c r="T181" i="3"/>
  <c r="U181" i="3"/>
  <c r="T182" i="3"/>
  <c r="U182" i="3"/>
  <c r="T240" i="3"/>
  <c r="U240" i="3"/>
  <c r="T184" i="3"/>
  <c r="U184" i="3"/>
  <c r="T185" i="3"/>
  <c r="U185" i="3"/>
  <c r="T186" i="3"/>
  <c r="U186" i="3"/>
  <c r="T187" i="3"/>
  <c r="U187" i="3"/>
  <c r="T188" i="3"/>
  <c r="U188" i="3"/>
  <c r="T79" i="3"/>
  <c r="U79" i="3"/>
  <c r="T190" i="3"/>
  <c r="U190" i="3"/>
  <c r="T191" i="3"/>
  <c r="U191" i="3"/>
  <c r="T192" i="3"/>
  <c r="U192" i="3"/>
  <c r="T193" i="3"/>
  <c r="U193" i="3"/>
  <c r="T194" i="3"/>
  <c r="U194" i="3"/>
  <c r="T195" i="3"/>
  <c r="U195" i="3"/>
  <c r="T196" i="3"/>
  <c r="U196" i="3"/>
  <c r="T197" i="3"/>
  <c r="U197" i="3"/>
  <c r="T198" i="3"/>
  <c r="U198" i="3"/>
  <c r="T199" i="3"/>
  <c r="U199" i="3"/>
  <c r="T200" i="3"/>
  <c r="U200" i="3"/>
  <c r="T201" i="3"/>
  <c r="U201" i="3"/>
  <c r="T202" i="3"/>
  <c r="U202" i="3"/>
  <c r="T203" i="3"/>
  <c r="U203" i="3"/>
  <c r="T204" i="3"/>
  <c r="U204" i="3"/>
  <c r="T205" i="3"/>
  <c r="U205" i="3"/>
  <c r="T206" i="3"/>
  <c r="U206" i="3"/>
  <c r="T207" i="3"/>
  <c r="U207" i="3"/>
  <c r="T208" i="3"/>
  <c r="U208" i="3"/>
  <c r="T209" i="3"/>
  <c r="U209" i="3"/>
  <c r="T210" i="3"/>
  <c r="U210" i="3"/>
  <c r="T211" i="3"/>
  <c r="U211" i="3"/>
  <c r="T212" i="3"/>
  <c r="U212" i="3"/>
  <c r="T213" i="3"/>
  <c r="U213" i="3"/>
  <c r="T214" i="3"/>
  <c r="U214" i="3"/>
  <c r="T215" i="3"/>
  <c r="U215" i="3"/>
  <c r="T216" i="3"/>
  <c r="U216" i="3"/>
  <c r="T217" i="3"/>
  <c r="U217" i="3"/>
  <c r="T218" i="3"/>
  <c r="U218" i="3"/>
  <c r="T219" i="3"/>
  <c r="U219" i="3"/>
  <c r="T220" i="3"/>
  <c r="U220" i="3"/>
  <c r="T221" i="3"/>
  <c r="U221" i="3"/>
  <c r="T222" i="3"/>
  <c r="U222" i="3"/>
  <c r="T223" i="3"/>
  <c r="U223" i="3"/>
  <c r="T224" i="3"/>
  <c r="U224" i="3"/>
  <c r="T225" i="3"/>
  <c r="U225" i="3"/>
  <c r="T226" i="3"/>
  <c r="U226" i="3"/>
  <c r="T227" i="3"/>
  <c r="U227" i="3"/>
  <c r="T228" i="3"/>
  <c r="U228" i="3"/>
  <c r="T229" i="3"/>
  <c r="U229" i="3"/>
  <c r="T230" i="3"/>
  <c r="U230" i="3"/>
  <c r="T231" i="3"/>
  <c r="U231" i="3"/>
  <c r="T232" i="3"/>
  <c r="U232" i="3"/>
  <c r="T233" i="3"/>
  <c r="U233" i="3"/>
  <c r="T234" i="3"/>
  <c r="U234" i="3"/>
  <c r="T235" i="3"/>
  <c r="U235" i="3"/>
  <c r="T92" i="3"/>
  <c r="U92" i="3"/>
  <c r="T183" i="3"/>
  <c r="U183" i="3"/>
  <c r="T246" i="3"/>
  <c r="U246" i="3"/>
  <c r="T247" i="3"/>
  <c r="U247" i="3"/>
  <c r="T189" i="3"/>
  <c r="U189" i="3"/>
  <c r="T241" i="3"/>
  <c r="U241" i="3"/>
  <c r="T242" i="3"/>
  <c r="U242" i="3"/>
  <c r="T243" i="3"/>
  <c r="U243" i="3"/>
  <c r="T244" i="3"/>
  <c r="U244" i="3"/>
  <c r="T245" i="3"/>
  <c r="U245" i="3"/>
  <c r="T236" i="3"/>
  <c r="U236" i="3"/>
  <c r="T249" i="3"/>
  <c r="U249" i="3"/>
  <c r="T248" i="3"/>
  <c r="U248" i="3"/>
  <c r="T250" i="3"/>
  <c r="U250" i="3"/>
  <c r="T237" i="3"/>
  <c r="U237" i="3"/>
  <c r="T251" i="3"/>
  <c r="U251" i="3"/>
  <c r="T252" i="3"/>
  <c r="U252" i="3"/>
  <c r="T253" i="3"/>
  <c r="U253" i="3"/>
  <c r="T254" i="3"/>
  <c r="U254" i="3"/>
  <c r="T255" i="3"/>
  <c r="U255" i="3"/>
  <c r="T256" i="3"/>
  <c r="U256" i="3"/>
  <c r="T257" i="3"/>
  <c r="U257" i="3"/>
  <c r="T258" i="3"/>
  <c r="U258" i="3"/>
  <c r="T259" i="3"/>
  <c r="U259" i="3"/>
  <c r="T260" i="3"/>
  <c r="U260" i="3"/>
  <c r="T2" i="3"/>
  <c r="R2" i="3"/>
  <c r="S3" i="3"/>
  <c r="S4" i="3"/>
  <c r="S5" i="3"/>
  <c r="S6" i="3"/>
  <c r="S7" i="3"/>
  <c r="S8" i="3"/>
  <c r="S9" i="3"/>
  <c r="S10" i="3"/>
  <c r="S11" i="3"/>
  <c r="S12" i="3"/>
  <c r="S13" i="3"/>
  <c r="S14" i="3"/>
  <c r="S15" i="3"/>
  <c r="S16" i="3"/>
  <c r="S17" i="3"/>
  <c r="S18" i="3"/>
  <c r="S19" i="3"/>
  <c r="S238" i="3"/>
  <c r="S20"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21" i="3"/>
  <c r="S59" i="3"/>
  <c r="S60" i="3"/>
  <c r="S61" i="3"/>
  <c r="S62" i="3"/>
  <c r="S63" i="3"/>
  <c r="S64" i="3"/>
  <c r="S65" i="3"/>
  <c r="S66" i="3"/>
  <c r="S67" i="3"/>
  <c r="S68" i="3"/>
  <c r="S69" i="3"/>
  <c r="S70" i="3"/>
  <c r="S58" i="3"/>
  <c r="S72" i="3"/>
  <c r="S73" i="3"/>
  <c r="S74" i="3"/>
  <c r="S75" i="3"/>
  <c r="S76" i="3"/>
  <c r="S71" i="3"/>
  <c r="S78" i="3"/>
  <c r="S239" i="3"/>
  <c r="S80" i="3"/>
  <c r="S81" i="3"/>
  <c r="S82" i="3"/>
  <c r="S83" i="3"/>
  <c r="S84" i="3"/>
  <c r="S85" i="3"/>
  <c r="S86" i="3"/>
  <c r="S87" i="3"/>
  <c r="S88" i="3"/>
  <c r="S89" i="3"/>
  <c r="S90" i="3"/>
  <c r="S91" i="3"/>
  <c r="S77"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240" i="3"/>
  <c r="S184" i="3"/>
  <c r="S185" i="3"/>
  <c r="S186" i="3"/>
  <c r="S187" i="3"/>
  <c r="S188" i="3"/>
  <c r="S7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92" i="3"/>
  <c r="S183" i="3"/>
  <c r="S246" i="3"/>
  <c r="S247" i="3"/>
  <c r="S189" i="3"/>
  <c r="S241" i="3"/>
  <c r="S242" i="3"/>
  <c r="S243" i="3"/>
  <c r="S244" i="3"/>
  <c r="S245" i="3"/>
  <c r="S236" i="3"/>
  <c r="S249" i="3"/>
  <c r="S248" i="3"/>
  <c r="S250" i="3"/>
  <c r="S237" i="3"/>
  <c r="S251" i="3"/>
  <c r="S252" i="3"/>
  <c r="S253" i="3"/>
  <c r="S254" i="3"/>
  <c r="S255" i="3"/>
  <c r="S256" i="3"/>
  <c r="S257" i="3"/>
  <c r="S258" i="3"/>
  <c r="S259" i="3"/>
  <c r="S260" i="3"/>
  <c r="S2" i="3"/>
  <c r="R3" i="3"/>
  <c r="R4" i="3"/>
  <c r="R5" i="3"/>
  <c r="R6" i="3"/>
  <c r="R7" i="3"/>
  <c r="R8" i="3"/>
  <c r="R9" i="3"/>
  <c r="R10" i="3"/>
  <c r="R11" i="3"/>
  <c r="R12" i="3"/>
  <c r="R13" i="3"/>
  <c r="R14" i="3"/>
  <c r="R15" i="3"/>
  <c r="R16" i="3"/>
  <c r="R17" i="3"/>
  <c r="R18" i="3"/>
  <c r="R19" i="3"/>
  <c r="R238" i="3"/>
  <c r="R20"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21" i="3"/>
  <c r="R59" i="3"/>
  <c r="R60" i="3"/>
  <c r="R61" i="3"/>
  <c r="R62" i="3"/>
  <c r="R63" i="3"/>
  <c r="R64" i="3"/>
  <c r="R65" i="3"/>
  <c r="R66" i="3"/>
  <c r="R67" i="3"/>
  <c r="R68" i="3"/>
  <c r="R69" i="3"/>
  <c r="R70" i="3"/>
  <c r="R58" i="3"/>
  <c r="R72" i="3"/>
  <c r="R73" i="3"/>
  <c r="R74" i="3"/>
  <c r="R75" i="3"/>
  <c r="R76" i="3"/>
  <c r="R71" i="3"/>
  <c r="R78" i="3"/>
  <c r="R239" i="3"/>
  <c r="R80" i="3"/>
  <c r="R81" i="3"/>
  <c r="R82" i="3"/>
  <c r="R83" i="3"/>
  <c r="R84" i="3"/>
  <c r="R85" i="3"/>
  <c r="R86" i="3"/>
  <c r="R87" i="3"/>
  <c r="R88" i="3"/>
  <c r="R89" i="3"/>
  <c r="R90" i="3"/>
  <c r="R91" i="3"/>
  <c r="R77"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240" i="3"/>
  <c r="R184" i="3"/>
  <c r="R185" i="3"/>
  <c r="R186" i="3"/>
  <c r="R187" i="3"/>
  <c r="R188" i="3"/>
  <c r="R7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92" i="3"/>
  <c r="R183" i="3"/>
  <c r="R246" i="3"/>
  <c r="R247" i="3"/>
  <c r="R189" i="3"/>
  <c r="R241" i="3"/>
  <c r="R242" i="3"/>
  <c r="R243" i="3"/>
  <c r="R244" i="3"/>
  <c r="R245" i="3"/>
  <c r="R236" i="3"/>
  <c r="R249" i="3"/>
  <c r="R248" i="3"/>
  <c r="R250" i="3"/>
  <c r="R237" i="3"/>
  <c r="R251" i="3"/>
  <c r="R252" i="3"/>
  <c r="R253" i="3"/>
  <c r="R254" i="3"/>
  <c r="R255" i="3"/>
  <c r="R256" i="3"/>
  <c r="R257" i="3"/>
  <c r="R258" i="3"/>
  <c r="R259" i="3"/>
  <c r="R260" i="3"/>
  <c r="Q2" i="3"/>
  <c r="Q3" i="3"/>
  <c r="Q4" i="3"/>
  <c r="Q5" i="3"/>
  <c r="Q6" i="3"/>
  <c r="Q7" i="3"/>
  <c r="Q8" i="3"/>
  <c r="Q9" i="3"/>
  <c r="Q10" i="3"/>
  <c r="Q11" i="3"/>
  <c r="Q12" i="3"/>
  <c r="Q13" i="3"/>
  <c r="Q14" i="3"/>
  <c r="Q15" i="3"/>
  <c r="Q16" i="3"/>
  <c r="Q17" i="3"/>
  <c r="Q18" i="3"/>
  <c r="Q19" i="3"/>
  <c r="Q238" i="3"/>
  <c r="Q20"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21" i="3"/>
  <c r="Q59" i="3"/>
  <c r="Q60" i="3"/>
  <c r="Q61" i="3"/>
  <c r="Q62" i="3"/>
  <c r="Q63" i="3"/>
  <c r="Q64" i="3"/>
  <c r="Q65" i="3"/>
  <c r="Q66" i="3"/>
  <c r="Q67" i="3"/>
  <c r="Q68" i="3"/>
  <c r="Q69" i="3"/>
  <c r="Q70" i="3"/>
  <c r="Q58" i="3"/>
  <c r="Q72" i="3"/>
  <c r="Q73" i="3"/>
  <c r="Q74" i="3"/>
  <c r="Q75" i="3"/>
  <c r="Q76" i="3"/>
  <c r="Q71" i="3"/>
  <c r="Q78" i="3"/>
  <c r="Q239" i="3"/>
  <c r="Q80" i="3"/>
  <c r="Q81" i="3"/>
  <c r="Q82" i="3"/>
  <c r="Q83" i="3"/>
  <c r="Q84" i="3"/>
  <c r="Q85" i="3"/>
  <c r="Q86" i="3"/>
  <c r="Q87" i="3"/>
  <c r="Q88" i="3"/>
  <c r="Q89" i="3"/>
  <c r="Q90" i="3"/>
  <c r="Q91" i="3"/>
  <c r="Q77"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240" i="3"/>
  <c r="Q184" i="3"/>
  <c r="Q185" i="3"/>
  <c r="Q186" i="3"/>
  <c r="Q187" i="3"/>
  <c r="Q188" i="3"/>
  <c r="Q7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92" i="3"/>
  <c r="Q183" i="3"/>
  <c r="Q246" i="3"/>
  <c r="Q247" i="3"/>
  <c r="Q189" i="3"/>
  <c r="Q241" i="3"/>
  <c r="Q242" i="3"/>
  <c r="Q243" i="3"/>
  <c r="Q244" i="3"/>
  <c r="Q245" i="3"/>
  <c r="Q236" i="3"/>
  <c r="Q249" i="3"/>
  <c r="Q248" i="3"/>
  <c r="Q250" i="3"/>
  <c r="Q237" i="3"/>
  <c r="Q251" i="3"/>
  <c r="Q252" i="3"/>
  <c r="Q253" i="3"/>
  <c r="Q254" i="3"/>
  <c r="Q255" i="3"/>
  <c r="Q256" i="3"/>
  <c r="Q257" i="3"/>
  <c r="Q258" i="3"/>
  <c r="Q259" i="3"/>
  <c r="Q260" i="3"/>
  <c r="P3" i="3"/>
  <c r="P4" i="3"/>
  <c r="P5" i="3"/>
  <c r="P6" i="3"/>
  <c r="P7" i="3"/>
  <c r="P8" i="3"/>
  <c r="P9" i="3"/>
  <c r="P10" i="3"/>
  <c r="P11" i="3"/>
  <c r="P12" i="3"/>
  <c r="P13" i="3"/>
  <c r="P14" i="3"/>
  <c r="P15" i="3"/>
  <c r="P16" i="3"/>
  <c r="P17" i="3"/>
  <c r="P18" i="3"/>
  <c r="P19" i="3"/>
  <c r="P238" i="3"/>
  <c r="P20"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21" i="3"/>
  <c r="P59" i="3"/>
  <c r="P60" i="3"/>
  <c r="P61" i="3"/>
  <c r="P62" i="3"/>
  <c r="P63" i="3"/>
  <c r="P64" i="3"/>
  <c r="P65" i="3"/>
  <c r="P66" i="3"/>
  <c r="P67" i="3"/>
  <c r="P68" i="3"/>
  <c r="P69" i="3"/>
  <c r="P70" i="3"/>
  <c r="P58" i="3"/>
  <c r="P72" i="3"/>
  <c r="P73" i="3"/>
  <c r="P74" i="3"/>
  <c r="P75" i="3"/>
  <c r="P76" i="3"/>
  <c r="P71" i="3"/>
  <c r="P78" i="3"/>
  <c r="P239" i="3"/>
  <c r="P80" i="3"/>
  <c r="P81" i="3"/>
  <c r="P82" i="3"/>
  <c r="P83" i="3"/>
  <c r="P84" i="3"/>
  <c r="P85" i="3"/>
  <c r="P86" i="3"/>
  <c r="P87" i="3"/>
  <c r="P88" i="3"/>
  <c r="P89" i="3"/>
  <c r="P90" i="3"/>
  <c r="P91" i="3"/>
  <c r="P77"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240" i="3"/>
  <c r="P184" i="3"/>
  <c r="P185" i="3"/>
  <c r="P186" i="3"/>
  <c r="P187" i="3"/>
  <c r="P188" i="3"/>
  <c r="P7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92" i="3"/>
  <c r="P183" i="3"/>
  <c r="P246" i="3"/>
  <c r="P247" i="3"/>
  <c r="P189" i="3"/>
  <c r="P241" i="3"/>
  <c r="P242" i="3"/>
  <c r="P243" i="3"/>
  <c r="P244" i="3"/>
  <c r="P245" i="3"/>
  <c r="P236" i="3"/>
  <c r="P249" i="3"/>
  <c r="P248" i="3"/>
  <c r="P250" i="3"/>
  <c r="P237" i="3"/>
  <c r="P251" i="3"/>
  <c r="P252" i="3"/>
  <c r="P253" i="3"/>
  <c r="P254" i="3"/>
  <c r="P255" i="3"/>
  <c r="P256" i="3"/>
  <c r="P257" i="3"/>
  <c r="P258" i="3"/>
  <c r="P259" i="3"/>
  <c r="P260" i="3"/>
  <c r="P2" i="3"/>
  <c r="O3" i="3"/>
  <c r="O4" i="3"/>
  <c r="O5" i="3"/>
  <c r="O6" i="3"/>
  <c r="O7" i="3"/>
  <c r="O8" i="3"/>
  <c r="O9" i="3"/>
  <c r="O10" i="3"/>
  <c r="O11" i="3"/>
  <c r="O12" i="3"/>
  <c r="O13" i="3"/>
  <c r="O14" i="3"/>
  <c r="O15" i="3"/>
  <c r="O16" i="3"/>
  <c r="O17" i="3"/>
  <c r="O18" i="3"/>
  <c r="O19" i="3"/>
  <c r="O238" i="3"/>
  <c r="O20"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21" i="3"/>
  <c r="O59" i="3"/>
  <c r="O60" i="3"/>
  <c r="O61" i="3"/>
  <c r="O62" i="3"/>
  <c r="O63" i="3"/>
  <c r="O64" i="3"/>
  <c r="O65" i="3"/>
  <c r="O66" i="3"/>
  <c r="O67" i="3"/>
  <c r="O68" i="3"/>
  <c r="O69" i="3"/>
  <c r="O70" i="3"/>
  <c r="O58" i="3"/>
  <c r="O72" i="3"/>
  <c r="O73" i="3"/>
  <c r="O74" i="3"/>
  <c r="O75" i="3"/>
  <c r="O76" i="3"/>
  <c r="O71" i="3"/>
  <c r="O78" i="3"/>
  <c r="O239" i="3"/>
  <c r="O80" i="3"/>
  <c r="O81" i="3"/>
  <c r="O82" i="3"/>
  <c r="O83" i="3"/>
  <c r="O84" i="3"/>
  <c r="O85" i="3"/>
  <c r="O86" i="3"/>
  <c r="O87" i="3"/>
  <c r="O88" i="3"/>
  <c r="O89" i="3"/>
  <c r="O90" i="3"/>
  <c r="O91" i="3"/>
  <c r="O77"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240" i="3"/>
  <c r="O184" i="3"/>
  <c r="O185" i="3"/>
  <c r="O186" i="3"/>
  <c r="O187" i="3"/>
  <c r="O188" i="3"/>
  <c r="O7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92" i="3"/>
  <c r="O183" i="3"/>
  <c r="O246" i="3"/>
  <c r="O247" i="3"/>
  <c r="O189" i="3"/>
  <c r="O241" i="3"/>
  <c r="O242" i="3"/>
  <c r="O243" i="3"/>
  <c r="O244" i="3"/>
  <c r="O245" i="3"/>
  <c r="O236" i="3"/>
  <c r="O249" i="3"/>
  <c r="O248" i="3"/>
  <c r="O250" i="3"/>
  <c r="O237" i="3"/>
  <c r="O251" i="3"/>
  <c r="O252" i="3"/>
  <c r="O253" i="3"/>
  <c r="O254" i="3"/>
  <c r="O255" i="3"/>
  <c r="O256" i="3"/>
  <c r="O257" i="3"/>
  <c r="O258" i="3"/>
  <c r="O259" i="3"/>
  <c r="O260" i="3"/>
  <c r="O2" i="3"/>
  <c r="N2" i="3"/>
  <c r="N3" i="3"/>
  <c r="N4" i="3"/>
  <c r="N5" i="3"/>
  <c r="N6" i="3"/>
  <c r="N7" i="3"/>
  <c r="N8" i="3"/>
  <c r="N9" i="3"/>
  <c r="N10" i="3"/>
  <c r="N11" i="3"/>
  <c r="N12" i="3"/>
  <c r="N13" i="3"/>
  <c r="N14" i="3"/>
  <c r="N15" i="3"/>
  <c r="N16" i="3"/>
  <c r="N17" i="3"/>
  <c r="N18" i="3"/>
  <c r="N19" i="3"/>
  <c r="N238" i="3"/>
  <c r="N20"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21" i="3"/>
  <c r="N59" i="3"/>
  <c r="N60" i="3"/>
  <c r="N61" i="3"/>
  <c r="N62" i="3"/>
  <c r="N63" i="3"/>
  <c r="N64" i="3"/>
  <c r="N65" i="3"/>
  <c r="N66" i="3"/>
  <c r="N67" i="3"/>
  <c r="N68" i="3"/>
  <c r="N69" i="3"/>
  <c r="N70" i="3"/>
  <c r="N58" i="3"/>
  <c r="N72" i="3"/>
  <c r="N73" i="3"/>
  <c r="N74" i="3"/>
  <c r="N75" i="3"/>
  <c r="N76" i="3"/>
  <c r="N71" i="3"/>
  <c r="N78" i="3"/>
  <c r="N239" i="3"/>
  <c r="N80" i="3"/>
  <c r="N81" i="3"/>
  <c r="N82" i="3"/>
  <c r="N83" i="3"/>
  <c r="N84" i="3"/>
  <c r="N85" i="3"/>
  <c r="N86" i="3"/>
  <c r="N87" i="3"/>
  <c r="N88" i="3"/>
  <c r="N89" i="3"/>
  <c r="N90" i="3"/>
  <c r="N91" i="3"/>
  <c r="N77"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240" i="3"/>
  <c r="N184" i="3"/>
  <c r="N185" i="3"/>
  <c r="N186" i="3"/>
  <c r="N187" i="3"/>
  <c r="N188" i="3"/>
  <c r="N7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92" i="3"/>
  <c r="N183" i="3"/>
  <c r="N246" i="3"/>
  <c r="N247" i="3"/>
  <c r="N189" i="3"/>
  <c r="N241" i="3"/>
  <c r="N242" i="3"/>
  <c r="N243" i="3"/>
  <c r="N244" i="3"/>
  <c r="N245" i="3"/>
  <c r="N236" i="3"/>
  <c r="N249" i="3"/>
  <c r="N248" i="3"/>
  <c r="N250" i="3"/>
  <c r="N237" i="3"/>
  <c r="N251" i="3"/>
  <c r="N252" i="3"/>
  <c r="N253" i="3"/>
  <c r="N254" i="3"/>
  <c r="N255" i="3"/>
  <c r="N256" i="3"/>
  <c r="N257" i="3"/>
  <c r="N258" i="3"/>
  <c r="N259" i="3"/>
  <c r="J3" i="3"/>
  <c r="J4" i="3"/>
  <c r="J5" i="3"/>
  <c r="J6" i="3"/>
  <c r="J7" i="3"/>
  <c r="J8" i="3"/>
  <c r="J9" i="3"/>
  <c r="J10" i="3"/>
  <c r="J11" i="3"/>
  <c r="J12" i="3"/>
  <c r="J13" i="3"/>
  <c r="J14" i="3"/>
  <c r="J15" i="3"/>
  <c r="J16" i="3"/>
  <c r="J17" i="3"/>
  <c r="J18" i="3"/>
  <c r="J19" i="3"/>
  <c r="J238" i="3"/>
  <c r="J20" i="3"/>
  <c r="J22" i="3"/>
  <c r="J23" i="3"/>
  <c r="J24" i="3"/>
  <c r="J25" i="3"/>
  <c r="J26" i="3"/>
  <c r="J27" i="3"/>
  <c r="J28" i="3"/>
  <c r="J29" i="3"/>
  <c r="J30" i="3"/>
  <c r="J31" i="3"/>
  <c r="J32" i="3"/>
  <c r="J33" i="3"/>
  <c r="J34" i="3"/>
  <c r="J35" i="3"/>
  <c r="J36" i="3"/>
  <c r="J37" i="3"/>
  <c r="J38" i="3"/>
  <c r="J39" i="3"/>
  <c r="J40" i="3"/>
  <c r="J41" i="3"/>
  <c r="J42" i="3"/>
  <c r="J43" i="3"/>
  <c r="J44" i="3"/>
  <c r="J45" i="3"/>
  <c r="J46" i="3"/>
  <c r="J47" i="3"/>
  <c r="J48" i="3"/>
  <c r="J50" i="3"/>
  <c r="J51" i="3"/>
  <c r="J52" i="3"/>
  <c r="J53" i="3"/>
  <c r="J54" i="3"/>
  <c r="J55" i="3"/>
  <c r="J56" i="3"/>
  <c r="J57" i="3"/>
  <c r="J21" i="3"/>
  <c r="J59" i="3"/>
  <c r="J60" i="3"/>
  <c r="J61" i="3"/>
  <c r="J62" i="3"/>
  <c r="J63" i="3"/>
  <c r="J64" i="3"/>
  <c r="J65" i="3"/>
  <c r="J66" i="3"/>
  <c r="J67" i="3"/>
  <c r="J68" i="3"/>
  <c r="J69" i="3"/>
  <c r="J70" i="3"/>
  <c r="J58" i="3"/>
  <c r="J72" i="3"/>
  <c r="J73" i="3"/>
  <c r="J74" i="3"/>
  <c r="J75" i="3"/>
  <c r="J76" i="3"/>
  <c r="J71" i="3"/>
  <c r="J78" i="3"/>
  <c r="J239" i="3"/>
  <c r="J80" i="3"/>
  <c r="J81" i="3"/>
  <c r="J82" i="3"/>
  <c r="J83" i="3"/>
  <c r="J84" i="3"/>
  <c r="J85" i="3"/>
  <c r="J86" i="3"/>
  <c r="J87" i="3"/>
  <c r="J88" i="3"/>
  <c r="J89" i="3"/>
  <c r="J90" i="3"/>
  <c r="J91" i="3"/>
  <c r="J77"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240" i="3"/>
  <c r="J184" i="3"/>
  <c r="J185" i="3"/>
  <c r="J186" i="3"/>
  <c r="J187" i="3"/>
  <c r="J188" i="3"/>
  <c r="J7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92" i="3"/>
  <c r="J183" i="3"/>
  <c r="J246" i="3"/>
  <c r="J247" i="3"/>
  <c r="J189" i="3"/>
  <c r="J241" i="3"/>
  <c r="J242" i="3"/>
  <c r="J243" i="3"/>
  <c r="J244" i="3"/>
  <c r="J245" i="3"/>
  <c r="J236" i="3"/>
  <c r="J249" i="3"/>
  <c r="J248" i="3"/>
  <c r="J250" i="3"/>
  <c r="J237" i="3"/>
  <c r="J251" i="3"/>
  <c r="J252" i="3"/>
  <c r="J253" i="3"/>
  <c r="J254" i="3"/>
  <c r="J255" i="3"/>
  <c r="J256" i="3"/>
  <c r="J257" i="3"/>
  <c r="J258" i="3"/>
  <c r="J259" i="3"/>
  <c r="J260" i="3"/>
  <c r="J2" i="3"/>
  <c r="H4" i="3" l="1"/>
  <c r="H5" i="3"/>
  <c r="H6" i="3"/>
  <c r="H7" i="3"/>
  <c r="H8" i="3"/>
  <c r="H10" i="3"/>
  <c r="H12" i="3"/>
  <c r="H13" i="3"/>
  <c r="H14" i="3"/>
  <c r="H16" i="3"/>
  <c r="H17" i="3"/>
  <c r="H18" i="3"/>
  <c r="H238" i="3"/>
  <c r="H20" i="3"/>
  <c r="H22" i="3"/>
  <c r="H24" i="3"/>
  <c r="H25" i="3"/>
  <c r="H26" i="3"/>
  <c r="H27" i="3"/>
  <c r="H29" i="3"/>
  <c r="H33" i="3"/>
  <c r="H39" i="3"/>
  <c r="H40" i="3"/>
  <c r="H43" i="3"/>
  <c r="H45" i="3"/>
  <c r="H47" i="3"/>
  <c r="H49" i="3"/>
  <c r="H54" i="3"/>
  <c r="H56" i="3"/>
  <c r="H21" i="3"/>
  <c r="H59" i="3"/>
  <c r="H60" i="3"/>
  <c r="H61" i="3"/>
  <c r="H63" i="3"/>
  <c r="H64" i="3"/>
  <c r="H65" i="3"/>
  <c r="H66" i="3"/>
  <c r="H67" i="3"/>
  <c r="H68" i="3"/>
  <c r="H72" i="3"/>
  <c r="H76" i="3"/>
  <c r="H71" i="3"/>
  <c r="H78" i="3"/>
  <c r="H239" i="3"/>
  <c r="H82" i="3"/>
  <c r="H83" i="3"/>
  <c r="H84" i="3"/>
  <c r="H85" i="3"/>
  <c r="H86" i="3"/>
  <c r="H87" i="3"/>
  <c r="H90" i="3"/>
  <c r="H77" i="3"/>
  <c r="H93" i="3"/>
  <c r="H94" i="3"/>
  <c r="H95" i="3"/>
  <c r="H97" i="3"/>
  <c r="H98" i="3"/>
  <c r="H99" i="3"/>
  <c r="H100" i="3"/>
  <c r="H101" i="3"/>
  <c r="H102" i="3"/>
  <c r="H103" i="3"/>
  <c r="H104" i="3"/>
  <c r="H105" i="3"/>
  <c r="H106" i="3"/>
  <c r="H108" i="3"/>
  <c r="H109" i="3"/>
  <c r="H116" i="3"/>
  <c r="H119" i="3"/>
  <c r="H121" i="3"/>
  <c r="H126" i="3"/>
  <c r="H129" i="3"/>
  <c r="H130" i="3"/>
  <c r="H131" i="3"/>
  <c r="H132" i="3"/>
  <c r="H133" i="3"/>
  <c r="H138" i="3"/>
  <c r="H142" i="3"/>
  <c r="H147" i="3"/>
  <c r="H148" i="3"/>
  <c r="H153" i="3"/>
  <c r="H154" i="3"/>
  <c r="H155" i="3"/>
  <c r="H156" i="3"/>
  <c r="H160" i="3"/>
  <c r="H161" i="3"/>
  <c r="H162" i="3"/>
  <c r="H163" i="3"/>
  <c r="H164" i="3"/>
  <c r="H166" i="3"/>
  <c r="H167" i="3"/>
  <c r="H169" i="3"/>
  <c r="H170" i="3"/>
  <c r="H172" i="3"/>
  <c r="H173" i="3"/>
  <c r="H174" i="3"/>
  <c r="H175" i="3"/>
  <c r="H176" i="3"/>
  <c r="H79" i="3"/>
  <c r="H192" i="3"/>
  <c r="H195" i="3"/>
  <c r="H196" i="3"/>
  <c r="H199" i="3"/>
  <c r="H200" i="3"/>
  <c r="H202" i="3"/>
  <c r="H203" i="3"/>
  <c r="H209" i="3"/>
  <c r="H213" i="3"/>
  <c r="H231" i="3"/>
  <c r="H233" i="3"/>
  <c r="H234" i="3"/>
  <c r="H235" i="3"/>
  <c r="H92" i="3"/>
  <c r="H183" i="3"/>
  <c r="H246" i="3"/>
  <c r="H247" i="3"/>
  <c r="H189" i="3"/>
  <c r="H241" i="3"/>
  <c r="H242" i="3"/>
  <c r="H243" i="3"/>
  <c r="H244" i="3"/>
  <c r="H245" i="3"/>
  <c r="H236" i="3"/>
  <c r="H249" i="3"/>
  <c r="H248" i="3"/>
  <c r="H251" i="3"/>
  <c r="H252" i="3"/>
  <c r="H253" i="3"/>
  <c r="H254" i="3"/>
  <c r="H255" i="3"/>
  <c r="H259" i="3"/>
  <c r="H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<sst xmlns="http://schemas.openxmlformats.org/spreadsheetml/2006/main" count="3621" uniqueCount="1461">
  <si>
    <t>PanelistIdQuestion</t>
  </si>
  <si>
    <t>NonTASDSample</t>
  </si>
  <si>
    <t>ConsentAgreement</t>
  </si>
  <si>
    <t>SchoolDistrict_OE</t>
  </si>
  <si>
    <t>City_OE</t>
  </si>
  <si>
    <t>State_OE</t>
  </si>
  <si>
    <t>Q2_JobTitle</t>
  </si>
  <si>
    <t>Q2_JobTitle_15_other</t>
  </si>
  <si>
    <t>Q40_WhodecidesESB_SuperintendentAdministrator</t>
  </si>
  <si>
    <t>Q40_WhodecidesESB_ExecutiveOtherManager</t>
  </si>
  <si>
    <t>Q40_WhodecidesESB_TransportationDirector</t>
  </si>
  <si>
    <t>Q40_WhodecidesESB_TransportationManagerAdministrator</t>
  </si>
  <si>
    <t>Q40_WhodecidesESB_FleetManager</t>
  </si>
  <si>
    <t>Q40_WhodecidesESB_Businessmanagersupervisor</t>
  </si>
  <si>
    <t>Q40_WhodecidesESB_OperationsManagerSupervisor</t>
  </si>
  <si>
    <t>Q40_WhodecidesESB_SchoolBoardorotherpublicofficial</t>
  </si>
  <si>
    <t>Q40_WhodecidesESB_Otherpleasespecify</t>
  </si>
  <si>
    <t>Q3_SchoolType</t>
  </si>
  <si>
    <t>Q3_SchoolType_3_other</t>
  </si>
  <si>
    <t>Q4_BusTypeandCount_NumberofTypeAsmalltypicallyseatingfewerthan36</t>
  </si>
  <si>
    <t>Q4_BusTypeandCount_NumberofTypeCseatingbetween40and83studentswit</t>
  </si>
  <si>
    <t>Q4_BusTypeandCount_NumberofTypeDlargestseatingupto90studentswith</t>
  </si>
  <si>
    <t>Q4_BusTypeandCount_1_other</t>
  </si>
  <si>
    <t>Q4_BusTypeandCount_2_other</t>
  </si>
  <si>
    <t>Q4_BusTypeandCount_3_other</t>
  </si>
  <si>
    <t>Q4_BusTypeandCount_1_other_num</t>
  </si>
  <si>
    <t>Q4_BusTypeandCount_2_other_num</t>
  </si>
  <si>
    <t>Q4_BusTypeandCount_3_other_num</t>
  </si>
  <si>
    <t>Q5_FuelType_Diesel</t>
  </si>
  <si>
    <t>Q5_FuelType_Gasoline</t>
  </si>
  <si>
    <t>Q5_FuelType_CNG</t>
  </si>
  <si>
    <t>Q5_FuelType_Propane</t>
  </si>
  <si>
    <t>Q5_FuelType_Electric</t>
  </si>
  <si>
    <t>Q5_FuelType_Otherpleasespecify</t>
  </si>
  <si>
    <t>Q5_FuelType_6_other</t>
  </si>
  <si>
    <t>Q41_FuelType_Preferred</t>
  </si>
  <si>
    <t>Q41_FuelType_Preferred_6_other</t>
  </si>
  <si>
    <t>Q6_OperationalModel</t>
  </si>
  <si>
    <t>Q6_OperationalModel_5_other</t>
  </si>
  <si>
    <t>Q9_ClnBusProgAware</t>
  </si>
  <si>
    <t>Q10_CleanSBProgrFunds</t>
  </si>
  <si>
    <t>Q11_CleanSBProgrInterest</t>
  </si>
  <si>
    <t>Q12_QCCVTaxCredAwareness</t>
  </si>
  <si>
    <t>Q13_QCCVTaxCredInterest</t>
  </si>
  <si>
    <t>Q15_GreenBanksFundingAwareness</t>
  </si>
  <si>
    <t>Q8_FinSuppOppty</t>
  </si>
  <si>
    <t>Q42_DistConsESB</t>
  </si>
  <si>
    <t>Q43_WhyConsButNotAdopt_Fundingisavailable</t>
  </si>
  <si>
    <t>Q43_WhyConsButNotAdopt_Communityconcernsaboutlocalairquality</t>
  </si>
  <si>
    <t>Q43_WhyConsButNotAdopt_Individualconcernsaboutlocalairquality</t>
  </si>
  <si>
    <t>Q43_WhyConsButNotAdopt_Interestedintakingclimateaction</t>
  </si>
  <si>
    <t>Q43_WhyConsButNotAdopt_Generaldemandandinterestfromourlocalcommu</t>
  </si>
  <si>
    <t>Q43_WhyConsButNotAdopt_OtherPleasespecify</t>
  </si>
  <si>
    <t>Q43_WhyConsButNotAdopt_6_other</t>
  </si>
  <si>
    <t>Q17_ESB_Barrier_Cannotcurrentlyaffordelectricschoolbuses</t>
  </si>
  <si>
    <t>Q17_ESB_Barrier_Cannotaccessnewfundingorfinancing</t>
  </si>
  <si>
    <t>Q17_ESB_Barrier_Hesitationduetoourlongbusroutes</t>
  </si>
  <si>
    <t>Q17_ESB_Barrier_Hesitationduetoourclimate</t>
  </si>
  <si>
    <t>Q17_ESB_Barrier_Geographicalfactorsliketerrainorbeinginaruralloc</t>
  </si>
  <si>
    <t>Q17_ESB_Barrier_Aligningstakeholdersinsidetheschoolsystemegtrans</t>
  </si>
  <si>
    <t>Q17_ESB_Barrier_Staffingconstraints</t>
  </si>
  <si>
    <t>Q17_ESB_Barrier_Gettingcommunitybuyin</t>
  </si>
  <si>
    <t>Q17_ESB_Barrier_Buildingoutinfrastructureandworkingwithutilities</t>
  </si>
  <si>
    <t>Q17_ESB_Barrier_Workingwithmanufacturersorschoolbusdealers</t>
  </si>
  <si>
    <t>Q17_ESB_Barrier_Safetyconsiderationswiththenewtechnology</t>
  </si>
  <si>
    <t>Q17_ESB_Barrier_Maintainingthebus</t>
  </si>
  <si>
    <t>Q17_ESB_Barrier_Operatingthebus</t>
  </si>
  <si>
    <t>Q17_ESB_Barrier_Batteryendoflifemanagement</t>
  </si>
  <si>
    <t>Q17_ESB_Barrier_Wearecurrentlyplanningforelectricschoolbuses</t>
  </si>
  <si>
    <t>Q17_ESB_Barrier_Thereisnointerestinelectricschoolbuses</t>
  </si>
  <si>
    <t>Q17_ESB_Barrier_Other</t>
  </si>
  <si>
    <t>Q17a_Other_Specify_OE</t>
  </si>
  <si>
    <t>Q18_ESB_Barrier_Biggest</t>
  </si>
  <si>
    <t>Q19_EquityPrinciples_NonESB</t>
  </si>
  <si>
    <t>Q20_EquityPrinciples_NonESB_Explain_OE</t>
  </si>
  <si>
    <t>Q21_Conf_In_InfoAwareness</t>
  </si>
  <si>
    <t>Q22_Conf_In_OpModelInfo</t>
  </si>
  <si>
    <t>Q44_TechAsst_ESBTransition_NRELNationalRenewableEnergyLaboratory</t>
  </si>
  <si>
    <t>Q44_TechAsst_ESBTransition_Utility</t>
  </si>
  <si>
    <t>Q44_TechAsst_ESBTransition_Stateagency</t>
  </si>
  <si>
    <t>Q44_TechAsst_ESBTransition_WRIsElectricSchoolBusInitiative</t>
  </si>
  <si>
    <t>Q44_TechAsst_ESBTransition_LocalNGOincludingCleanCities</t>
  </si>
  <si>
    <t>Q44_TechAsst_ESBTransition_Privateconsultant</t>
  </si>
  <si>
    <t>Q44_TechAsst_ESBTransition_Peerschooldistrict</t>
  </si>
  <si>
    <t>Q44_TechAsst_ESBTransition_Wantedtechnicalassistancebutcouldntfi</t>
  </si>
  <si>
    <t>Q44_TechAsst_ESBTransition_Didntwanttechnicalassistanceanddidntr</t>
  </si>
  <si>
    <t>Q23_UtilityCommunication_Emailcommunication</t>
  </si>
  <si>
    <t>Q23_UtilityCommunication_Websiteinquiry</t>
  </si>
  <si>
    <t>Q23_UtilityCommunication_Phonecall</t>
  </si>
  <si>
    <t>Q23_UtilityCommunication_Personalvisit</t>
  </si>
  <si>
    <t>Q23_UtilityCommunication_Textmessagecommunication</t>
  </si>
  <si>
    <t>Q23_UtilityCommunication_Otherpleasedescribe</t>
  </si>
  <si>
    <t>Q23_UtilityCommunication_Nocommunication</t>
  </si>
  <si>
    <t>Q23_UtilityCommunication_6_other</t>
  </si>
  <si>
    <t>Q45_UtilityComm_Who_OE</t>
  </si>
  <si>
    <t>Q46_UtilityComm_Beneficial</t>
  </si>
  <si>
    <t>Q24_ChargingSystemInstall</t>
  </si>
  <si>
    <t>Q24_ChargingSystemInstall_3_other</t>
  </si>
  <si>
    <t>Q25_ChargingSystemAvail</t>
  </si>
  <si>
    <t>Q25_ChargingSystemAvail_3_other</t>
  </si>
  <si>
    <t>Q26_AnyChargingSystemProb</t>
  </si>
  <si>
    <t>Q26_AnyChargingSystemProb_3_other</t>
  </si>
  <si>
    <t>Q27_DescChargingSystemProb_OE</t>
  </si>
  <si>
    <t>Q28_ChargerMgmt</t>
  </si>
  <si>
    <t>Q28_ChargerMgmt_3_other</t>
  </si>
  <si>
    <t>Q29_ChargerProvider</t>
  </si>
  <si>
    <t>Q29_ChargerProvider_12_other</t>
  </si>
  <si>
    <t>Q30_ESBExperience_OE</t>
  </si>
  <si>
    <t>Q31_OperationsDataOptIn</t>
  </si>
  <si>
    <t>Q32_OperationsDataContactInfo</t>
  </si>
  <si>
    <t>Q33_EquityPrinciples_ESB</t>
  </si>
  <si>
    <t>Q34_EquityPrinciples_ESB_Explain_OE</t>
  </si>
  <si>
    <t>Q35_GenlNewsSource_Newspapers</t>
  </si>
  <si>
    <t>Q35_GenlNewsSource_GeneralInterestMagazines</t>
  </si>
  <si>
    <t>Q35_GenlNewsSource_Trademagazines</t>
  </si>
  <si>
    <t>Q35_GenlNewsSource_Socialmedia</t>
  </si>
  <si>
    <t>Q35_GenlNewsSource_Television</t>
  </si>
  <si>
    <t>Q35_GenlNewsSource_Emailnewsletters</t>
  </si>
  <si>
    <t>Q35_GenlNewsSource_Blogs</t>
  </si>
  <si>
    <t>Q35_GenlNewsSource_Podcasts</t>
  </si>
  <si>
    <t>Q35_GenlNewsSource_Otherpleasespecify</t>
  </si>
  <si>
    <t>Q35_GenlNewsSource_None</t>
  </si>
  <si>
    <t>Q35_GenlNewsSource_9_other</t>
  </si>
  <si>
    <t>Q36_PupilTransNewsSource_NewspapersPleasespecifywhichones</t>
  </si>
  <si>
    <t>Q36_PupilTransNewsSource_TrademagazinesortheirwebsitesPleasespec</t>
  </si>
  <si>
    <t>Q36_PupilTransNewsSource_SocialmediaPleasespecifythoseyoufindesp</t>
  </si>
  <si>
    <t>Q36_PupilTransNewsSource_Emailnewsletters</t>
  </si>
  <si>
    <t>Q36_PupilTransNewsSource_VendorSupplierWebsites</t>
  </si>
  <si>
    <t>Q36_PupilTransNewsSource_Blogs</t>
  </si>
  <si>
    <t>Q36_PupilTransNewsSource_PodcastsPleasespecifywhichones</t>
  </si>
  <si>
    <t>Q36_PupilTransNewsSource_WhitepaperseBooks</t>
  </si>
  <si>
    <t>Q36_PupilTransNewsSource_WebcastsWebinars</t>
  </si>
  <si>
    <t>Q36_PupilTransNewsSource_Industryeventsconferencestradeshowsonli</t>
  </si>
  <si>
    <t>Q36_PupilTransNewsSource_PupilTransportationAssociations</t>
  </si>
  <si>
    <t>Q36_PupilTransNewsSource_Otherpleasespecify</t>
  </si>
  <si>
    <t>Q36_PupilTransNewsSource_None</t>
  </si>
  <si>
    <t>Q36_PupilTransNewsSource_1_other</t>
  </si>
  <si>
    <t>Q36_PupilTransNewsSource_1_other_c</t>
  </si>
  <si>
    <t>Q36_PupilTransNewsSource_2_other</t>
  </si>
  <si>
    <t>Q36_PupilTransNewsSource_2_other_SBFSchoolBusFleetSchoolBusFleetForumSchoolbusFleetmagSchoolbusfleetmagazineSBFN</t>
  </si>
  <si>
    <t>Q36_PupilTransNewsSource_2_other_STNSchoolTransportationNewsSchoolBusTransportationNews</t>
  </si>
  <si>
    <t>Q36_PupilTransNewsSource_2_other_AutomotiveFleet</t>
  </si>
  <si>
    <t>Q36_PupilTransNewsSource_2_other_GovernmentFleet</t>
  </si>
  <si>
    <t>Q36_PupilTransNewsSource_2_other_HeavyDutyTrucking</t>
  </si>
  <si>
    <t>Q36_PupilTransNewsSource_2_other_ACT</t>
  </si>
  <si>
    <t>Q36_PupilTransNewsSource_2_other_WRI</t>
  </si>
  <si>
    <t>Q36_PupilTransNewsSource_2_other_NAPT</t>
  </si>
  <si>
    <t>Q36_PupilTransNewsSource_2_other_OAPT</t>
  </si>
  <si>
    <t>Q36_PupilTransNewsSource_2_other_UnityParts</t>
  </si>
  <si>
    <t>Q36_PupilTransNewsSource_2_other_SchoolBusRide</t>
  </si>
  <si>
    <t>Q36_PupilTransNewsSource_2_other_FleetOwner</t>
  </si>
  <si>
    <t>Q36_PupilTransNewsSource_2_other_Metro</t>
  </si>
  <si>
    <t>Q36_PupilTransNewsSource_2_other_MassTransit</t>
  </si>
  <si>
    <t>Q36_PupilTransNewsSource_2_other_SchoolsAdministration</t>
  </si>
  <si>
    <t>Q36_PupilTransNewsSource_2_other_MiscellaneousHybridTitles</t>
  </si>
  <si>
    <t>Q36_PupilTransNewsSource_2_other_HDHeadlines</t>
  </si>
  <si>
    <t>Q36_PupilTransNewsSource_2_other_CCJDailyReport</t>
  </si>
  <si>
    <t>Q36_PupilTransNewsSource_2_other_CommercialCarrier</t>
  </si>
  <si>
    <t>Q36_PupilTransNewsSource_2_other_UtilityTruck</t>
  </si>
  <si>
    <t>Q36_PupilTransNewsSource_2_other_InPlantImpressions</t>
  </si>
  <si>
    <t>Q36_PupilTransNewsSource_2_other_STAI</t>
  </si>
  <si>
    <t>Q36_PupilTransNewsSource_3_other</t>
  </si>
  <si>
    <t>Q36_PupilTransNewsSource_3_other_Facebook</t>
  </si>
  <si>
    <t>Q36_PupilTransNewsSource_3_other_YouTube</t>
  </si>
  <si>
    <t>Q36_PupilTransNewsSource_3_other_Instagram</t>
  </si>
  <si>
    <t>Q36_PupilTransNewsSource_3_other_LinkedIn</t>
  </si>
  <si>
    <t>Q36_PupilTransNewsSource_3_other_TwitterX</t>
  </si>
  <si>
    <t>Q36_PupilTransNewsSource_3_other_TikTok</t>
  </si>
  <si>
    <t>Q36_PupilTransNewsSource_3_other_Snapchat</t>
  </si>
  <si>
    <t>Q36_PupilTransNewsSource_3_other_Pinterest</t>
  </si>
  <si>
    <t>Q36_PupilTransNewsSource_3_other_Reddit</t>
  </si>
  <si>
    <t>Q36_PupilTransNewsSource_3_other_SBFSchoolBusFleetSchoolBusFleetForumSchoolbusFleetmagSchoolbusfleetmagazineSBFN</t>
  </si>
  <si>
    <t>Q36_PupilTransNewsSource_3_other_STNSchoolTransportationNewsSchoolBusTransportationNews</t>
  </si>
  <si>
    <t>Q36_PupilTransNewsSource_3_other_NAPT</t>
  </si>
  <si>
    <t>Q36_PupilTransNewsSource_3_other_MSBO</t>
  </si>
  <si>
    <t>Q36_PupilTransNewsSource_3_other_MAPT</t>
  </si>
  <si>
    <t>Q36_PupilTransNewsSource_3_other_STAI</t>
  </si>
  <si>
    <t>Q36_PupilTransNewsSource_3_other_NASDPTS</t>
  </si>
  <si>
    <t>Q36_PupilTransNewsSource_3_other_OSBMA</t>
  </si>
  <si>
    <t>Q36_PupilTransNewsSource_3_other_Miscellaneous</t>
  </si>
  <si>
    <t>Q36_PupilTransNewsSource_3_other_None</t>
  </si>
  <si>
    <t>Q36_PupilTransNewsSource_7_other</t>
  </si>
  <si>
    <t>Q36_PupilTransNewsSource_7_other_TheRouteSchoolBusFleetSBF</t>
  </si>
  <si>
    <t>Q36_PupilTransNewsSource_7_other_STNSTNsPodcastSchoolTransportationNationSTNToday</t>
  </si>
  <si>
    <t>Q36_PupilTransNewsSource_7_other_GovernmentFleet</t>
  </si>
  <si>
    <t>Q36_PupilTransNewsSource_7_other_YouTube</t>
  </si>
  <si>
    <t>Q36_PupilTransNewsSource_7_other_NAPT</t>
  </si>
  <si>
    <t>Q36_PupilTransNewsSource_7_other_TheBusStop</t>
  </si>
  <si>
    <t>Q36_PupilTransNewsSource_7_other_HeyBusDriver</t>
  </si>
  <si>
    <t>Q36_PupilTransNewsSource_7_other_Miscellaneous</t>
  </si>
  <si>
    <t>Q36_PupilTransNewsSource_7_other_None</t>
  </si>
  <si>
    <t>Q36_PupilTransNewsSource_10_other</t>
  </si>
  <si>
    <t>Q36_PupilTransNewsSource_10_other_STNExposSTNSTNExpoSTNRenoGreenConference</t>
  </si>
  <si>
    <t>Q36_PupilTransNewsSource_10_other_ACT</t>
  </si>
  <si>
    <t>Q36_PupilTransNewsSource_10_other_CASTO</t>
  </si>
  <si>
    <t>Q36_PupilTransNewsSource_10_other_CASBO</t>
  </si>
  <si>
    <t>Q36_PupilTransNewsSource_10_other_CNYAPT</t>
  </si>
  <si>
    <t>Q36_PupilTransNewsSource_10_other_CPTC</t>
  </si>
  <si>
    <t>Q36_PupilTransNewsSource_10_other_GAPT</t>
  </si>
  <si>
    <t>Q36_PupilTransNewsSource_10_other_GTSE</t>
  </si>
  <si>
    <t>Q36_PupilTransNewsSource_10_other_IAPT</t>
  </si>
  <si>
    <t>Q36_PupilTransNewsSource_10_other_IPTA</t>
  </si>
  <si>
    <t>Q36_PupilTransNewsSource_10_other_ISTA</t>
  </si>
  <si>
    <t>Q36_PupilTransNewsSource_10_other_KADPF</t>
  </si>
  <si>
    <t>Q36_PupilTransNewsSource_10_other_KSPTA</t>
  </si>
  <si>
    <t>Q36_PupilTransNewsSource_10_other_KYPT</t>
  </si>
  <si>
    <t>Q36_PupilTransNewsSource_10_other_MAPT</t>
  </si>
  <si>
    <t>Q36_PupilTransNewsSource_10_other_MNAPT</t>
  </si>
  <si>
    <t>Q36_PupilTransNewsSource_10_other_MOAPT</t>
  </si>
  <si>
    <t>Q36_PupilTransNewsSource_10_other_MSBOA</t>
  </si>
  <si>
    <t>Q36_PupilTransNewsSource_10_other_NAPT</t>
  </si>
  <si>
    <t>Q36_PupilTransNewsSource_10_other_NCPTA</t>
  </si>
  <si>
    <t>Q36_PupilTransNewsSource_10_other_NTE</t>
  </si>
  <si>
    <t>Q36_PupilTransNewsSource_10_other_NYAPT</t>
  </si>
  <si>
    <t>Q36_PupilTransNewsSource_10_other_OAPT</t>
  </si>
  <si>
    <t>Q36_PupilTransNewsSource_10_other_OASBO</t>
  </si>
  <si>
    <t>Q36_PupilTransNewsSource_10_other_OhioSchoolBusMechanicsAssn</t>
  </si>
  <si>
    <t>Q36_PupilTransNewsSource_10_other_PSBA</t>
  </si>
  <si>
    <t>Q36_PupilTransNewsSource_10_other_PASBO</t>
  </si>
  <si>
    <t>Q36_PupilTransNewsSource_10_other_OPTA</t>
  </si>
  <si>
    <t>Q36_PupilTransNewsSource_10_other_SBFX</t>
  </si>
  <si>
    <t>Q36_PupilTransNewsSource_10_other_SchoolBusSummit</t>
  </si>
  <si>
    <t>Q36_PupilTransNewsSource_10_other_SchoolExpo</t>
  </si>
  <si>
    <t>Q36_PupilTransNewsSource_10_other_SchoolTransportationSupervisorsofNJ</t>
  </si>
  <si>
    <t>Q36_PupilTransNewsSource_10_other_STAA</t>
  </si>
  <si>
    <t>Q36_PupilTransNewsSource_10_other_STAISchoolTransportationAssociationofIndiana</t>
  </si>
  <si>
    <t>Q36_PupilTransNewsSource_10_other_STAK</t>
  </si>
  <si>
    <t>Q36_PupilTransNewsSource_10_other_STS</t>
  </si>
  <si>
    <t>Q36_PupilTransNewsSource_10_other_SESPTC</t>
  </si>
  <si>
    <t>Q36_PupilTransNewsSource_10_other_TAA</t>
  </si>
  <si>
    <t>Q36_PupilTransNewsSource_10_other_TAPT</t>
  </si>
  <si>
    <t>Q36_PupilTransNewsSource_10_other_Transfinder</t>
  </si>
  <si>
    <t>Q36_PupilTransNewsSource_10_other_TSD</t>
  </si>
  <si>
    <t>Q36_PupilTransNewsSource_10_other_UAPT</t>
  </si>
  <si>
    <t>Q36_PupilTransNewsSource_10_other_VAPT</t>
  </si>
  <si>
    <t>Q36_PupilTransNewsSource_10_other_WASBO</t>
  </si>
  <si>
    <t>Q36_PupilTransNewsSource_10_other_WAPT</t>
  </si>
  <si>
    <t>Q36_PupilTransNewsSource_10_other_Miscellaneous</t>
  </si>
  <si>
    <t>Q36_PupilTransNewsSource_12_other</t>
  </si>
  <si>
    <t>Q36_PupilTransNewsSource_12_other_c</t>
  </si>
  <si>
    <t>Q37_SocMedia_Facebook</t>
  </si>
  <si>
    <t>Q37_SocMedia_Instagram</t>
  </si>
  <si>
    <t>Q37_SocMedia_YouTube</t>
  </si>
  <si>
    <t>Q37_SocMedia_TwitterX</t>
  </si>
  <si>
    <t>Q37_SocMedia_TikTok</t>
  </si>
  <si>
    <t>Q37_SocMedia_Pinterest</t>
  </si>
  <si>
    <t>Q37_SocMedia_LinkedIn</t>
  </si>
  <si>
    <t>Q37_SocMedia_Snapchat</t>
  </si>
  <si>
    <t>Q37_SocMedia_Reddit</t>
  </si>
  <si>
    <t>Q37_SocMedia_Otherpleasespecify</t>
  </si>
  <si>
    <t>Q37_SocMedia_Noneoftheabove</t>
  </si>
  <si>
    <t>Q37_SocMedia_10_other</t>
  </si>
  <si>
    <t>Q38_ESBI_Contact</t>
  </si>
  <si>
    <t>Q39_ESBI_ContactHow_viewingmaterialsonlinefromWRIortheelectricsc</t>
  </si>
  <si>
    <t>Q39_ESBI_ContactHow_attendwebinarsorothereventswhereWRIhaspresen</t>
  </si>
  <si>
    <t>Q39_ESBI_ContactHow_receivedotherformsoftechnicalassistancefromW</t>
  </si>
  <si>
    <t>Q39_ESBI_ContactHow_otherpleasespecify</t>
  </si>
  <si>
    <t>Q39_ESBI_ContactHow_4_other</t>
  </si>
  <si>
    <t>Ozark City Schools</t>
  </si>
  <si>
    <t>Ozark</t>
  </si>
  <si>
    <t>AL</t>
  </si>
  <si>
    <t>Apache junction School District</t>
  </si>
  <si>
    <t>Apache Junction</t>
  </si>
  <si>
    <t>Arizona</t>
  </si>
  <si>
    <t>Cost saving</t>
  </si>
  <si>
    <t>Our district can't fund the cost of charging stations.</t>
  </si>
  <si>
    <t>TAA</t>
  </si>
  <si>
    <t>cave creek unified</t>
  </si>
  <si>
    <t>cave creek</t>
  </si>
  <si>
    <t>arizona</t>
  </si>
  <si>
    <t>cost</t>
  </si>
  <si>
    <t>Creighton Elementary School District</t>
  </si>
  <si>
    <t>Phoenix</t>
  </si>
  <si>
    <t>online</t>
  </si>
  <si>
    <t>School Bus Fleet</t>
  </si>
  <si>
    <t>Liberty Elementary School District #25</t>
  </si>
  <si>
    <t>Buckeye</t>
  </si>
  <si>
    <t>ARIZONA</t>
  </si>
  <si>
    <t>not sure</t>
  </si>
  <si>
    <t>n/a</t>
  </si>
  <si>
    <t>Somerton Elementary</t>
  </si>
  <si>
    <t>Somerton</t>
  </si>
  <si>
    <t>Owner of Company</t>
  </si>
  <si>
    <t>I haven't had any issues yet.</t>
  </si>
  <si>
    <t>Maria Villarreal           mvillarreal@sssd11.org</t>
  </si>
  <si>
    <t>STN</t>
  </si>
  <si>
    <t>Union Elementary School District #611</t>
  </si>
  <si>
    <t>Tolleson</t>
  </si>
  <si>
    <t>Arizona 85353</t>
  </si>
  <si>
    <t>Discussion in Administration meetings .</t>
  </si>
  <si>
    <t>School bus dealership</t>
  </si>
  <si>
    <t>Cedar Ridge School District</t>
  </si>
  <si>
    <t>Newark</t>
  </si>
  <si>
    <t>Arkansas</t>
  </si>
  <si>
    <t>Arkansas Democrat Gazette</t>
  </si>
  <si>
    <t>School Bus News</t>
  </si>
  <si>
    <t>Concho Elementary School #6</t>
  </si>
  <si>
    <t>Concho</t>
  </si>
  <si>
    <t>AZ</t>
  </si>
  <si>
    <t>Fire Department does not have the right stuff to put out fire</t>
  </si>
  <si>
    <t>Facebook</t>
  </si>
  <si>
    <t>Hgley</t>
  </si>
  <si>
    <t>Gilbert</t>
  </si>
  <si>
    <t>Brentwood School</t>
  </si>
  <si>
    <t>Los Angeles</t>
  </si>
  <si>
    <t>CA</t>
  </si>
  <si>
    <t>Fontana Unified School District</t>
  </si>
  <si>
    <t>Fontana</t>
  </si>
  <si>
    <t>River Delta USD</t>
  </si>
  <si>
    <t>Rio Vista</t>
  </si>
  <si>
    <t>.</t>
  </si>
  <si>
    <t>Santa Clara Unified school district</t>
  </si>
  <si>
    <t>Santa Clara</t>
  </si>
  <si>
    <t>customer support</t>
  </si>
  <si>
    <t>when finished</t>
  </si>
  <si>
    <t>Blinq issues</t>
  </si>
  <si>
    <t>Ford Pro issues</t>
  </si>
  <si>
    <t>Ford Pro  and BLINQ</t>
  </si>
  <si>
    <t>BLINQ is lacking in customer service.  Charging infrastructure is gonna take a lot longer than you think</t>
  </si>
  <si>
    <t>government fleet</t>
  </si>
  <si>
    <t>Vallecito Union School District</t>
  </si>
  <si>
    <t>Avery</t>
  </si>
  <si>
    <t>Village Christian School</t>
  </si>
  <si>
    <t>Sun Valley</t>
  </si>
  <si>
    <t>Woodland joint Unified School District</t>
  </si>
  <si>
    <t>WOODLAND</t>
  </si>
  <si>
    <t>Electric Vehicle Onboarding Pacific Gas and Electric Company</t>
  </si>
  <si>
    <t>will be when installed.</t>
  </si>
  <si>
    <t>It takes a long time from planning until implementation.</t>
  </si>
  <si>
    <t>Tony Peregrina, tony.peregrina@wjusd.org</t>
  </si>
  <si>
    <t>California Crosspoint Academy</t>
  </si>
  <si>
    <t>Hayward</t>
  </si>
  <si>
    <t>California</t>
  </si>
  <si>
    <t>upgrading our fleet</t>
  </si>
  <si>
    <t>Our school serves a diverse population that is mostly minorities so equity is built into all of our normal considerations.</t>
  </si>
  <si>
    <t>School Bus news</t>
  </si>
  <si>
    <t>School Bus training</t>
  </si>
  <si>
    <t>Corona Norco USD</t>
  </si>
  <si>
    <t>Corona</t>
  </si>
  <si>
    <t>Currently not enough parking for contractor buses; cannot build infrastructure on rented land.</t>
  </si>
  <si>
    <t>STN &amp; Conferences</t>
  </si>
  <si>
    <t>STN &amp; State Conferences</t>
  </si>
  <si>
    <t>Conference &amp; Trade Show</t>
  </si>
  <si>
    <t>Desert Sands Unified School District</t>
  </si>
  <si>
    <t>La Quinta</t>
  </si>
  <si>
    <t>Its being forced on us</t>
  </si>
  <si>
    <t>school transportation news</t>
  </si>
  <si>
    <t>Irvine Unified School District</t>
  </si>
  <si>
    <t>Irvine</t>
  </si>
  <si>
    <t>We are in discussions with our current primary contractor, and they have assured us that they are moving forward with a plan to integrate in small increments, but the infrastructure has not been implemented</t>
  </si>
  <si>
    <t>We have Spoken with vendors and with our primary contractor.</t>
  </si>
  <si>
    <t>Montebello Unified School District</t>
  </si>
  <si>
    <t>Montebello</t>
  </si>
  <si>
    <t>Was very helpful and supportive of electric buses &amp; infrastructure</t>
  </si>
  <si>
    <t>Yes, but not currently using</t>
  </si>
  <si>
    <t>None</t>
  </si>
  <si>
    <t>Tony Briscoe - email</t>
  </si>
  <si>
    <t>N/A</t>
  </si>
  <si>
    <t>School Bus Fleet/School Bus Transportation News</t>
  </si>
  <si>
    <t>Placentia-Yorba Linda USD</t>
  </si>
  <si>
    <t>Placentia</t>
  </si>
  <si>
    <t>Senior Specialist, Account Management, Customer Engagement Division (CED) - Local Government &amp; Partnerships</t>
  </si>
  <si>
    <t>Not enough amperage from the district's panel.</t>
  </si>
  <si>
    <t>Knowing the bid issues regarding procurement and installation.</t>
  </si>
  <si>
    <t>Richard Jimenez, 714-985-8481</t>
  </si>
  <si>
    <t>School bus fleet, STN</t>
  </si>
  <si>
    <t>various groups</t>
  </si>
  <si>
    <t>CASTO, CASBO, STN</t>
  </si>
  <si>
    <t>Victor Valley Union High School District</t>
  </si>
  <si>
    <t>Victorville</t>
  </si>
  <si>
    <t>Government regulations</t>
  </si>
  <si>
    <t>Facebook and Insta</t>
  </si>
  <si>
    <t>Yuba CITY Unified School District</t>
  </si>
  <si>
    <t>Yuba City</t>
  </si>
  <si>
    <t>Vendors</t>
  </si>
  <si>
    <t>Douglas county school district</t>
  </si>
  <si>
    <t>Parker</t>
  </si>
  <si>
    <t>CO</t>
  </si>
  <si>
    <t>Durango 9R</t>
  </si>
  <si>
    <t>Durango</t>
  </si>
  <si>
    <t>just equity</t>
  </si>
  <si>
    <t>estespark school dist r3</t>
  </si>
  <si>
    <t>estespark</t>
  </si>
  <si>
    <t>co</t>
  </si>
  <si>
    <t>on money</t>
  </si>
  <si>
    <t>South Routt School district Re-3</t>
  </si>
  <si>
    <t>Oak Creek</t>
  </si>
  <si>
    <t>Co</t>
  </si>
  <si>
    <t>a</t>
  </si>
  <si>
    <t>Thompson School District</t>
  </si>
  <si>
    <t>Loveland</t>
  </si>
  <si>
    <t>Reporter Herald</t>
  </si>
  <si>
    <t>TSD FM</t>
  </si>
  <si>
    <t>In person</t>
  </si>
  <si>
    <t>Campo School District RE-6</t>
  </si>
  <si>
    <t>Campo</t>
  </si>
  <si>
    <t>Colorado</t>
  </si>
  <si>
    <t>Englewood Schools</t>
  </si>
  <si>
    <t>Englewood</t>
  </si>
  <si>
    <t>Department of Education and State Association in regards to school bus transportation and costs</t>
  </si>
  <si>
    <t>School Transportation News</t>
  </si>
  <si>
    <t>Department of Education</t>
  </si>
  <si>
    <t>In person at tradeshows and ride alongs</t>
  </si>
  <si>
    <t>Idalia School District RJ-3</t>
  </si>
  <si>
    <t>Idalia</t>
  </si>
  <si>
    <t>Yahoo news</t>
  </si>
  <si>
    <t>Blue Bird Alternative Fuel Vehicle Demonstration and Info meetings</t>
  </si>
  <si>
    <t>Other Transportation Managers and bus maintenance directors</t>
  </si>
  <si>
    <t>yahoo.com</t>
  </si>
  <si>
    <t>Morgan County School District</t>
  </si>
  <si>
    <t>Fort Morgan</t>
  </si>
  <si>
    <t>Ridgefield Public Schools</t>
  </si>
  <si>
    <t>Ridgefield</t>
  </si>
  <si>
    <t>Connecticut</t>
  </si>
  <si>
    <t>Our town has been identified as an enviromental Justice community. We have an area on the map that targets a gap on the poverty. We are working closely with DEEP officials to facilitate meaning public participation.</t>
  </si>
  <si>
    <t>School Bus Fleet, NAPT</t>
  </si>
  <si>
    <t>The Bus Route.</t>
  </si>
  <si>
    <t>Danbury Public Schools</t>
  </si>
  <si>
    <t>Danbury</t>
  </si>
  <si>
    <t>CT</t>
  </si>
  <si>
    <t>They are discussed in a team setting. They put together a team of administrators who then work on the project.</t>
  </si>
  <si>
    <t>School bus fleet</t>
  </si>
  <si>
    <t>Meriden Public Schools</t>
  </si>
  <si>
    <t>Meriden</t>
  </si>
  <si>
    <t>STN,SBFX</t>
  </si>
  <si>
    <t>STN,SBFX,</t>
  </si>
  <si>
    <t>Georgetown Day School Inc.</t>
  </si>
  <si>
    <t>Washington</t>
  </si>
  <si>
    <t>DC</t>
  </si>
  <si>
    <t>Range limitations</t>
  </si>
  <si>
    <t>School Bus Fleet, School Transportation News</t>
  </si>
  <si>
    <t>Palm Beach Maritime Academy</t>
  </si>
  <si>
    <t>Lantana</t>
  </si>
  <si>
    <t>FL</t>
  </si>
  <si>
    <t>FB</t>
  </si>
  <si>
    <t>brevard</t>
  </si>
  <si>
    <t>melbourne</t>
  </si>
  <si>
    <t>florida</t>
  </si>
  <si>
    <t>SCHOOL BUS FLEETS</t>
  </si>
  <si>
    <t>St Lucie Public Schools</t>
  </si>
  <si>
    <t>Port Saint Lucie</t>
  </si>
  <si>
    <t>Florida</t>
  </si>
  <si>
    <t>STN, SBF</t>
  </si>
  <si>
    <t>Gwinnett County</t>
  </si>
  <si>
    <t>Lawrenceville</t>
  </si>
  <si>
    <t>GA</t>
  </si>
  <si>
    <t>Thomas County Schools</t>
  </si>
  <si>
    <t>Thomasville</t>
  </si>
  <si>
    <t>CDL Trainer Cooridnator</t>
  </si>
  <si>
    <t>other school districts</t>
  </si>
  <si>
    <t>GAPT Jekell Island</t>
  </si>
  <si>
    <t>Dawson County Schools</t>
  </si>
  <si>
    <t>Dawsonville</t>
  </si>
  <si>
    <t>Georgia</t>
  </si>
  <si>
    <t>Dekalb County Schools</t>
  </si>
  <si>
    <t>Stone Mountain</t>
  </si>
  <si>
    <t>Douglas County School System</t>
  </si>
  <si>
    <t>Douglasville</t>
  </si>
  <si>
    <t>Gwinnett County Public Schools</t>
  </si>
  <si>
    <t>Sumter County Schools</t>
  </si>
  <si>
    <t>Americus</t>
  </si>
  <si>
    <t>Director of Vehicle Maintenance</t>
  </si>
  <si>
    <t>STN &amp; school bus fleet</t>
  </si>
  <si>
    <t>Georgia Association of Pupil transportation</t>
  </si>
  <si>
    <t>BONDURANTFARRAR CMTY SCH</t>
  </si>
  <si>
    <t>Bondurant</t>
  </si>
  <si>
    <t>IA</t>
  </si>
  <si>
    <t>Clear Air Act</t>
  </si>
  <si>
    <t>IPTA</t>
  </si>
  <si>
    <t>Olin Consolidated School District</t>
  </si>
  <si>
    <t>Olin</t>
  </si>
  <si>
    <t>Radio</t>
  </si>
  <si>
    <t>State Training</t>
  </si>
  <si>
    <t>Hansen school district</t>
  </si>
  <si>
    <t>Hansen</t>
  </si>
  <si>
    <t>Idaho</t>
  </si>
  <si>
    <t>sbf</t>
  </si>
  <si>
    <t>Idaho Novus Classical Academy</t>
  </si>
  <si>
    <t>Boise</t>
  </si>
  <si>
    <t>Dyed Diesel</t>
  </si>
  <si>
    <t>Not sure how to start it for electric buses</t>
  </si>
  <si>
    <t>Bus</t>
  </si>
  <si>
    <t>Bourbonnais Elementary School Dist.</t>
  </si>
  <si>
    <t>Bourbonnais</t>
  </si>
  <si>
    <t>IL</t>
  </si>
  <si>
    <t>Just not enough data</t>
  </si>
  <si>
    <t>Transporation summits and conferences</t>
  </si>
  <si>
    <t>Township High School District 112</t>
  </si>
  <si>
    <t>Highland Park</t>
  </si>
  <si>
    <t>Inclusion amongst all that are a part of the district is an important factor when considering equity. If we are going to make an effort to assure equity is practiced in our classrooms, offices, school buses, lunchrooms, communities, playgrounds, board meetings, it must be a considered for all involved.</t>
  </si>
  <si>
    <t>WOODLAND SCHOOL DISTRICT #50</t>
  </si>
  <si>
    <t>GURNEE</t>
  </si>
  <si>
    <t>during our strategic planning this was discussed often.</t>
  </si>
  <si>
    <t>Twitter</t>
  </si>
  <si>
    <t>Ccsd 15</t>
  </si>
  <si>
    <t>Palatine</t>
  </si>
  <si>
    <t>Illinois</t>
  </si>
  <si>
    <t>At all levels, administration, board level and stake holders</t>
  </si>
  <si>
    <t>Fieldcrest CUSD #6</t>
  </si>
  <si>
    <t>Minonk</t>
  </si>
  <si>
    <t>School Transportation News, School Bus Fleet</t>
  </si>
  <si>
    <t>Harmony-Emge School District No. 175</t>
  </si>
  <si>
    <t>Belleville</t>
  </si>
  <si>
    <t>We have not, due to infrastructure costs.</t>
  </si>
  <si>
    <t>Hoopeston Area CUSD #11</t>
  </si>
  <si>
    <t>Hoopeston</t>
  </si>
  <si>
    <t>We have 2 EV buses</t>
  </si>
  <si>
    <t>WE have 2 EV buses that we own and operate currently</t>
  </si>
  <si>
    <t>online news</t>
  </si>
  <si>
    <t>Plainfield south high schools</t>
  </si>
  <si>
    <t>Plainfield</t>
  </si>
  <si>
    <t>Budget &amp; transition</t>
  </si>
  <si>
    <t>Suntimes</t>
  </si>
  <si>
    <t>Lion electric bus in Joliet Illinois</t>
  </si>
  <si>
    <t>Carmel Clay Schools</t>
  </si>
  <si>
    <t>Carmel</t>
  </si>
  <si>
    <t>IN</t>
  </si>
  <si>
    <t>Director</t>
  </si>
  <si>
    <t>We were an early adopter of the technology, so our experience has been mixed. Would like to see more money put toward further innovation and improvement of the technology. Would also like to see more transparency in the marketing of these vehicles that they will not be able to completely replace your existing fleet of fossil-fuel buses, as there are still areas such as range and cold-weather performance that prevent them from being a total replacement option. Districts should manage their expectations and conduct a strategic analysis of their routes to determine which would benefit most from electric technology (shorter distances, many stops, dense/urban geography, etc). I would also like to see longer-term data about the impact of V2G technologies on the life of electric bus batteries. Battery life is measured by cycles, so it stands to reason that a stationary bus that is still being used for grid power when parked would continue to cycle even when not in use. What is the projected impact on battery life and, by extension, bus life, as the battery packs are so expensive that replacement would likely be just as expensive as purchasing a new unit.</t>
  </si>
  <si>
    <t>Not interested at this time</t>
  </si>
  <si>
    <t>Online mainstream news sites</t>
  </si>
  <si>
    <t>Facebook, Twitter/X</t>
  </si>
  <si>
    <t>STAI, NAPT</t>
  </si>
  <si>
    <t>Logansport Community Schools</t>
  </si>
  <si>
    <t>Logansport</t>
  </si>
  <si>
    <t>Madison-Grant United School Corp</t>
  </si>
  <si>
    <t>Fairmount</t>
  </si>
  <si>
    <t>STN Today</t>
  </si>
  <si>
    <t>Collaborating with other directors and vendors</t>
  </si>
  <si>
    <t>Rochester Community School</t>
  </si>
  <si>
    <t>ROCHESTER</t>
  </si>
  <si>
    <t>Transportation Secretary</t>
  </si>
  <si>
    <t>Annual State Conference</t>
  </si>
  <si>
    <t>South Putnam</t>
  </si>
  <si>
    <t>Greencastle</t>
  </si>
  <si>
    <t>Curiosity</t>
  </si>
  <si>
    <t>School Bus Fleet, STAI, STN, NAPT</t>
  </si>
  <si>
    <t>STAI</t>
  </si>
  <si>
    <t>Danville Community School Corporation</t>
  </si>
  <si>
    <t>Danville</t>
  </si>
  <si>
    <t>Indiana</t>
  </si>
  <si>
    <t>conferences</t>
  </si>
  <si>
    <t>STN, School Bus Fleet, others</t>
  </si>
  <si>
    <t>NAPT, STN</t>
  </si>
  <si>
    <t>East Allen County Schools</t>
  </si>
  <si>
    <t>New Haven</t>
  </si>
  <si>
    <t>INDIANA</t>
  </si>
  <si>
    <t>STN, School Bus Fleet</t>
  </si>
  <si>
    <t>ISTA</t>
  </si>
  <si>
    <t>did not</t>
  </si>
  <si>
    <t>Fort Wayne Community Schools</t>
  </si>
  <si>
    <t>Fort Wayne</t>
  </si>
  <si>
    <t>stai</t>
  </si>
  <si>
    <t>Shelby Eastern Schools</t>
  </si>
  <si>
    <t>Shelbyville</t>
  </si>
  <si>
    <t>Split Between District Owned and Individual Owner/Operators</t>
  </si>
  <si>
    <t>Shelbyville News, Indy Star</t>
  </si>
  <si>
    <t>School Bus Fleet Magazine, STN Magazine, School BusRide Magazine</t>
  </si>
  <si>
    <t>NAPT, STN EXPO</t>
  </si>
  <si>
    <t>South Henry School Corporation</t>
  </si>
  <si>
    <t>Straughn</t>
  </si>
  <si>
    <t>Courier</t>
  </si>
  <si>
    <t>STN School Bus Fleet</t>
  </si>
  <si>
    <t>Tri-Central</t>
  </si>
  <si>
    <t>Sharpsville</t>
  </si>
  <si>
    <t>Stn</t>
  </si>
  <si>
    <t>Twitter/Facebook</t>
  </si>
  <si>
    <t>Cardinal Community School</t>
  </si>
  <si>
    <t>Eldon</t>
  </si>
  <si>
    <t>Iowa</t>
  </si>
  <si>
    <t>School bus Fleet</t>
  </si>
  <si>
    <t>Riverside CSD</t>
  </si>
  <si>
    <t>Oakland</t>
  </si>
  <si>
    <t>West Sioux CSD</t>
  </si>
  <si>
    <t>Hawarden</t>
  </si>
  <si>
    <t>The decision to purchase EV buses was before I was hired</t>
  </si>
  <si>
    <t>Before</t>
  </si>
  <si>
    <t>Communication between the charger and the buses</t>
  </si>
  <si>
    <t>Belle Plaine School USD 357</t>
  </si>
  <si>
    <t>Belle Plaine</t>
  </si>
  <si>
    <t>Kansas</t>
  </si>
  <si>
    <t>USD 416 LOUISBURG</t>
  </si>
  <si>
    <t>LOUISBURG</t>
  </si>
  <si>
    <t>KANSAS</t>
  </si>
  <si>
    <t>State Departments</t>
  </si>
  <si>
    <t>STN &amp; SCHOOL BUS FLEET</t>
  </si>
  <si>
    <t>STN &amp;  KSPTA &amp; NAPT</t>
  </si>
  <si>
    <t>LOCAL VENDOR</t>
  </si>
  <si>
    <t>HENDERSON COUNTY</t>
  </si>
  <si>
    <t>HENDERSON</t>
  </si>
  <si>
    <t>KENTUCKY</t>
  </si>
  <si>
    <t>Shelby County Public Schools</t>
  </si>
  <si>
    <t>Kentucky</t>
  </si>
  <si>
    <t>local</t>
  </si>
  <si>
    <t>Chase/Raymond Schools  USD 401</t>
  </si>
  <si>
    <t>Chase</t>
  </si>
  <si>
    <t>KS</t>
  </si>
  <si>
    <t>Bowling Green Independent Schools</t>
  </si>
  <si>
    <t>BOWLING GREEN</t>
  </si>
  <si>
    <t>KY</t>
  </si>
  <si>
    <t>Commercial account engineer</t>
  </si>
  <si>
    <t>Programming issues with chargers</t>
  </si>
  <si>
    <t>Make sure you have open communication with all parties before completing the purchase</t>
  </si>
  <si>
    <t>Bullitt County Public Schools</t>
  </si>
  <si>
    <t>Shepherdsville</t>
  </si>
  <si>
    <t>Research, networking</t>
  </si>
  <si>
    <t>STAK, TransFinder, KYPT</t>
  </si>
  <si>
    <t>Christian County Public Schools</t>
  </si>
  <si>
    <t>Hopkinsville</t>
  </si>
  <si>
    <t>Ky</t>
  </si>
  <si>
    <t>Engineer</t>
  </si>
  <si>
    <t>Make sure you research infrastructure prior to ordering EV's</t>
  </si>
  <si>
    <t>Mike Brumley  270-498-6984</t>
  </si>
  <si>
    <t>local and state</t>
  </si>
  <si>
    <t>STN, Fleet Magazine, School bus news</t>
  </si>
  <si>
    <t>STAK, NAPT, SESPTC</t>
  </si>
  <si>
    <t>Franklin County Schools</t>
  </si>
  <si>
    <t>Frankfort</t>
  </si>
  <si>
    <t>Jefferson County Public Schools</t>
  </si>
  <si>
    <t>Louisville</t>
  </si>
  <si>
    <t>School Bus Fleet, Transportation News</t>
  </si>
  <si>
    <t>Williamstown Independent Schools</t>
  </si>
  <si>
    <t>Williamstown</t>
  </si>
  <si>
    <t>FaceBook, Linkedin</t>
  </si>
  <si>
    <t>Lincoln Preparatory School</t>
  </si>
  <si>
    <t>Grambling</t>
  </si>
  <si>
    <t>Louisiana</t>
  </si>
  <si>
    <t>School Bus Fllet</t>
  </si>
  <si>
    <t>St Tammany Parish School System</t>
  </si>
  <si>
    <t>St Tammany Parish</t>
  </si>
  <si>
    <t>We are a huge district mileage wise and would have to offer opportunities across the parish</t>
  </si>
  <si>
    <t>West Carroll Parish School Board</t>
  </si>
  <si>
    <t>Oak Grove</t>
  </si>
  <si>
    <t>Buses- Word of Mouth</t>
  </si>
  <si>
    <t>applied for a grant</t>
  </si>
  <si>
    <t>Barnstable</t>
  </si>
  <si>
    <t>Hyannis</t>
  </si>
  <si>
    <t>MA</t>
  </si>
  <si>
    <t>brought vendor in for discussion</t>
  </si>
  <si>
    <t>vendors</t>
  </si>
  <si>
    <t>school bus news</t>
  </si>
  <si>
    <t>MAPT</t>
  </si>
  <si>
    <t>vendor</t>
  </si>
  <si>
    <t>North Attleboro Public Schools</t>
  </si>
  <si>
    <t>North Attleboro</t>
  </si>
  <si>
    <t>Directly with our Business Manager who would work with our Town Hall</t>
  </si>
  <si>
    <t>Maine School District #6</t>
  </si>
  <si>
    <t>Buxton, Hollis, Limington, Standish &amp; Fry Island</t>
  </si>
  <si>
    <t>Maine</t>
  </si>
  <si>
    <t>RSU14 Windham Raymond Schools</t>
  </si>
  <si>
    <t>Windham</t>
  </si>
  <si>
    <t>The community is invited to attend school board meeting and discuss their concerns, etc. during discussions such as these.</t>
  </si>
  <si>
    <t>NAPT annual conference</t>
  </si>
  <si>
    <t>Dorchester County Public Schools</t>
  </si>
  <si>
    <t>Cambridge</t>
  </si>
  <si>
    <t>Maryland</t>
  </si>
  <si>
    <t>School bus fleet, school transportation news</t>
  </si>
  <si>
    <t>Tantasqua Regional and Union 61 Schools Districts</t>
  </si>
  <si>
    <t>Sturbridge</t>
  </si>
  <si>
    <t>Massachusetts</t>
  </si>
  <si>
    <t>Trade Organizations</t>
  </si>
  <si>
    <t>STN, School Bus News</t>
  </si>
  <si>
    <t>MAPT, NAPT</t>
  </si>
  <si>
    <t>Prince George's County Public Schools</t>
  </si>
  <si>
    <t>Suitland</t>
  </si>
  <si>
    <t>MD</t>
  </si>
  <si>
    <t>Berrien Springs Public Schools</t>
  </si>
  <si>
    <t>Berrien Springs</t>
  </si>
  <si>
    <t>MI</t>
  </si>
  <si>
    <t>We discussed the financial cost. We have received additional training. We have the facility and staff to make this bus successful. We cannot get our electrical company to respond or work with us.</t>
  </si>
  <si>
    <t>Internet</t>
  </si>
  <si>
    <t>Caledoni Community Schools</t>
  </si>
  <si>
    <t>Caledonia</t>
  </si>
  <si>
    <t>Centreville Public Schools</t>
  </si>
  <si>
    <t>Centreville</t>
  </si>
  <si>
    <t>Transportation Director</t>
  </si>
  <si>
    <t>Ithaca Public Schools</t>
  </si>
  <si>
    <t>Ithaca</t>
  </si>
  <si>
    <t>Mi</t>
  </si>
  <si>
    <t>LINCOLN CONSOLIDATED</t>
  </si>
  <si>
    <t>Ypsilanti</t>
  </si>
  <si>
    <t>MLive</t>
  </si>
  <si>
    <t>Mason County Eastern Schools</t>
  </si>
  <si>
    <t>Custer</t>
  </si>
  <si>
    <t>We have just started discussion.</t>
  </si>
  <si>
    <t>School transporation</t>
  </si>
  <si>
    <t>South Haven Public Schools</t>
  </si>
  <si>
    <t>South Haven</t>
  </si>
  <si>
    <t>LinkedIn</t>
  </si>
  <si>
    <t>St. Joseph Public Schools</t>
  </si>
  <si>
    <t>St. Joseph</t>
  </si>
  <si>
    <t>Other</t>
  </si>
  <si>
    <t>Michigan</t>
  </si>
  <si>
    <t>some feel that the technology should advance to become more reliable and knowledgeable repair techs more readily available</t>
  </si>
  <si>
    <t>Farmington public schools</t>
  </si>
  <si>
    <t>Farmington</t>
  </si>
  <si>
    <t>Landmark Academy</t>
  </si>
  <si>
    <t>Kimball</t>
  </si>
  <si>
    <t>MICHIGAN</t>
  </si>
  <si>
    <t>contracted company makes these decisions</t>
  </si>
  <si>
    <t>Livingston ESA</t>
  </si>
  <si>
    <t>Howell</t>
  </si>
  <si>
    <t>Leader constrains</t>
  </si>
  <si>
    <t>Not many</t>
  </si>
  <si>
    <t>Web</t>
  </si>
  <si>
    <t>Maple Valley Schools</t>
  </si>
  <si>
    <t>Vermontville/ Nashville</t>
  </si>
  <si>
    <t>Portland public schools</t>
  </si>
  <si>
    <t>Portland</t>
  </si>
  <si>
    <t>Shepherd Public</t>
  </si>
  <si>
    <t>Shepherd</t>
  </si>
  <si>
    <t>School Transportation</t>
  </si>
  <si>
    <t>Van Buren</t>
  </si>
  <si>
    <t>Van Buren ISD</t>
  </si>
  <si>
    <t>LAWRENCE</t>
  </si>
  <si>
    <t>I do my homework</t>
  </si>
  <si>
    <t>STN, School Bus Fleet, NAPT</t>
  </si>
  <si>
    <t>NAPT, MAPT, STN</t>
  </si>
  <si>
    <t>White Cloud Public School</t>
  </si>
  <si>
    <t>White Cloud</t>
  </si>
  <si>
    <t>leased &amp; owned</t>
  </si>
  <si>
    <t>Breck School</t>
  </si>
  <si>
    <t>Golden Valley</t>
  </si>
  <si>
    <t>Minnesota</t>
  </si>
  <si>
    <t>MN school bus assoc</t>
  </si>
  <si>
    <t>ISD31 Transportation</t>
  </si>
  <si>
    <t>Bemidji</t>
  </si>
  <si>
    <t>School bus Fleet, STN</t>
  </si>
  <si>
    <t>Ferguson Florissant school district</t>
  </si>
  <si>
    <t>Florissant</t>
  </si>
  <si>
    <t>Missouri</t>
  </si>
  <si>
    <t>The board has applied for them and got approval for them but cannot afford the charges. They thought it would be a wash to get free busses to replace our old fleet.</t>
  </si>
  <si>
    <t>FOX C6 SCHOOL DISTRICT</t>
  </si>
  <si>
    <t>ARNOLD</t>
  </si>
  <si>
    <t>school fleet</t>
  </si>
  <si>
    <t>Jefferson R-7</t>
  </si>
  <si>
    <t>Festus</t>
  </si>
  <si>
    <t>MOAPT</t>
  </si>
  <si>
    <t>Orchard Farm School District</t>
  </si>
  <si>
    <t>St. Charles</t>
  </si>
  <si>
    <t>A combination of district owned and leased</t>
  </si>
  <si>
    <t>Stoutland Schools</t>
  </si>
  <si>
    <t>Stoutland</t>
  </si>
  <si>
    <t>MN</t>
  </si>
  <si>
    <t>School bus fleet, School Transportation News</t>
  </si>
  <si>
    <t>East Grand Forks Public Schools</t>
  </si>
  <si>
    <t>East Grand Forks</t>
  </si>
  <si>
    <t>Grand Rapids Area Schools - ISD318</t>
  </si>
  <si>
    <t>Grand Rapids</t>
  </si>
  <si>
    <t>mn</t>
  </si>
  <si>
    <t>Transportation Assistant</t>
  </si>
  <si>
    <t>just looking into it.</t>
  </si>
  <si>
    <t>MNAPT, NAPT</t>
  </si>
  <si>
    <t>ISD 738</t>
  </si>
  <si>
    <t>HOLDINGFORD</t>
  </si>
  <si>
    <t>St Francis Area Schools</t>
  </si>
  <si>
    <t>St Francis</t>
  </si>
  <si>
    <t>Fleet Management</t>
  </si>
  <si>
    <t>Willow River Area School ISD 577</t>
  </si>
  <si>
    <t>Willow River</t>
  </si>
  <si>
    <t>School Bus Fleet Magazine</t>
  </si>
  <si>
    <t>Belton 124</t>
  </si>
  <si>
    <t>Belton</t>
  </si>
  <si>
    <t>MO</t>
  </si>
  <si>
    <t>in planning stages still, we are not sure how things are going to start out</t>
  </si>
  <si>
    <t>Bismarck R-V School District</t>
  </si>
  <si>
    <t>Bismarck</t>
  </si>
  <si>
    <t>two</t>
  </si>
  <si>
    <t>eight</t>
  </si>
  <si>
    <t>Branson Public Schools</t>
  </si>
  <si>
    <t>Branson</t>
  </si>
  <si>
    <t>Caruthersville School District</t>
  </si>
  <si>
    <t>Caruthersville</t>
  </si>
  <si>
    <t>Logan Rogersville</t>
  </si>
  <si>
    <t>Rogersville</t>
  </si>
  <si>
    <t>bus</t>
  </si>
  <si>
    <t>Belgrade</t>
  </si>
  <si>
    <t>Blegrade</t>
  </si>
  <si>
    <t>Montana</t>
  </si>
  <si>
    <t>Frenchtown School District 40</t>
  </si>
  <si>
    <t>Frenchtown</t>
  </si>
  <si>
    <t>Eureka Public School</t>
  </si>
  <si>
    <t>Eureka</t>
  </si>
  <si>
    <t>MT</t>
  </si>
  <si>
    <t>Dare County Schools</t>
  </si>
  <si>
    <t>Nags Head</t>
  </si>
  <si>
    <t>NC</t>
  </si>
  <si>
    <t>Duplin County Schools</t>
  </si>
  <si>
    <t>Kenansville</t>
  </si>
  <si>
    <t>Mountain Discovery Charter</t>
  </si>
  <si>
    <t>Bryson City</t>
  </si>
  <si>
    <t>Trading a older bus is required</t>
  </si>
  <si>
    <t>Onslow County Schools</t>
  </si>
  <si>
    <t>Jacksonville</t>
  </si>
  <si>
    <t>STN, Fleet Owner</t>
  </si>
  <si>
    <t>NCPTA</t>
  </si>
  <si>
    <t>Scotland County Schools</t>
  </si>
  <si>
    <t>Laurinburg</t>
  </si>
  <si>
    <t>Dealers</t>
  </si>
  <si>
    <t>Carolina Thomas (dealer)</t>
  </si>
  <si>
    <t>minot public schools</t>
  </si>
  <si>
    <t>minot</t>
  </si>
  <si>
    <t>ND</t>
  </si>
  <si>
    <t>school bus/STN</t>
  </si>
  <si>
    <t>Turtle Lake Mercer</t>
  </si>
  <si>
    <t>Turtle Lake</t>
  </si>
  <si>
    <t>Bloomfield Community Schools</t>
  </si>
  <si>
    <t>Bloomfield</t>
  </si>
  <si>
    <t>NE</t>
  </si>
  <si>
    <t>fleet service</t>
  </si>
  <si>
    <t>Lakeview Community Schools</t>
  </si>
  <si>
    <t>Columbus</t>
  </si>
  <si>
    <t>Nebaska</t>
  </si>
  <si>
    <t>Central Nebraska Community Action Partnership</t>
  </si>
  <si>
    <t>Ashton</t>
  </si>
  <si>
    <t>Nebraska</t>
  </si>
  <si>
    <t>Preschool</t>
  </si>
  <si>
    <t>David City Public School</t>
  </si>
  <si>
    <t>David City</t>
  </si>
  <si>
    <t>Papillion La Vista Community Schools</t>
  </si>
  <si>
    <t>Papillion</t>
  </si>
  <si>
    <t>STN  School Bus Fleet</t>
  </si>
  <si>
    <t>Pleasanton Public</t>
  </si>
  <si>
    <t>Pleasanton</t>
  </si>
  <si>
    <t>Lower cape may regional</t>
  </si>
  <si>
    <t>Cape may</t>
  </si>
  <si>
    <t>New Jersey</t>
  </si>
  <si>
    <t>A visit to the Thomas bus facility</t>
  </si>
  <si>
    <t>MENDHAM TOWNSHIP SCHOOL DISTRICT</t>
  </si>
  <si>
    <t>MENDHAM TWP</t>
  </si>
  <si>
    <t>NEW JERSEY</t>
  </si>
  <si>
    <t>St. Augustine Prep</t>
  </si>
  <si>
    <t>Richland</t>
  </si>
  <si>
    <t>We lease from a contractor</t>
  </si>
  <si>
    <t>Union County</t>
  </si>
  <si>
    <t>SUMMIT</t>
  </si>
  <si>
    <t>We own our fleet of buses</t>
  </si>
  <si>
    <t>Albuquerque Public Schools</t>
  </si>
  <si>
    <t>Albuquerque</t>
  </si>
  <si>
    <t>New Mexico</t>
  </si>
  <si>
    <t>We have had discussion on equity and placements in our city locations.</t>
  </si>
  <si>
    <t>School bus Fleet News, School bus Magazine, DA Magazine, Fleet Maintenance etc.</t>
  </si>
  <si>
    <t>Instagram</t>
  </si>
  <si>
    <t>Great City Schools</t>
  </si>
  <si>
    <t>Farmington Municipal Schools</t>
  </si>
  <si>
    <t>Trade Shows</t>
  </si>
  <si>
    <t>SBF &amp; STN</t>
  </si>
  <si>
    <t>Capital Region Boces</t>
  </si>
  <si>
    <t>Albany</t>
  </si>
  <si>
    <t>New York</t>
  </si>
  <si>
    <t>Mandates</t>
  </si>
  <si>
    <t>Utilizing routes that will be able to allow for battery life.</t>
  </si>
  <si>
    <t>CLARENCE CENTRAL SCHOOL</t>
  </si>
  <si>
    <t>CLARENCE</t>
  </si>
  <si>
    <t>NEW YORK</t>
  </si>
  <si>
    <t>Doing the minimal as required</t>
  </si>
  <si>
    <t>chapter meetings</t>
  </si>
  <si>
    <t>school bus fleet</t>
  </si>
  <si>
    <t>CLYDE-SAVANNAH CSD</t>
  </si>
  <si>
    <t>CLYDE</t>
  </si>
  <si>
    <t>MANDATED</t>
  </si>
  <si>
    <t>THEY HAVE NOT BEEN YET</t>
  </si>
  <si>
    <t>SCHOOL BUS FLEET</t>
  </si>
  <si>
    <t>IN PERSON</t>
  </si>
  <si>
    <t>DCS</t>
  </si>
  <si>
    <t>dolgeville</t>
  </si>
  <si>
    <t>dead line 27</t>
  </si>
  <si>
    <t>recharging time</t>
  </si>
  <si>
    <t>no</t>
  </si>
  <si>
    <t>Marion CSD</t>
  </si>
  <si>
    <t>Marion</t>
  </si>
  <si>
    <t>Discussions have been made in the District and then with the board and the community.</t>
  </si>
  <si>
    <t>the route</t>
  </si>
  <si>
    <t>Head mechanics  seminars</t>
  </si>
  <si>
    <t>Vestal Central School District</t>
  </si>
  <si>
    <t>Vestal</t>
  </si>
  <si>
    <t>It's mandatory</t>
  </si>
  <si>
    <t>Through the Superintendent &amp; school board</t>
  </si>
  <si>
    <t>Our school bus supplier, NYAPT</t>
  </si>
  <si>
    <t>School bus sales representative</t>
  </si>
  <si>
    <t>Whitesboro CSD</t>
  </si>
  <si>
    <t>Whitesboro</t>
  </si>
  <si>
    <t>We have just started the discussion</t>
  </si>
  <si>
    <t>state agencies</t>
  </si>
  <si>
    <t>SBS</t>
  </si>
  <si>
    <t>NAPT</t>
  </si>
  <si>
    <t>Pittsgrove Township School District</t>
  </si>
  <si>
    <t>Pittsgrove</t>
  </si>
  <si>
    <t>NJ</t>
  </si>
  <si>
    <t>Robbinsville Public Schools</t>
  </si>
  <si>
    <t>Robbinsville</t>
  </si>
  <si>
    <t>NJ Age Out Law</t>
  </si>
  <si>
    <t>Wayne Township Public Schools</t>
  </si>
  <si>
    <t>Wayne</t>
  </si>
  <si>
    <t>Persistent flooding at our facilities. No available space or locations for charging stations.</t>
  </si>
  <si>
    <t>Bus vendors</t>
  </si>
  <si>
    <t>HDT magazine, Commercial Carriers magazine, Government fleet magazine, BlueBird, Thomas, IC Coach vendors, other industry sources.</t>
  </si>
  <si>
    <t>Woodbridge Township Board of Education</t>
  </si>
  <si>
    <t>Woodbridge</t>
  </si>
  <si>
    <t>Cimarron municipal schools</t>
  </si>
  <si>
    <t>Cimarron</t>
  </si>
  <si>
    <t>Nm</t>
  </si>
  <si>
    <t>Litchville-Marion</t>
  </si>
  <si>
    <t>North Dakota</t>
  </si>
  <si>
    <t>Camden Central School</t>
  </si>
  <si>
    <t>Camden</t>
  </si>
  <si>
    <t>NY</t>
  </si>
  <si>
    <t>Bus Dealer</t>
  </si>
  <si>
    <t>Felicity-Franklin Local School District</t>
  </si>
  <si>
    <t>FELICITY</t>
  </si>
  <si>
    <t>OH</t>
  </si>
  <si>
    <t>Hilliard City Schools</t>
  </si>
  <si>
    <t>Hilliard</t>
  </si>
  <si>
    <t>We are running electric buses near the most "industry" portion of the district.</t>
  </si>
  <si>
    <t>SBF, Metro, STN</t>
  </si>
  <si>
    <t>FB and Insta</t>
  </si>
  <si>
    <t>Mentor exempted village schools</t>
  </si>
  <si>
    <t>Mentor oh</t>
  </si>
  <si>
    <t>Oh</t>
  </si>
  <si>
    <t>Driver</t>
  </si>
  <si>
    <t>Noble Local</t>
  </si>
  <si>
    <t>Sarahsville</t>
  </si>
  <si>
    <t>Washington Local School</t>
  </si>
  <si>
    <t>Toledo</t>
  </si>
  <si>
    <t>rumble</t>
  </si>
  <si>
    <t>Barnesville Exempted Village School District</t>
  </si>
  <si>
    <t>Barnesville</t>
  </si>
  <si>
    <t>Ohio</t>
  </si>
  <si>
    <t>School bus Fleet, Transportation News</t>
  </si>
  <si>
    <t>carrollton exempt village school district</t>
  </si>
  <si>
    <t>carrollton</t>
  </si>
  <si>
    <t>ohio</t>
  </si>
  <si>
    <t>Green Local</t>
  </si>
  <si>
    <t>Franklin Furnace</t>
  </si>
  <si>
    <t>Licking Heights Local</t>
  </si>
  <si>
    <t>Pataskala</t>
  </si>
  <si>
    <t>School Bus</t>
  </si>
  <si>
    <t>Complete Bus</t>
  </si>
  <si>
    <t>Manchester</t>
  </si>
  <si>
    <t>Akron</t>
  </si>
  <si>
    <t>Mechanics tradeshows</t>
  </si>
  <si>
    <t>Millcreek West Unity Local Schools</t>
  </si>
  <si>
    <t>West Unity</t>
  </si>
  <si>
    <t>Ohio school bus mechanics ass.</t>
  </si>
  <si>
    <t>Minster Local Schools</t>
  </si>
  <si>
    <t>Minster</t>
  </si>
  <si>
    <t>Ridgemont Local School District</t>
  </si>
  <si>
    <t>Mount Victory</t>
  </si>
  <si>
    <t>STN, SBF, NAPT</t>
  </si>
  <si>
    <t>Facebook Groups (Those that are reputable and run by manufacturers, etc.)</t>
  </si>
  <si>
    <t>NAPT, STN Expo</t>
  </si>
  <si>
    <t>Shelby City Schools</t>
  </si>
  <si>
    <t>Shelby</t>
  </si>
  <si>
    <t>OAPT</t>
  </si>
  <si>
    <t>Southeastern Local</t>
  </si>
  <si>
    <t>South Charleston</t>
  </si>
  <si>
    <t>West Holmes Local School District</t>
  </si>
  <si>
    <t>Millersburg</t>
  </si>
  <si>
    <t>Ohio School BUS Mechanics Association</t>
  </si>
  <si>
    <t>Youngstown city schools</t>
  </si>
  <si>
    <t>youngstown</t>
  </si>
  <si>
    <t>public and private</t>
  </si>
  <si>
    <t>cost for the infrastructure to charge the buses</t>
  </si>
  <si>
    <t>highland bus in ohio was the company that we got a grant for electric bus but the infrastructure cost stop in purchase</t>
  </si>
  <si>
    <t>RIVERSIDE</t>
  </si>
  <si>
    <t>EL RENO</t>
  </si>
  <si>
    <t>OK</t>
  </si>
  <si>
    <t>Woodward</t>
  </si>
  <si>
    <t>Choctaw-Nicoma Park Schools</t>
  </si>
  <si>
    <t>Choctaw</t>
  </si>
  <si>
    <t>OKLAHOMA</t>
  </si>
  <si>
    <t>Durant Public Schools</t>
  </si>
  <si>
    <t>Durant</t>
  </si>
  <si>
    <t>Oklahoma</t>
  </si>
  <si>
    <t>Lane Public Schools</t>
  </si>
  <si>
    <t>Lane</t>
  </si>
  <si>
    <t>Future</t>
  </si>
  <si>
    <t>Currently leasing</t>
  </si>
  <si>
    <t>Other administrators</t>
  </si>
  <si>
    <t>Daily Oklahoman</t>
  </si>
  <si>
    <t>Plainview Schools</t>
  </si>
  <si>
    <t>Ardmore</t>
  </si>
  <si>
    <t>Putnam City Schools</t>
  </si>
  <si>
    <t>Warr Acres</t>
  </si>
  <si>
    <t>Our upper leadership, school board and members of the community discuss these strategies</t>
  </si>
  <si>
    <t>Conferences</t>
  </si>
  <si>
    <t>STN Green Energy Summit</t>
  </si>
  <si>
    <t>Beaverton School District</t>
  </si>
  <si>
    <t>Beaverton</t>
  </si>
  <si>
    <t>OR</t>
  </si>
  <si>
    <t>R99</t>
  </si>
  <si>
    <t>Senior Engineering Manager</t>
  </si>
  <si>
    <t>DCFC working sporadically</t>
  </si>
  <si>
    <t>x</t>
  </si>
  <si>
    <t>deployed on Title I school routes and routes serving students in secondary schools who formerly attended a Title I school.</t>
  </si>
  <si>
    <t>ACT, GTSE, STN</t>
  </si>
  <si>
    <t>participated in panel discussions</t>
  </si>
  <si>
    <t>Redmond School District</t>
  </si>
  <si>
    <t>Redmond</t>
  </si>
  <si>
    <t>SHERWOOD SCHOOL DISTRICT</t>
  </si>
  <si>
    <t>Tualatin</t>
  </si>
  <si>
    <t>CARB</t>
  </si>
  <si>
    <t>Damage to the community.  the weight is significant</t>
  </si>
  <si>
    <t>Web sites</t>
  </si>
  <si>
    <t>stn, bus fleet</t>
  </si>
  <si>
    <t>OPTA, STN, TSD</t>
  </si>
  <si>
    <t>Estacada School District</t>
  </si>
  <si>
    <t>Estacada</t>
  </si>
  <si>
    <t>Oregon</t>
  </si>
  <si>
    <t>DEQ/EPA requiremennts</t>
  </si>
  <si>
    <t>Oregon Episcopal School</t>
  </si>
  <si>
    <t>Previous Transportation Director retired and wasn't really wanting to look into it</t>
  </si>
  <si>
    <t>Bus companies</t>
  </si>
  <si>
    <t>Redmond School District 2J</t>
  </si>
  <si>
    <t>OREGON</t>
  </si>
  <si>
    <t>State Department of Education</t>
  </si>
  <si>
    <t>School Bus Fleet, School Bus Transportation news</t>
  </si>
  <si>
    <t>Trade show Dealer Information</t>
  </si>
  <si>
    <t>Springfield School District No.19</t>
  </si>
  <si>
    <t>Springfield</t>
  </si>
  <si>
    <t>NAPT, STN Organizations</t>
  </si>
  <si>
    <t>Bethlehem Area SD</t>
  </si>
  <si>
    <t>Bethlehem</t>
  </si>
  <si>
    <t>PA</t>
  </si>
  <si>
    <t>Community Coordinator</t>
  </si>
  <si>
    <t>Bus Performance / Battery Issues</t>
  </si>
  <si>
    <t>Ensure the correct bus is purchased w/ vendor support post purchase</t>
  </si>
  <si>
    <t>East Penn School District</t>
  </si>
  <si>
    <t>Emmaus</t>
  </si>
  <si>
    <t>KISKI AREA SCHOOL DISTRICT</t>
  </si>
  <si>
    <t>LEECHBURG</t>
  </si>
  <si>
    <t>Manheim Central SD</t>
  </si>
  <si>
    <t>Manheim</t>
  </si>
  <si>
    <t>Transportation Specialist</t>
  </si>
  <si>
    <t>contractor hesitant to change</t>
  </si>
  <si>
    <t>collegues</t>
  </si>
  <si>
    <t>PASBO</t>
  </si>
  <si>
    <t>Midd-West School District</t>
  </si>
  <si>
    <t>Middleburg</t>
  </si>
  <si>
    <t>North Penn School District</t>
  </si>
  <si>
    <t>Lansdale</t>
  </si>
  <si>
    <t>The Ride</t>
  </si>
  <si>
    <t>South Fayette Township School District</t>
  </si>
  <si>
    <t>McDonald</t>
  </si>
  <si>
    <t>Southeast Delco School District</t>
  </si>
  <si>
    <t>Folcroft</t>
  </si>
  <si>
    <t>Try to better use our bus routes in the upcoming years.</t>
  </si>
  <si>
    <t>Upper Darby School District (PA)</t>
  </si>
  <si>
    <t>Upper Darby</t>
  </si>
  <si>
    <t>I am not sure what it means by "equity strategies" in this context. The main reason we did not go after the federal funding for the electric buses is 1) space restriction and charging station infrastructure, and 2) unit cost of buses ($400K).</t>
  </si>
  <si>
    <t>Muhlenberg School District</t>
  </si>
  <si>
    <t>Reading</t>
  </si>
  <si>
    <t>Pennsylvania</t>
  </si>
  <si>
    <t>West middlesex area school district</t>
  </si>
  <si>
    <t>West middlesex</t>
  </si>
  <si>
    <t>PSBA</t>
  </si>
  <si>
    <t>Wyoming Valley West</t>
  </si>
  <si>
    <t>Kingston</t>
  </si>
  <si>
    <t>Lead diesel tech</t>
  </si>
  <si>
    <t>Cranston Public Schools</t>
  </si>
  <si>
    <t>Cranston</t>
  </si>
  <si>
    <t>RI</t>
  </si>
  <si>
    <t>Sioux Falls School District</t>
  </si>
  <si>
    <t>Sioux Falls</t>
  </si>
  <si>
    <t>SD</t>
  </si>
  <si>
    <t>School Bus Fleet, STN</t>
  </si>
  <si>
    <t>Hardeman County Schools</t>
  </si>
  <si>
    <t>Bolivar</t>
  </si>
  <si>
    <t>Tennessee</t>
  </si>
  <si>
    <t>potential fuel costs savings and less maintenance</t>
  </si>
  <si>
    <t>word of mouth</t>
  </si>
  <si>
    <t>Tennessee Association of Pupil Transportation (TAPT) website</t>
  </si>
  <si>
    <t>Oak Hill School - Private school</t>
  </si>
  <si>
    <t>Nashville</t>
  </si>
  <si>
    <t>Owned by the school</t>
  </si>
  <si>
    <t>School Bus Fleet / School Transportation News</t>
  </si>
  <si>
    <t>STN/SBF</t>
  </si>
  <si>
    <t>NAPT - Tennessee APT</t>
  </si>
  <si>
    <t>Smith County Board of Education</t>
  </si>
  <si>
    <t>CARTHAGE</t>
  </si>
  <si>
    <t>State wide traning  for eletric buses</t>
  </si>
  <si>
    <t>student transportation News, School bus fleet</t>
  </si>
  <si>
    <t>School bus Transportation news</t>
  </si>
  <si>
    <t>bus dealer tranings</t>
  </si>
  <si>
    <t>tranning form bus dealers</t>
  </si>
  <si>
    <t>Wilson County Schools</t>
  </si>
  <si>
    <t>Lebanon</t>
  </si>
  <si>
    <t>TAPT</t>
  </si>
  <si>
    <t>Argyle ISD</t>
  </si>
  <si>
    <t>Argyle</t>
  </si>
  <si>
    <t>Texas</t>
  </si>
  <si>
    <t>SChool Bus Fleet</t>
  </si>
  <si>
    <t>TAPT and NAPT</t>
  </si>
  <si>
    <t>Cross Plains ISD</t>
  </si>
  <si>
    <t>Cross Plains</t>
  </si>
  <si>
    <t>School Transportation, School bus fleet</t>
  </si>
  <si>
    <t>Dawson ISD</t>
  </si>
  <si>
    <t>Dawson</t>
  </si>
  <si>
    <t>NavCo Chronicle</t>
  </si>
  <si>
    <t>facebook</t>
  </si>
  <si>
    <t>Era ISD</t>
  </si>
  <si>
    <t>Era</t>
  </si>
  <si>
    <t>Fleet News</t>
  </si>
  <si>
    <t>Fort Worth ISd</t>
  </si>
  <si>
    <t>Fort Worth</t>
  </si>
  <si>
    <t>Friendswood ISD</t>
  </si>
  <si>
    <t>Friendswood</t>
  </si>
  <si>
    <t>School Bus fleet</t>
  </si>
  <si>
    <t>Grand Prairie ISD</t>
  </si>
  <si>
    <t>Grand Prairie</t>
  </si>
  <si>
    <t>La Joya ISD</t>
  </si>
  <si>
    <t>La Joya</t>
  </si>
  <si>
    <t>Oakwood ISD</t>
  </si>
  <si>
    <t>Oakwood</t>
  </si>
  <si>
    <t>EPA Grant</t>
  </si>
  <si>
    <t>EPA</t>
  </si>
  <si>
    <t>Rockdale ISD</t>
  </si>
  <si>
    <t>Rockdale</t>
  </si>
  <si>
    <t>Roma ISD</t>
  </si>
  <si>
    <t>Roma</t>
  </si>
  <si>
    <t>Board meetings, after the mechanics are asked about the status of the buses</t>
  </si>
  <si>
    <t>Fleet magazines</t>
  </si>
  <si>
    <t>San Antonio I.S.D.</t>
  </si>
  <si>
    <t>San Antonio</t>
  </si>
  <si>
    <t>Savoy Independent School District</t>
  </si>
  <si>
    <t>Savoy</t>
  </si>
  <si>
    <t>School Bus Fleet, School Bus Transportation</t>
  </si>
  <si>
    <t>South San Antonio ISD</t>
  </si>
  <si>
    <t>Seeking funding and the infrastructure become  a common problem.</t>
  </si>
  <si>
    <t>Southside ISD</t>
  </si>
  <si>
    <t>School Board is not interested</t>
  </si>
  <si>
    <t>Valley View Independent School District</t>
  </si>
  <si>
    <t>Valley View</t>
  </si>
  <si>
    <t>The Oklahoman, Dallas Morning News, Fort Worth Star Telegram</t>
  </si>
  <si>
    <t>School Transportation News, School Bus Fleet,</t>
  </si>
  <si>
    <t>Winters ISD</t>
  </si>
  <si>
    <t>Winters</t>
  </si>
  <si>
    <t>Government Mandates</t>
  </si>
  <si>
    <t>school bus manufacture</t>
  </si>
  <si>
    <t>School Transportation news and School bus Fleet</t>
  </si>
  <si>
    <t>Greene County Schools</t>
  </si>
  <si>
    <t>Greeneville</t>
  </si>
  <si>
    <t>TN</t>
  </si>
  <si>
    <t>Morgan County Schools</t>
  </si>
  <si>
    <t>Wartburg</t>
  </si>
  <si>
    <t>Roane County Schools</t>
  </si>
  <si>
    <t>Cost</t>
  </si>
  <si>
    <t>Leander ISD</t>
  </si>
  <si>
    <t>Cedar Park</t>
  </si>
  <si>
    <t>TX</t>
  </si>
  <si>
    <t>They are the new thing</t>
  </si>
  <si>
    <t>STN Conference Reno</t>
  </si>
  <si>
    <t>Mineola ISD</t>
  </si>
  <si>
    <t>Mineola</t>
  </si>
  <si>
    <t>Media attention in the area</t>
  </si>
  <si>
    <t>School Bus Fleet &amp; School Transportation News</t>
  </si>
  <si>
    <t>Salado ISD</t>
  </si>
  <si>
    <t>Salado</t>
  </si>
  <si>
    <t>Wasatch County School District</t>
  </si>
  <si>
    <t>Heber City</t>
  </si>
  <si>
    <t>UT</t>
  </si>
  <si>
    <t>As an administrative team with district leadership.</t>
  </si>
  <si>
    <t>Park City School District</t>
  </si>
  <si>
    <t>Park City</t>
  </si>
  <si>
    <t>Utah</t>
  </si>
  <si>
    <t>Bland County Public Schh6</t>
  </si>
  <si>
    <t>Bastian</t>
  </si>
  <si>
    <t>VA</t>
  </si>
  <si>
    <t>Loudoun County Public Schools</t>
  </si>
  <si>
    <t>Leesburg</t>
  </si>
  <si>
    <t>Hampton City Schools</t>
  </si>
  <si>
    <t>Hampton</t>
  </si>
  <si>
    <t>VA - Virginia</t>
  </si>
  <si>
    <t>We haven't</t>
  </si>
  <si>
    <t>What happens with a catastrophic event</t>
  </si>
  <si>
    <t>Lamoille North Modified Unified Union School</t>
  </si>
  <si>
    <t>Hyde Park</t>
  </si>
  <si>
    <t>Vermont</t>
  </si>
  <si>
    <t>Bus Coordinator/Driver</t>
  </si>
  <si>
    <t>Mount Mansfield Unified Union School District</t>
  </si>
  <si>
    <t>Jericho</t>
  </si>
  <si>
    <t>Equity strategies include population density, socio-economic factors, and geographical factors.</t>
  </si>
  <si>
    <t>Campbell County Public Schools</t>
  </si>
  <si>
    <t>Rustburg</t>
  </si>
  <si>
    <t>Virgina</t>
  </si>
  <si>
    <t>Operations officer</t>
  </si>
  <si>
    <t>charger not working, not reading that it was plugged in</t>
  </si>
  <si>
    <t>none</t>
  </si>
  <si>
    <t>school bus fleet, school transportation news</t>
  </si>
  <si>
    <t>VAPT</t>
  </si>
  <si>
    <t>Albemarle County Public Schools</t>
  </si>
  <si>
    <t>Charlottesville</t>
  </si>
  <si>
    <t>Virginia</t>
  </si>
  <si>
    <t>Program Manager - Electrification</t>
  </si>
  <si>
    <t>Multiple error codes.  System needed updating regularly.</t>
  </si>
  <si>
    <t>We have a proposal before the School Board to make EV purchasing funded under infrastructure funds and not regular bus replacement funds.  This way, as infrastructure improves and grows, so can the number of EV's we purchase.</t>
  </si>
  <si>
    <t>Dan Maga Sr-  dmagan@k12albemarle.org</t>
  </si>
  <si>
    <t>We are a mixed county as it pertains to urban/ rural.  We have a high consentration of students( 55%) in the urban circle, a 15 mile radius and then the other 45% of students are stretched out across the other 730 square miles of the county.  Traditionally our new buses have been deployed in the rural areas and miles are put on them fairly quickly, so we rotate them into the urban ring after 3-4 years.  Now we are able to provide brand new buses to neighborhoods who would traditionally get 3-4 year old buses.</t>
  </si>
  <si>
    <t>VA Clean Cities</t>
  </si>
  <si>
    <t>SchoolBus</t>
  </si>
  <si>
    <t>Falls Church City Public Schools</t>
  </si>
  <si>
    <t>Falls Church</t>
  </si>
  <si>
    <t>Program Manager Electrification</t>
  </si>
  <si>
    <t>At times</t>
  </si>
  <si>
    <t>We are having issues that take the bus off the road for long periods of time due to having to be sent out for repair.</t>
  </si>
  <si>
    <t>Regina Anderson</t>
  </si>
  <si>
    <t>Working with the community to make our city green by 3035.</t>
  </si>
  <si>
    <t>several</t>
  </si>
  <si>
    <t>Lee County Public Schools</t>
  </si>
  <si>
    <t>Jonesville</t>
  </si>
  <si>
    <t>Field Manager</t>
  </si>
  <si>
    <t>It has been better than we thought.</t>
  </si>
  <si>
    <t>Middlesex County Public Schools</t>
  </si>
  <si>
    <t>Saluda</t>
  </si>
  <si>
    <t>Dominion Energy &amp; Sonny Merryman</t>
  </si>
  <si>
    <t>Problems with Buses charing and Charging Hoses</t>
  </si>
  <si>
    <t>Long Road, had lots of help</t>
  </si>
  <si>
    <t>Dustin Harris.  dharris@mcps.k12.va.us</t>
  </si>
  <si>
    <t>New Kent County Public Schools</t>
  </si>
  <si>
    <t>NEW KENT</t>
  </si>
  <si>
    <t>VIRGINIA</t>
  </si>
  <si>
    <t>Bus Vendors</t>
  </si>
  <si>
    <t>Prince William County Public Schools</t>
  </si>
  <si>
    <t>Manassas</t>
  </si>
  <si>
    <t>Anacortes School District</t>
  </si>
  <si>
    <t>Anacortes</t>
  </si>
  <si>
    <t>Wa</t>
  </si>
  <si>
    <t>I don't really have an answer for that</t>
  </si>
  <si>
    <t>School bus mechanics on facebook</t>
  </si>
  <si>
    <t>WAPT washington state pupil transportaion</t>
  </si>
  <si>
    <t>thomas bus training</t>
  </si>
  <si>
    <t>Clover Park School District</t>
  </si>
  <si>
    <t>Lakewood</t>
  </si>
  <si>
    <t>WA</t>
  </si>
  <si>
    <t>Equity plays a part in all areas and decision in the district. It is required to look at equity when operating or moving forward.</t>
  </si>
  <si>
    <t>STN, SBN</t>
  </si>
  <si>
    <t>Lake Stevens School District</t>
  </si>
  <si>
    <t>Lake Stevens</t>
  </si>
  <si>
    <t>I'm not sure.</t>
  </si>
  <si>
    <t>School Bus Fleet Emails and Magazines</t>
  </si>
  <si>
    <t>Mercer Island School District</t>
  </si>
  <si>
    <t>Mercer Island</t>
  </si>
  <si>
    <t>We don't qualify for many green school bus programs and we don't like the strings of the ones we do qualify for.</t>
  </si>
  <si>
    <t>William Gerdes / william.gerdes@mercerislandschools.org</t>
  </si>
  <si>
    <t>Walla Walla Public Schools</t>
  </si>
  <si>
    <t>Walla Walla</t>
  </si>
  <si>
    <t>not sure of exact title?</t>
  </si>
  <si>
    <t>Camber Service</t>
  </si>
  <si>
    <t>we have no secrets just call and visit and we will help all we can</t>
  </si>
  <si>
    <t>John Griffith jgriffith@wwps.org</t>
  </si>
  <si>
    <t>Monthly admin meetings. with Dual languge and equity director. infomatin is taken back to building for discusson. posters are all over our building.</t>
  </si>
  <si>
    <t>Hoquiam School District</t>
  </si>
  <si>
    <t>Hoquiam</t>
  </si>
  <si>
    <t>WAPT</t>
  </si>
  <si>
    <t>Monongalia County Schools</t>
  </si>
  <si>
    <t>Morgantown</t>
  </si>
  <si>
    <t>West Virginia</t>
  </si>
  <si>
    <t>Design IV</t>
  </si>
  <si>
    <t>Communication between the charger and the bus, plus charger shutting down.</t>
  </si>
  <si>
    <t>Red E Network</t>
  </si>
  <si>
    <t>Talk with your Electric Company as early as possible.  Could be delays in getting power to your facility.  As them if you can build out to allow for expansion.</t>
  </si>
  <si>
    <t>Tony Harris - tony.harris@k12.wv.us</t>
  </si>
  <si>
    <t>SBFX and State Conference</t>
  </si>
  <si>
    <t>School District of Lomira</t>
  </si>
  <si>
    <t>Lomira</t>
  </si>
  <si>
    <t>WI</t>
  </si>
  <si>
    <t>Utilities manager</t>
  </si>
  <si>
    <t>before</t>
  </si>
  <si>
    <t>sometimes</t>
  </si>
  <si>
    <t>The mileage on them is not very good, not for long trips.</t>
  </si>
  <si>
    <t>School DIstrict of River Falls</t>
  </si>
  <si>
    <t>River Falls</t>
  </si>
  <si>
    <t>Boscobel Area Schools</t>
  </si>
  <si>
    <t>Boscobel</t>
  </si>
  <si>
    <t>Wisconsin</t>
  </si>
  <si>
    <t>schoolbus</t>
  </si>
  <si>
    <t>Cochrane Fountain City School</t>
  </si>
  <si>
    <t>Fountain City</t>
  </si>
  <si>
    <t>Ellsworth Community School District</t>
  </si>
  <si>
    <t>Ellsworth</t>
  </si>
  <si>
    <t>Niagara school district</t>
  </si>
  <si>
    <t>Niagara</t>
  </si>
  <si>
    <t>OSCEOLA SCHOOL DISTRICT</t>
  </si>
  <si>
    <t>OSCEOLA</t>
  </si>
  <si>
    <t>It was worth looking into to get more educated about them.</t>
  </si>
  <si>
    <t>WASBO Conferenses</t>
  </si>
  <si>
    <t>School District of Greenfield WI</t>
  </si>
  <si>
    <t>Greenfield</t>
  </si>
  <si>
    <t>Dept of Education Transp Dept</t>
  </si>
  <si>
    <t>Online and paper Magazine</t>
  </si>
  <si>
    <t>stevens point school district</t>
  </si>
  <si>
    <t>stevens point</t>
  </si>
  <si>
    <t>Lincoln County Schools</t>
  </si>
  <si>
    <t>Hamlin</t>
  </si>
  <si>
    <t>WV</t>
  </si>
  <si>
    <t>School bus magazines (3)</t>
  </si>
  <si>
    <t>Sponsored ones</t>
  </si>
  <si>
    <t>NAPT, TSD</t>
  </si>
  <si>
    <t>Carbon County School District #1</t>
  </si>
  <si>
    <t>Rawlins</t>
  </si>
  <si>
    <t>Wyoming</t>
  </si>
  <si>
    <t>Better for application</t>
  </si>
  <si>
    <t>CNMI Public School System</t>
  </si>
  <si>
    <t>Saipan</t>
  </si>
  <si>
    <t>Northern Mariana Islands</t>
  </si>
  <si>
    <t>Pembina Hills School Division</t>
  </si>
  <si>
    <t>Barrhead</t>
  </si>
  <si>
    <t>Alberta</t>
  </si>
  <si>
    <t>Bus Salesmen</t>
  </si>
  <si>
    <t>School Transportation News, Mass Transit</t>
  </si>
  <si>
    <t>CPTC, STAA</t>
  </si>
  <si>
    <t>Board of Education School District 20</t>
  </si>
  <si>
    <t>Castlegar</t>
  </si>
  <si>
    <t>BC</t>
  </si>
  <si>
    <t>planner</t>
  </si>
  <si>
    <t>Bus programming, charger updates</t>
  </si>
  <si>
    <t>Most issues are with after purchase service and repair</t>
  </si>
  <si>
    <t>Brian Witherspoon bwitherspoon@sd20.bc.ca</t>
  </si>
  <si>
    <t>ASTSBC</t>
  </si>
  <si>
    <t>Independent School</t>
  </si>
  <si>
    <t>Victoria</t>
  </si>
  <si>
    <t>British Columbia</t>
  </si>
  <si>
    <t>Owner</t>
  </si>
  <si>
    <t>Charhe FWD</t>
  </si>
  <si>
    <t>trade show</t>
  </si>
  <si>
    <t>Canada</t>
  </si>
  <si>
    <t>ASD-E</t>
  </si>
  <si>
    <t>Moncton</t>
  </si>
  <si>
    <t>New Brunswick</t>
  </si>
  <si>
    <t>Driver coach</t>
  </si>
  <si>
    <t>Build quality is not as expected and electrical issues are causing frequent service calls.</t>
  </si>
  <si>
    <t>Comination of top level management and input from drivers.</t>
  </si>
  <si>
    <t>In 2023?</t>
  </si>
  <si>
    <t>Multiple Responses from Same District?</t>
  </si>
  <si>
    <t>LEAID (Fuzzy Merge &amp; Manual Check)</t>
  </si>
  <si>
    <t>LEAID (as values)</t>
  </si>
  <si>
    <t>POD?</t>
  </si>
  <si>
    <t>State_Clean</t>
  </si>
  <si>
    <t>Census Region</t>
  </si>
  <si>
    <t>Has ESBs?</t>
  </si>
  <si>
    <t>O5.1 _Responded to Q8, Q10, Q12, or Q15</t>
  </si>
  <si>
    <t>O5.1
_Responded Yes to Q8</t>
  </si>
  <si>
    <t>O5.1 _Responded Yes to Q10, Q12, or Q15</t>
  </si>
  <si>
    <t>IO4.2 _Responded 1-5 to Q21</t>
  </si>
  <si>
    <t xml:space="preserve">IO4.2 _Responded 1-5 to Q22 </t>
  </si>
  <si>
    <t>IO4.2 _Responded 3-5 to Q21</t>
  </si>
  <si>
    <t>IO4.2 _Responded 3-5 to Q22</t>
  </si>
  <si>
    <t>IO5.1_
Responded yes to any type of Utility Communication</t>
  </si>
  <si>
    <t>IO5.1 and 5.2_
Responded yes to worked with ESBI</t>
  </si>
  <si>
    <t>IO5.2_
Responded Yes to Q24</t>
  </si>
  <si>
    <t>IO5.2_
Responded Yes to Q25</t>
  </si>
  <si>
    <t>AR</t>
  </si>
  <si>
    <t>ID</t>
  </si>
  <si>
    <t>No</t>
  </si>
  <si>
    <t>West</t>
  </si>
  <si>
    <t>LA</t>
  </si>
  <si>
    <t>ME</t>
  </si>
  <si>
    <t>Yes</t>
  </si>
  <si>
    <t>Midwest</t>
  </si>
  <si>
    <t>NM</t>
  </si>
  <si>
    <t>VT</t>
  </si>
  <si>
    <t>WY</t>
  </si>
  <si>
    <t>MP</t>
  </si>
  <si>
    <t>Q24_ChargingSystemInstall </t>
  </si>
  <si>
    <t>Q25_ChargingSystemAvail </t>
  </si>
  <si>
    <t>Have you worked with the Electric School Bus Initiative in any way? This could include viewing materials on the website (prior to this survey), attending events, or receiving technical assistance. </t>
  </si>
  <si>
    <t>Other (please specify) </t>
  </si>
  <si>
    <t>Q39_ESBI_ContactHow </t>
  </si>
  <si>
    <t>How have you worked with the Electric School Bus Initiative? Please mark all that apply. </t>
  </si>
  <si>
    <t>attend webinars or other events where WRI has presented </t>
  </si>
  <si>
    <t>received other forms of technical assistance from WRI relating to school bus electrification </t>
  </si>
  <si>
    <t>other (please specify) </t>
  </si>
  <si>
    <t>Q19_EquityPrinciples_NonESB </t>
  </si>
  <si>
    <t>Q17_ESB_Barrier</t>
  </si>
  <si>
    <t>Cannot currently afford electric school buses  </t>
  </si>
  <si>
    <t>Cannot access new funding or financing  </t>
  </si>
  <si>
    <t>Hesitation due to our long bus routes </t>
  </si>
  <si>
    <t>Hesitation due to our climate </t>
  </si>
  <si>
    <t>Geographical factors like terrain or being in a rural location </t>
  </si>
  <si>
    <t>Aligning stakeholders inside the school system (e.g. transportation department, maintenance, school board, superintendents, other departments)  </t>
  </si>
  <si>
    <t>Staffing constraints  </t>
  </si>
  <si>
    <t>Getting community buy-in  </t>
  </si>
  <si>
    <t>Building out infrastructure and working with utilities  </t>
  </si>
  <si>
    <t>Working with manufacturers or school bus dealers  </t>
  </si>
  <si>
    <t>Safety considerations with the new technology </t>
  </si>
  <si>
    <t>Maintaining the bus </t>
  </si>
  <si>
    <t>Operating the bus  </t>
  </si>
  <si>
    <t>Battery end of life management </t>
  </si>
  <si>
    <t>We are currently planning for electric school buses </t>
  </si>
  <si>
    <t>There is no interest in electric school buses </t>
  </si>
  <si>
    <t>Other </t>
  </si>
  <si>
    <t>Q18_ESB_Barrier_Biggest </t>
  </si>
  <si>
    <t>Other (please specify)</t>
  </si>
  <si>
    <t>Q26_AnyChargingSystemProb </t>
  </si>
  <si>
    <t>AmpControl </t>
  </si>
  <si>
    <t>bp pulse </t>
  </si>
  <si>
    <t>InCharge </t>
  </si>
  <si>
    <t>Nuvve </t>
  </si>
  <si>
    <t>Synop </t>
  </si>
  <si>
    <t>The Mobility House </t>
  </si>
  <si>
    <t>EVGateway </t>
  </si>
  <si>
    <t>Driivz </t>
  </si>
  <si>
    <t>ChangeLab </t>
  </si>
  <si>
    <t>EVBox </t>
  </si>
  <si>
    <t>ChargePoint </t>
  </si>
  <si>
    <t>Don’t know/Not sure </t>
  </si>
  <si>
    <t>Somewhat</t>
  </si>
  <si>
    <t>Q12_QCCVTaxCredAwareness </t>
  </si>
  <si>
    <t>Q8_FinSuppOppty </t>
  </si>
  <si>
    <t>Diesel </t>
  </si>
  <si>
    <t>Gasoline </t>
  </si>
  <si>
    <t>CNG </t>
  </si>
  <si>
    <t>Propane </t>
  </si>
  <si>
    <t>Electric </t>
  </si>
  <si>
    <t>Superintendent/Administrator </t>
  </si>
  <si>
    <t>Executive/Other Manager </t>
  </si>
  <si>
    <t>Operations Manager/Supervisor </t>
  </si>
  <si>
    <t>Transportation Director </t>
  </si>
  <si>
    <t>Fleet Manager </t>
  </si>
  <si>
    <t>Transportation Manager/Administrator </t>
  </si>
  <si>
    <t>School Board/ or other public official </t>
  </si>
  <si>
    <t>Safety Manager/Supervisor</t>
  </si>
  <si>
    <t>Bus Driver/Mechanic</t>
  </si>
  <si>
    <t>Sustainability Director</t>
  </si>
  <si>
    <t>**Note: Don't change any rows/columns here. Cells below are linked to respective Qs in previous tab.</t>
  </si>
  <si>
    <t>What is your title? (Please select only one)</t>
  </si>
  <si>
    <t>Maintenance Manager/Supervisor </t>
  </si>
  <si>
    <t>Routing Manager/Supervisor </t>
  </si>
  <si>
    <t>Driver Trainer </t>
  </si>
  <si>
    <t>Purchasing/Grants/Budgets</t>
  </si>
  <si>
    <t>What kind of schools do your buses primarily serve? (Please select only one)</t>
  </si>
  <si>
    <t>Public: primary or secondary </t>
  </si>
  <si>
    <t>Private: primary or secondary </t>
  </si>
  <si>
    <t>Other (please specify)  </t>
  </si>
  <si>
    <t>Q41_FuelType_Preferred </t>
  </si>
  <si>
    <t>What is your preferred fuel type for your fleet? (Please check only one)</t>
  </si>
  <si>
    <t>Q6_OperationalModel </t>
  </si>
  <si>
    <t>What is the operational model for your bus fleet? (Please check only one)</t>
  </si>
  <si>
    <t>The district owns and operates all the buses </t>
  </si>
  <si>
    <t>A private contractor owns and operates all the buses </t>
  </si>
  <si>
    <t>Buses are leased and operated by the district </t>
  </si>
  <si>
    <t>A combination of ownership and responsibilities shared between district and private contractor </t>
  </si>
  <si>
    <t>Have you heard of the federal Clean School Bus Program run by the U.S. EPA? (Please select only one) </t>
  </si>
  <si>
    <t>Yes </t>
  </si>
  <si>
    <t>No </t>
  </si>
  <si>
    <t>Did you know that the Clean School Bus Program provides funds to cover a large share of upfront costs related to electric school buses and charging infrastructure? (Please select only one) </t>
  </si>
  <si>
    <t>Have you heard of the up to $40,000 tax credit for Qualified Commercial Clean Vehicles (section 45W) in the 2022 Inflation Reduction Act? (Please select only one) </t>
  </si>
  <si>
    <t>Did you know that Green Banks and other community development financial institutions can provide low-cost financing to support electric school bus procurement? (Please select only one) </t>
  </si>
  <si>
    <t>Before taking this survey, were you aware that there are opportunities for you to receive financial support to purchase an electric school bus? (Please select only one) </t>
  </si>
  <si>
    <t>Did you find the communication beneficial to building out your charging infrastructure? (Please select only one) </t>
  </si>
  <si>
    <t>Was your charging system installed when your buses arrived? (Please select only one) </t>
  </si>
  <si>
    <t>Were you able to use the charging system immediately after the buses were put into service? (Please select only one) </t>
  </si>
  <si>
    <t>Did you experience problems charging your bus after charger installation? (Please select only one) </t>
  </si>
  <si>
    <t>Please tell us the company name of the network provider that manages your charger. (Please select only one) </t>
  </si>
  <si>
    <t>Which of the following barriers have hindered your ability to pursue electric school buses in your district, if any? (Please check all that apply)</t>
  </si>
  <si>
    <t>Of the barriers which have hindered acquiring electric school buses, please choose the biggest barrier. (select one) </t>
  </si>
  <si>
    <t>Have you discussed plans to incorporate equity strategies (i.e., strategies to guarantee fair treatment, access, opportunity and advancement for all) into your school bus electrification plans? For example, engaging communities during planning or prioritizing electric bus routes in neighborhoods with higher levels of pollution due to historic discrimination. (Please select only one) </t>
  </si>
  <si>
    <t>Yes, we have an electric school bus deployment plan that incorporates equity </t>
  </si>
  <si>
    <t>Yes, it was discussed but unsure how to implement </t>
  </si>
  <si>
    <t>Not yet, but planning to in the coming months </t>
  </si>
  <si>
    <t>viewing materials online (from WRI or the electricschoolbusinitiative website)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</si>
</sst>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70C0"/>
      <name val="Aptos Narrow"/>
      <family val="2"/>
      <scheme val="minor"/>
    </font>
    <font>
      <u/>
      <sz val="11"/>
      <color theme="1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4">
    <xf numFmtId="0" fontId="0" fillId="0" borderId="0" xfId="0"/>
    <xf numFmtId="0" fontId="14" fillId="0" borderId="0" xfId="0" applyFont="1"/>
    <xf numFmtId="0" fontId="18" fillId="0" borderId="0" xfId="0" applyFont="1"/>
    <xf numFmtId="0" fontId="16" fillId="0" borderId="0" xfId="0" applyFont="1" applyAlignment="1">
      <alignment wrapText="1"/>
    </xf>
    <xf numFmtId="0" fontId="16" fillId="33" borderId="0" xfId="0" applyFont="1" applyFill="1" applyAlignment="1">
      <alignment wrapText="1"/>
    </xf>
    <xf numFmtId="0" fontId="0" fillId="33" borderId="0" xfId="0" applyFill="1"/>
    <xf numFmtId="0" fontId="18" fillId="33" borderId="0" xfId="0" applyFont="1" applyFill="1"/>
    <xf numFmtId="0" fontId="0" fillId="33" borderId="0" xfId="0" applyFill="1" applyAlignment="1">
      <alignment horizontal="left"/>
    </xf>
    <xf numFmtId="0" fontId="16" fillId="33" borderId="0" xfId="0" applyFont="1" applyFill="1" applyAlignment="1">
      <alignment horizontal="left" wrapText="1"/>
    </xf>
    <xf numFmtId="0" fontId="16" fillId="0" borderId="0" xfId="0" applyFont="1"/>
    <xf numFmtId="0" fontId="19" fillId="0" borderId="0" xfId="42" applyAlignment="1">
      <alignment wrapText="1"/>
    </xf>
    <xf numFmtId="0" fontId="16" fillId="34" borderId="0" xfId="0" applyFont="1" applyFill="1"/>
    <xf numFmtId="0" fontId="16" fillId="35" borderId="0" xfId="0" applyFont="1" applyFill="1" applyAlignment="1">
      <alignment wrapText="1"/>
    </xf>
    <xf numFmtId="0" fontId="0" fillId="3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val="0"/>
        <i val="0"/>
        <strike val="0"/>
        <condense val="0"/>
        <extend val="0"/>
        <outline val="0"/>
        <shadow val="0"/>
        <u val="none"/>
        <vertAlign val="baseline"/>
        <sz val="11"/>
        <color rgb="FFFF0000"/>
        <name val="Aptos Narrow"/>
        <family val="2"/>
        <scheme val="minor"/>
      </font>
    </dxf>
    <dxf>
      <font>
        <b val="0"/>
        <i val="0"/>
        <strike val="0"/>
        <condense val="0"/>
        <extend val="0"/>
        <outline val="0"/>
        <shadow val="0"/>
        <u val="none"/>
        <vertAlign val="baseline"/>
        <sz val="11"/>
        <color rgb="FF0070C0"/>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onewri.sharepoint.com/sites/TRBpaper/Shared%20Documents/General/10.%20Project%20Management/MEL/School%20district%20survey/data/WRI%20School%20District%20Study%20Final%20Data_Analysis.xlsx" TargetMode="External"/><Relationship Id="rId1" Type="http://schemas.openxmlformats.org/officeDocument/2006/relationships/externalLinkPath" Target="https://onewri.sharepoint.com/sites/TRBpaper/Shared%20Documents/General/10.%20Project%20Management/MEL/School%20district%20survey/data/WRI%20School%20District%20Study%20Final%20Data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RI School District Study Final"/>
      <sheetName val="pivot"/>
      <sheetName val="SchoolDistrictStudyWODuplicates"/>
      <sheetName val="StatesRegions"/>
      <sheetName val="State POD Matching"/>
      <sheetName val="Monster state POD"/>
      <sheetName val="FuzzyLookup_AddIn_Undo_Sheet"/>
      <sheetName val="IndicatorCalculations"/>
      <sheetName val="O5.1"/>
      <sheetName val="O5.1_Summary"/>
      <sheetName val="IO4.2"/>
      <sheetName val="IO4.2_Summary"/>
      <sheetName val="IO5.1"/>
      <sheetName val="IO5.1_Summary"/>
      <sheetName val="IO5.2"/>
      <sheetName val="IO5.2_Summary"/>
      <sheetName val="PODListFuzzyMergeMatches"/>
      <sheetName val="Monster_POD List"/>
    </sheetNames>
    <sheetDataSet>
      <sheetData sheetId="0"/>
      <sheetData sheetId="1"/>
      <sheetData sheetId="2">
        <row r="1">
          <cell r="E1" t="str">
            <v>School District:</v>
          </cell>
          <cell r="K1" t="str">
            <v>LEAID</v>
          </cell>
        </row>
        <row r="2">
          <cell r="E2" t="str">
            <v>Whitehall City Schools</v>
          </cell>
          <cell r="K2">
            <v>3904507</v>
          </cell>
        </row>
        <row r="3">
          <cell r="E3" t="str">
            <v>Albuquerque Public Schools</v>
          </cell>
          <cell r="K3">
            <v>3500060</v>
          </cell>
        </row>
        <row r="4">
          <cell r="E4" t="str">
            <v>Victor Valley Union High School District</v>
          </cell>
          <cell r="K4">
            <v>636972</v>
          </cell>
        </row>
        <row r="5">
          <cell r="E5" t="str">
            <v>Arcadia Valley R2</v>
          </cell>
          <cell r="K5">
            <v>2903150</v>
          </cell>
        </row>
        <row r="6">
          <cell r="E6" t="str">
            <v>Athens City Schools</v>
          </cell>
          <cell r="K6">
            <v>100120</v>
          </cell>
        </row>
        <row r="7">
          <cell r="E7" t="str">
            <v>Atlanta Public Schools</v>
          </cell>
          <cell r="K7">
            <v>1300120</v>
          </cell>
        </row>
        <row r="8">
          <cell r="E8" t="str">
            <v>Atlanta Public Schools</v>
          </cell>
          <cell r="K8">
            <v>1300120</v>
          </cell>
        </row>
        <row r="9">
          <cell r="E9" t="str">
            <v>Auburn Washburn USD #437</v>
          </cell>
          <cell r="K9">
            <v>2003200</v>
          </cell>
        </row>
        <row r="10">
          <cell r="E10" t="str">
            <v>Barnstable Public school transportation</v>
          </cell>
          <cell r="K10">
            <v>2502310</v>
          </cell>
        </row>
        <row r="11">
          <cell r="E11" t="str">
            <v>Barron Area Schools</v>
          </cell>
          <cell r="K11">
            <v>5500870</v>
          </cell>
        </row>
        <row r="12">
          <cell r="E12" t="str">
            <v>BATTLE LAKE IND SCH DIST 542</v>
          </cell>
          <cell r="K12">
            <v>2703750</v>
          </cell>
        </row>
        <row r="13">
          <cell r="E13" t="str">
            <v>BEDFORD CITY SCHOOL DISTRICT</v>
          </cell>
          <cell r="K13">
            <v>3910017</v>
          </cell>
        </row>
        <row r="14">
          <cell r="E14" t="str">
            <v>Bend - La Pine Schools</v>
          </cell>
          <cell r="K14">
            <v>4101980</v>
          </cell>
        </row>
        <row r="15">
          <cell r="E15" t="str">
            <v>Bend La Pine Schools</v>
          </cell>
          <cell r="K15">
            <v>4101980</v>
          </cell>
        </row>
        <row r="16">
          <cell r="E16" t="str">
            <v>Benson Unified School</v>
          </cell>
          <cell r="K16">
            <v>400212</v>
          </cell>
        </row>
        <row r="17">
          <cell r="E17" t="str">
            <v>Berne Knox Westerlo CSD</v>
          </cell>
          <cell r="K17">
            <v>3604650</v>
          </cell>
        </row>
        <row r="18">
          <cell r="E18" t="str">
            <v>Black Oak Mine Unified School district</v>
          </cell>
          <cell r="K18">
            <v>605240</v>
          </cell>
        </row>
        <row r="19">
          <cell r="E19" t="str">
            <v>Black River Local School District</v>
          </cell>
          <cell r="K19">
            <v>3904846</v>
          </cell>
        </row>
        <row r="20">
          <cell r="E20" t="str">
            <v>Blackford Schools</v>
          </cell>
          <cell r="K20">
            <v>1800570</v>
          </cell>
        </row>
        <row r="21">
          <cell r="E21" t="str">
            <v>Boerne ISD</v>
          </cell>
          <cell r="K21">
            <v>4810710</v>
          </cell>
        </row>
        <row r="22">
          <cell r="E22" t="str">
            <v>BONDURANTFARRAR CMTY SCH</v>
          </cell>
          <cell r="K22">
            <v>1905070</v>
          </cell>
        </row>
        <row r="23">
          <cell r="E23" t="str">
            <v>Bowling Green Independent Schools</v>
          </cell>
          <cell r="K23">
            <v>2100570</v>
          </cell>
        </row>
        <row r="24">
          <cell r="E24" t="str">
            <v>Breck School</v>
          </cell>
        </row>
        <row r="25">
          <cell r="E25" t="str">
            <v>Bremen City Schools</v>
          </cell>
          <cell r="K25">
            <v>1300510</v>
          </cell>
        </row>
        <row r="26">
          <cell r="E26" t="str">
            <v>Brentwood</v>
          </cell>
          <cell r="K26">
            <v>2905880</v>
          </cell>
        </row>
        <row r="27">
          <cell r="E27" t="str">
            <v>Brielle</v>
          </cell>
          <cell r="K27">
            <v>3402310</v>
          </cell>
        </row>
        <row r="28">
          <cell r="E28" t="str">
            <v>Broken Bow schools</v>
          </cell>
          <cell r="K28">
            <v>4005520</v>
          </cell>
        </row>
        <row r="29">
          <cell r="E29" t="str">
            <v>Brookland Public Schools</v>
          </cell>
          <cell r="K29">
            <v>503640</v>
          </cell>
        </row>
        <row r="30">
          <cell r="E30" t="str">
            <v>Brunswick School Department</v>
          </cell>
          <cell r="K30">
            <v>2303780</v>
          </cell>
        </row>
        <row r="31">
          <cell r="E31" t="str">
            <v>Buena Regional Scholl District</v>
          </cell>
          <cell r="K31">
            <v>3402400</v>
          </cell>
        </row>
        <row r="32">
          <cell r="E32" t="str">
            <v>Buncombe</v>
          </cell>
          <cell r="K32">
            <v>3700450</v>
          </cell>
        </row>
        <row r="33">
          <cell r="E33" t="str">
            <v>Valley View ISD</v>
          </cell>
          <cell r="K33">
            <v>4843800</v>
          </cell>
        </row>
        <row r="34">
          <cell r="E34" t="str">
            <v>California Crosspoint Academy</v>
          </cell>
        </row>
        <row r="35">
          <cell r="E35" t="str">
            <v>Camdenton R-3 School District</v>
          </cell>
          <cell r="K35">
            <v>2906990</v>
          </cell>
        </row>
        <row r="36">
          <cell r="E36" t="str">
            <v>Campbell County Schools</v>
          </cell>
          <cell r="K36">
            <v>2100900</v>
          </cell>
        </row>
        <row r="37">
          <cell r="E37" t="str">
            <v>Carbon County School District #1</v>
          </cell>
          <cell r="K37">
            <v>5601030</v>
          </cell>
        </row>
        <row r="38">
          <cell r="E38" t="str">
            <v>Cave Creek Uniifed</v>
          </cell>
          <cell r="K38">
            <v>400001</v>
          </cell>
        </row>
        <row r="39">
          <cell r="E39" t="str">
            <v>TwinRivers Unified school District</v>
          </cell>
          <cell r="K39">
            <v>601332</v>
          </cell>
        </row>
        <row r="40">
          <cell r="E40" t="str">
            <v>Cherry Valley-Springfield csd</v>
          </cell>
          <cell r="K40">
            <v>3600006</v>
          </cell>
        </row>
        <row r="41">
          <cell r="E41" t="str">
            <v>Chippewa Hills School District</v>
          </cell>
          <cell r="K41">
            <v>2609560</v>
          </cell>
        </row>
        <row r="42">
          <cell r="E42" t="str">
            <v>Chippewa Valley Schools</v>
          </cell>
          <cell r="K42">
            <v>2609570</v>
          </cell>
        </row>
        <row r="43">
          <cell r="E43" t="str">
            <v>City of Baker School System</v>
          </cell>
          <cell r="K43">
            <v>2200040</v>
          </cell>
        </row>
        <row r="44">
          <cell r="E44" t="str">
            <v>Clay County</v>
          </cell>
          <cell r="K44">
            <v>100750</v>
          </cell>
        </row>
        <row r="45">
          <cell r="E45" t="str">
            <v>Clover Park School District</v>
          </cell>
          <cell r="K45">
            <v>5301410</v>
          </cell>
        </row>
        <row r="46">
          <cell r="E46" t="str">
            <v>Cobb County School</v>
          </cell>
          <cell r="K46">
            <v>1301290</v>
          </cell>
        </row>
        <row r="47">
          <cell r="E47" t="str">
            <v>Cochrane Fountain City School</v>
          </cell>
          <cell r="K47">
            <v>5502700</v>
          </cell>
        </row>
        <row r="48">
          <cell r="E48" t="str">
            <v>Tolleson Union High School District</v>
          </cell>
          <cell r="K48">
            <v>408520</v>
          </cell>
        </row>
        <row r="49">
          <cell r="E49" t="str">
            <v>Coldspring-Oakhurst CISD</v>
          </cell>
          <cell r="K49">
            <v>4814520</v>
          </cell>
        </row>
        <row r="50">
          <cell r="E50" t="str">
            <v>colorado river union high school dist 2</v>
          </cell>
          <cell r="K50">
            <v>400082</v>
          </cell>
        </row>
        <row r="51">
          <cell r="E51" t="str">
            <v>COLTON JOINT USD</v>
          </cell>
          <cell r="K51">
            <v>609390</v>
          </cell>
        </row>
        <row r="52">
          <cell r="E52" t="str">
            <v>Colts Neck Township BOE</v>
          </cell>
          <cell r="K52">
            <v>3403450</v>
          </cell>
        </row>
        <row r="53">
          <cell r="E53" t="str">
            <v>Concho Elementary School District #6</v>
          </cell>
          <cell r="K53">
            <v>402190</v>
          </cell>
        </row>
        <row r="54">
          <cell r="E54" t="str">
            <v>Concord Public</v>
          </cell>
          <cell r="K54">
            <v>2503840</v>
          </cell>
        </row>
        <row r="55">
          <cell r="E55" t="str">
            <v>Conneaut Area City Schools</v>
          </cell>
          <cell r="K55">
            <v>3904381</v>
          </cell>
        </row>
        <row r="56">
          <cell r="E56" t="str">
            <v>Conroe ISD</v>
          </cell>
          <cell r="K56">
            <v>4815000</v>
          </cell>
        </row>
        <row r="57">
          <cell r="E57" t="str">
            <v>crescent academy</v>
          </cell>
          <cell r="K57">
            <v>2600295</v>
          </cell>
        </row>
        <row r="58">
          <cell r="E58" t="str">
            <v>CUSD#2 Robinson</v>
          </cell>
          <cell r="K58">
            <v>1734230</v>
          </cell>
        </row>
        <row r="59">
          <cell r="E59" t="str">
            <v>Danville Community School Corporation</v>
          </cell>
          <cell r="K59">
            <v>1802550</v>
          </cell>
        </row>
        <row r="60">
          <cell r="E60" t="str">
            <v>Danville Community School Corporation</v>
          </cell>
          <cell r="K60">
            <v>1802550</v>
          </cell>
        </row>
        <row r="61">
          <cell r="E61" t="str">
            <v>Dekalb Central United Schools District</v>
          </cell>
          <cell r="K61">
            <v>1801590</v>
          </cell>
        </row>
        <row r="62">
          <cell r="E62" t="str">
            <v>Delaware City Schools</v>
          </cell>
          <cell r="K62">
            <v>3904387</v>
          </cell>
        </row>
        <row r="63">
          <cell r="E63" t="str">
            <v>Denton ISD</v>
          </cell>
          <cell r="K63">
            <v>4816740</v>
          </cell>
        </row>
        <row r="64">
          <cell r="E64" t="str">
            <v>District 86R. Knox County</v>
          </cell>
        </row>
        <row r="65">
          <cell r="E65" t="str">
            <v>Duneland</v>
          </cell>
          <cell r="K65">
            <v>1802800</v>
          </cell>
        </row>
        <row r="66">
          <cell r="E66" t="str">
            <v>East Dubuque Unit #119</v>
          </cell>
          <cell r="K66">
            <v>1713050</v>
          </cell>
        </row>
        <row r="67">
          <cell r="E67" t="str">
            <v>East Noble School Corporation</v>
          </cell>
          <cell r="K67">
            <v>1802970</v>
          </cell>
        </row>
        <row r="68">
          <cell r="E68" t="str">
            <v>Eastern Howard School Corporation</v>
          </cell>
          <cell r="K68">
            <v>1803150</v>
          </cell>
        </row>
        <row r="69">
          <cell r="E69" t="str">
            <v>Edinburg CUSD #4</v>
          </cell>
          <cell r="K69">
            <v>1713410</v>
          </cell>
        </row>
        <row r="70">
          <cell r="E70" t="str">
            <v>Edison local schools</v>
          </cell>
          <cell r="K70">
            <v>3904779</v>
          </cell>
        </row>
        <row r="71">
          <cell r="E71" t="str">
            <v>El Dorado Public Schools</v>
          </cell>
          <cell r="K71">
            <v>2005730</v>
          </cell>
        </row>
        <row r="72">
          <cell r="E72" t="str">
            <v>Elm Creek Public Schools District #9</v>
          </cell>
          <cell r="K72">
            <v>3170140</v>
          </cell>
        </row>
        <row r="73">
          <cell r="E73" t="str">
            <v>Eminence R-1</v>
          </cell>
          <cell r="K73">
            <v>2911450</v>
          </cell>
        </row>
        <row r="74">
          <cell r="E74" t="str">
            <v>Englewood Schools</v>
          </cell>
          <cell r="K74">
            <v>3404740</v>
          </cell>
        </row>
        <row r="75">
          <cell r="E75" t="str">
            <v>Eureka Public Schools</v>
          </cell>
          <cell r="K75">
            <v>2006120</v>
          </cell>
        </row>
        <row r="76">
          <cell r="E76" t="str">
            <v>eustace isd</v>
          </cell>
          <cell r="K76">
            <v>4818720</v>
          </cell>
        </row>
        <row r="77">
          <cell r="E77" t="str">
            <v>Excalibur Schools (Avalon)</v>
          </cell>
          <cell r="K77">
            <v>400235</v>
          </cell>
        </row>
        <row r="78">
          <cell r="E78" t="str">
            <v>Fall River Joint Unified School District</v>
          </cell>
          <cell r="K78">
            <v>613470</v>
          </cell>
        </row>
        <row r="79">
          <cell r="E79" t="str">
            <v>Farmington Municipal Schools</v>
          </cell>
          <cell r="K79">
            <v>3500990</v>
          </cell>
        </row>
        <row r="80">
          <cell r="E80" t="str">
            <v>farmington public schools</v>
          </cell>
          <cell r="K80">
            <v>2614070</v>
          </cell>
        </row>
        <row r="81">
          <cell r="E81" t="str">
            <v>Farwell Area Schools</v>
          </cell>
          <cell r="K81">
            <v>2614100</v>
          </cell>
        </row>
        <row r="82">
          <cell r="E82" t="str">
            <v>Fayette County Public School</v>
          </cell>
          <cell r="K82">
            <v>4701170</v>
          </cell>
        </row>
        <row r="83">
          <cell r="E83" t="str">
            <v>Fieldcrest CUSD No.6</v>
          </cell>
          <cell r="K83">
            <v>1715100</v>
          </cell>
        </row>
        <row r="84">
          <cell r="E84" t="str">
            <v>Thomas County Schools</v>
          </cell>
          <cell r="K84">
            <v>1304890</v>
          </cell>
        </row>
        <row r="85">
          <cell r="E85" t="str">
            <v>Sylacauga City Schools</v>
          </cell>
          <cell r="K85">
            <v>103120</v>
          </cell>
        </row>
        <row r="86">
          <cell r="E86" t="str">
            <v>Franklin County Schools</v>
          </cell>
          <cell r="K86">
            <v>3701530</v>
          </cell>
        </row>
        <row r="87">
          <cell r="E87" t="str">
            <v>Fremont Unified School District</v>
          </cell>
          <cell r="K87">
            <v>3303150</v>
          </cell>
        </row>
        <row r="88">
          <cell r="E88" t="str">
            <v>Friendswood ISD</v>
          </cell>
          <cell r="K88">
            <v>4819950</v>
          </cell>
        </row>
        <row r="89">
          <cell r="E89" t="str">
            <v>Fulton County Schools</v>
          </cell>
          <cell r="K89">
            <v>1302280</v>
          </cell>
        </row>
        <row r="90">
          <cell r="E90" t="str">
            <v>Garaway</v>
          </cell>
          <cell r="K90">
            <v>3905027</v>
          </cell>
        </row>
        <row r="91">
          <cell r="E91" t="str">
            <v>Garfield School District</v>
          </cell>
          <cell r="K91">
            <v>5303000</v>
          </cell>
        </row>
        <row r="92">
          <cell r="E92" t="str">
            <v>Gilmour Academy</v>
          </cell>
        </row>
        <row r="93">
          <cell r="E93" t="str">
            <v>South San Antonio ISD</v>
          </cell>
          <cell r="K93">
            <v>4840680</v>
          </cell>
        </row>
        <row r="94">
          <cell r="E94" t="str">
            <v>Gordon/Rushville Schools</v>
          </cell>
          <cell r="K94">
            <v>3100170</v>
          </cell>
        </row>
        <row r="95">
          <cell r="E95" t="str">
            <v>Governor Wentworth Regional School district</v>
          </cell>
          <cell r="K95">
            <v>3303330</v>
          </cell>
        </row>
        <row r="96">
          <cell r="E96" t="str">
            <v>GPISD</v>
          </cell>
          <cell r="K96">
            <v>4821420</v>
          </cell>
        </row>
        <row r="97">
          <cell r="E97" t="str">
            <v>Grain Valley R-5 Schools</v>
          </cell>
          <cell r="K97">
            <v>2913080</v>
          </cell>
        </row>
        <row r="98">
          <cell r="E98" t="str">
            <v>Grandview C4</v>
          </cell>
          <cell r="K98">
            <v>2913140</v>
          </cell>
        </row>
        <row r="99">
          <cell r="E99" t="str">
            <v>Gwinnett County Public Schools</v>
          </cell>
          <cell r="K99">
            <v>1302550</v>
          </cell>
        </row>
        <row r="100">
          <cell r="E100" t="str">
            <v>Gwinnett Couty Public Schools</v>
          </cell>
          <cell r="K100">
            <v>1302550</v>
          </cell>
        </row>
        <row r="101">
          <cell r="E101" t="str">
            <v>H.L.V. Community School Distract</v>
          </cell>
          <cell r="K101">
            <v>1913380</v>
          </cell>
        </row>
        <row r="102">
          <cell r="E102" t="str">
            <v>HALF HOLLOW HILLS CSD</v>
          </cell>
          <cell r="K102">
            <v>3613290</v>
          </cell>
        </row>
        <row r="103">
          <cell r="E103" t="str">
            <v>Hamilton Southeastern Schools</v>
          </cell>
          <cell r="K103">
            <v>1810650</v>
          </cell>
        </row>
        <row r="104">
          <cell r="E104" t="str">
            <v>Hampton City Public Schools</v>
          </cell>
          <cell r="K104">
            <v>5101800</v>
          </cell>
        </row>
        <row r="105">
          <cell r="E105" t="str">
            <v>Hannibal School District #60</v>
          </cell>
          <cell r="K105">
            <v>2913650</v>
          </cell>
        </row>
        <row r="106">
          <cell r="E106" t="str">
            <v>Hardin County School</v>
          </cell>
          <cell r="K106">
            <v>2102490</v>
          </cell>
        </row>
        <row r="107">
          <cell r="E107" t="str">
            <v>Harmony-Emge School District No. 175</v>
          </cell>
          <cell r="K107">
            <v>1714220</v>
          </cell>
        </row>
        <row r="108">
          <cell r="E108" t="str">
            <v>Harrah Public Schools</v>
          </cell>
          <cell r="K108">
            <v>4013890</v>
          </cell>
        </row>
        <row r="109">
          <cell r="E109" t="str">
            <v>Selma Unified</v>
          </cell>
          <cell r="K109">
            <v>636270</v>
          </cell>
        </row>
        <row r="110">
          <cell r="E110" t="str">
            <v>HENDERSON COUNTY BOARD OF ED.</v>
          </cell>
          <cell r="K110">
            <v>2102710</v>
          </cell>
        </row>
        <row r="111">
          <cell r="E111" t="str">
            <v>Hendrick Hudson School District</v>
          </cell>
          <cell r="K111">
            <v>3614190</v>
          </cell>
        </row>
        <row r="112">
          <cell r="E112" t="str">
            <v>Holdingford Public Schools</v>
          </cell>
          <cell r="K112">
            <v>2714190</v>
          </cell>
        </row>
        <row r="113">
          <cell r="E113" t="str">
            <v>San Antonio I.S.D.</v>
          </cell>
          <cell r="K113">
            <v>4838730</v>
          </cell>
        </row>
        <row r="114">
          <cell r="E114" t="str">
            <v>Hoodoo Valley Central School</v>
          </cell>
          <cell r="K114">
            <v>3614730</v>
          </cell>
        </row>
        <row r="115">
          <cell r="E115" t="str">
            <v>Idalia School District RJ-3</v>
          </cell>
          <cell r="K115">
            <v>800018</v>
          </cell>
        </row>
        <row r="116">
          <cell r="E116" t="str">
            <v>INDIAN RIVER COUNTY</v>
          </cell>
          <cell r="K116">
            <v>1200930</v>
          </cell>
        </row>
        <row r="117">
          <cell r="E117" t="str">
            <v>Indian River County School District</v>
          </cell>
          <cell r="K117">
            <v>1000680</v>
          </cell>
        </row>
        <row r="118">
          <cell r="E118" t="str">
            <v>Interstate 35CSD</v>
          </cell>
          <cell r="K118">
            <v>1914670</v>
          </cell>
        </row>
        <row r="119">
          <cell r="E119" t="str">
            <v>ISD 15</v>
          </cell>
          <cell r="K119">
            <v>2733540</v>
          </cell>
        </row>
        <row r="120">
          <cell r="E120" t="str">
            <v>ISD 196</v>
          </cell>
          <cell r="K120">
            <v>2732390</v>
          </cell>
        </row>
        <row r="121">
          <cell r="E121" t="str">
            <v>ISD 318</v>
          </cell>
          <cell r="K121">
            <v>2713170</v>
          </cell>
        </row>
        <row r="122">
          <cell r="E122" t="str">
            <v>Itawamba County</v>
          </cell>
          <cell r="K122">
            <v>2802100</v>
          </cell>
        </row>
        <row r="123">
          <cell r="E123" t="str">
            <v>jackson Independent</v>
          </cell>
          <cell r="K123">
            <v>2102910</v>
          </cell>
        </row>
        <row r="124">
          <cell r="E124" t="str">
            <v>John Glenn School Corporation</v>
          </cell>
          <cell r="K124">
            <v>1809120</v>
          </cell>
        </row>
        <row r="125">
          <cell r="E125" t="str">
            <v>Kettering City Schools</v>
          </cell>
          <cell r="K125">
            <v>3904418</v>
          </cell>
        </row>
        <row r="126">
          <cell r="E126" t="str">
            <v>Kings Park Central School District</v>
          </cell>
          <cell r="K126">
            <v>3616260</v>
          </cell>
        </row>
        <row r="127">
          <cell r="E127" t="str">
            <v>Kinteel Residential Campus Inc</v>
          </cell>
        </row>
        <row r="128">
          <cell r="E128" t="str">
            <v>Kirtland School District</v>
          </cell>
          <cell r="K128">
            <v>3904787</v>
          </cell>
        </row>
        <row r="129">
          <cell r="E129" t="str">
            <v>Rockdale ISD</v>
          </cell>
          <cell r="K129">
            <v>4837590</v>
          </cell>
        </row>
        <row r="130">
          <cell r="E130" t="str">
            <v>Lakewood Local School District</v>
          </cell>
          <cell r="K130">
            <v>5304260</v>
          </cell>
        </row>
        <row r="131">
          <cell r="E131" t="str">
            <v>Lamar R-1</v>
          </cell>
          <cell r="K131">
            <v>2917850</v>
          </cell>
        </row>
        <row r="132">
          <cell r="E132" t="str">
            <v>LANCASTER CITY SCHOOL</v>
          </cell>
          <cell r="K132">
            <v>3904420</v>
          </cell>
        </row>
        <row r="133">
          <cell r="E133" t="str">
            <v>Lancaster Community Schools</v>
          </cell>
          <cell r="K133">
            <v>5507770</v>
          </cell>
        </row>
        <row r="134">
          <cell r="E134" t="str">
            <v>Laurel Public Schools</v>
          </cell>
          <cell r="K134">
            <v>1000810</v>
          </cell>
        </row>
        <row r="135">
          <cell r="E135" t="str">
            <v>LCPS</v>
          </cell>
          <cell r="K135">
            <v>5102250</v>
          </cell>
        </row>
        <row r="136">
          <cell r="E136" t="str">
            <v>Lenape Valley Regional High School</v>
          </cell>
          <cell r="K136">
            <v>3408500</v>
          </cell>
        </row>
        <row r="137">
          <cell r="E137" t="str">
            <v>Quileute Tribal School</v>
          </cell>
          <cell r="K137">
            <v>5900127</v>
          </cell>
        </row>
        <row r="138">
          <cell r="E138" t="str">
            <v>Liberty Center Schools</v>
          </cell>
          <cell r="K138">
            <v>3904758</v>
          </cell>
        </row>
        <row r="139">
          <cell r="E139" t="str">
            <v>Liberty Christian Academy</v>
          </cell>
        </row>
        <row r="140">
          <cell r="E140" t="str">
            <v>Licking Heights Local School</v>
          </cell>
          <cell r="K140">
            <v>3904800</v>
          </cell>
        </row>
        <row r="141">
          <cell r="E141" t="str">
            <v>lincoln public schools</v>
          </cell>
          <cell r="K141">
            <v>3172840</v>
          </cell>
        </row>
        <row r="142">
          <cell r="E142" t="str">
            <v>Liverpool Central School District</v>
          </cell>
          <cell r="K142">
            <v>3617520</v>
          </cell>
        </row>
        <row r="143">
          <cell r="E143" t="str">
            <v>Livingston Board of Education</v>
          </cell>
          <cell r="K143">
            <v>3408820</v>
          </cell>
        </row>
        <row r="144">
          <cell r="E144" t="str">
            <v>Livingston BOE</v>
          </cell>
          <cell r="K144">
            <v>3408820</v>
          </cell>
        </row>
        <row r="145">
          <cell r="E145" t="str">
            <v>Logan-Rogersville</v>
          </cell>
          <cell r="K145">
            <v>2919170</v>
          </cell>
        </row>
        <row r="146">
          <cell r="E146" t="str">
            <v>Logansport Community School Corp.</v>
          </cell>
          <cell r="K146">
            <v>1806030</v>
          </cell>
        </row>
        <row r="147">
          <cell r="E147" t="str">
            <v>Lumuiya school</v>
          </cell>
        </row>
        <row r="148">
          <cell r="E148" t="str">
            <v>Madison County School System</v>
          </cell>
          <cell r="K148">
            <v>3702820</v>
          </cell>
        </row>
        <row r="149">
          <cell r="E149" t="str">
            <v>manalapan englishtown regional school district</v>
          </cell>
          <cell r="K149">
            <v>3409390</v>
          </cell>
        </row>
        <row r="150">
          <cell r="E150" t="str">
            <v>Manchester Local School District</v>
          </cell>
          <cell r="K150">
            <v>902310</v>
          </cell>
        </row>
        <row r="151">
          <cell r="E151" t="str">
            <v>Manchester Schools</v>
          </cell>
          <cell r="K151">
            <v>1806270</v>
          </cell>
        </row>
        <row r="152">
          <cell r="E152" t="str">
            <v>Manheim Central SD</v>
          </cell>
          <cell r="K152">
            <v>4214550</v>
          </cell>
        </row>
        <row r="153">
          <cell r="E153" t="str">
            <v>Marion Central school</v>
          </cell>
          <cell r="K153">
            <v>3618540</v>
          </cell>
        </row>
        <row r="154">
          <cell r="E154" t="str">
            <v>MARION COUNTY</v>
          </cell>
          <cell r="K154">
            <v>102310</v>
          </cell>
        </row>
        <row r="155">
          <cell r="E155" t="str">
            <v>Mascoutah Community Unit School District 19</v>
          </cell>
          <cell r="K155">
            <v>1724940</v>
          </cell>
        </row>
        <row r="156">
          <cell r="E156" t="str">
            <v>Meadows Union School District</v>
          </cell>
          <cell r="K156">
            <v>624390</v>
          </cell>
        </row>
        <row r="157">
          <cell r="E157" t="str">
            <v>Meeker School District RE-1</v>
          </cell>
          <cell r="K157">
            <v>805610</v>
          </cell>
        </row>
        <row r="158">
          <cell r="E158" t="str">
            <v>MENTOR EXEMPTED VILLAGE SD</v>
          </cell>
          <cell r="K158">
            <v>3904549</v>
          </cell>
        </row>
        <row r="159">
          <cell r="E159" t="str">
            <v>Palm Springs unified</v>
          </cell>
          <cell r="K159">
            <v>629550</v>
          </cell>
        </row>
        <row r="160">
          <cell r="E160" t="str">
            <v>Merrimack Valley</v>
          </cell>
          <cell r="K160">
            <v>3304760</v>
          </cell>
        </row>
        <row r="161">
          <cell r="E161" t="str">
            <v>Mesa Unified School Dist #4</v>
          </cell>
          <cell r="K161">
            <v>404970</v>
          </cell>
        </row>
        <row r="162">
          <cell r="E162" t="str">
            <v>Miami Dade County Public Schools</v>
          </cell>
          <cell r="K162">
            <v>1200390</v>
          </cell>
        </row>
        <row r="163">
          <cell r="E163" t="str">
            <v>Miami Valley Career Technology Center</v>
          </cell>
          <cell r="K163">
            <v>3905128</v>
          </cell>
        </row>
        <row r="164">
          <cell r="E164" t="str">
            <v>Minot Public Schools</v>
          </cell>
          <cell r="K164">
            <v>3813030</v>
          </cell>
        </row>
        <row r="165">
          <cell r="E165" t="str">
            <v>Mission Valley USD #330</v>
          </cell>
          <cell r="K165">
            <v>2006060</v>
          </cell>
        </row>
        <row r="166">
          <cell r="E166" t="str">
            <v>New Kensington-Arnold SD</v>
          </cell>
          <cell r="K166">
            <v>4216740</v>
          </cell>
        </row>
        <row r="167">
          <cell r="E167" t="str">
            <v>MSD of Warren Township</v>
          </cell>
          <cell r="K167">
            <v>1812360</v>
          </cell>
        </row>
        <row r="168">
          <cell r="E168" t="str">
            <v>Msad 61</v>
          </cell>
          <cell r="K168">
            <v>2314210</v>
          </cell>
        </row>
        <row r="169">
          <cell r="E169" t="str">
            <v>Montgomery</v>
          </cell>
          <cell r="K169">
            <v>102430</v>
          </cell>
        </row>
        <row r="170">
          <cell r="E170" t="str">
            <v>Muhlenberg School District</v>
          </cell>
          <cell r="K170">
            <v>4216200</v>
          </cell>
        </row>
        <row r="171">
          <cell r="E171" t="str">
            <v>Montebello Unified School District</v>
          </cell>
          <cell r="K171">
            <v>625470</v>
          </cell>
        </row>
        <row r="172">
          <cell r="E172" t="str">
            <v>New Lebanon Central School</v>
          </cell>
          <cell r="K172">
            <v>3620430</v>
          </cell>
        </row>
        <row r="173">
          <cell r="E173" t="str">
            <v>Newtown</v>
          </cell>
          <cell r="K173">
            <v>2009960</v>
          </cell>
        </row>
        <row r="174">
          <cell r="E174" t="str">
            <v>Niagara public schools</v>
          </cell>
          <cell r="K174">
            <v>5510680</v>
          </cell>
        </row>
        <row r="175">
          <cell r="E175" t="str">
            <v>North Montgomery Community School Corporation</v>
          </cell>
          <cell r="K175">
            <v>1807900</v>
          </cell>
        </row>
        <row r="176">
          <cell r="E176" t="str">
            <v>North Palos School Dist 117</v>
          </cell>
          <cell r="K176">
            <v>1728890</v>
          </cell>
        </row>
        <row r="177">
          <cell r="E177" t="str">
            <v>North Penn School District</v>
          </cell>
          <cell r="K177">
            <v>4217280</v>
          </cell>
        </row>
        <row r="178">
          <cell r="E178" t="str">
            <v>North Sanpete</v>
          </cell>
          <cell r="K178">
            <v>4900660</v>
          </cell>
        </row>
        <row r="179">
          <cell r="E179" t="str">
            <v>Northampton County Public Schools</v>
          </cell>
          <cell r="K179">
            <v>3703420</v>
          </cell>
        </row>
        <row r="180">
          <cell r="E180" t="str">
            <v>Northport-East Northport UFSD</v>
          </cell>
          <cell r="K180">
            <v>3621270</v>
          </cell>
        </row>
        <row r="181">
          <cell r="E181" t="str">
            <v>Northwestern CUSD 2</v>
          </cell>
          <cell r="K181">
            <v>1730540</v>
          </cell>
        </row>
        <row r="182">
          <cell r="E182" t="str">
            <v>Olentangy</v>
          </cell>
          <cell r="K182">
            <v>3904676</v>
          </cell>
        </row>
        <row r="183">
          <cell r="E183" t="str">
            <v>Onslow County</v>
          </cell>
          <cell r="K183">
            <v>3703450</v>
          </cell>
        </row>
        <row r="184">
          <cell r="E184" t="str">
            <v>Orange County Public School</v>
          </cell>
          <cell r="K184">
            <v>3703480</v>
          </cell>
        </row>
        <row r="185">
          <cell r="E185" t="str">
            <v>Ozark Schools</v>
          </cell>
          <cell r="K185">
            <v>511010</v>
          </cell>
        </row>
        <row r="186">
          <cell r="E186" t="str">
            <v>Palm Beach Maritime Museum</v>
          </cell>
          <cell r="K186">
            <v>1201500</v>
          </cell>
        </row>
        <row r="187">
          <cell r="E187" t="str">
            <v>Meriden Public Schools</v>
          </cell>
          <cell r="K187">
            <v>2623580</v>
          </cell>
        </row>
        <row r="188">
          <cell r="E188" t="str">
            <v>palo verde school district#49</v>
          </cell>
          <cell r="K188">
            <v>405850</v>
          </cell>
        </row>
        <row r="189">
          <cell r="E189" t="str">
            <v>Papillion La Vista Community Schools</v>
          </cell>
          <cell r="K189">
            <v>3175270</v>
          </cell>
        </row>
        <row r="190">
          <cell r="E190" t="str">
            <v>Paso Robles Joint Unified School District</v>
          </cell>
          <cell r="K190">
            <v>600048</v>
          </cell>
        </row>
        <row r="191">
          <cell r="E191" t="str">
            <v>Pemberton Township Schools</v>
          </cell>
          <cell r="K191">
            <v>3412810</v>
          </cell>
        </row>
        <row r="192">
          <cell r="E192" t="str">
            <v>Pembroke CSD</v>
          </cell>
          <cell r="K192">
            <v>2509420</v>
          </cell>
        </row>
        <row r="193">
          <cell r="E193" t="str">
            <v>Philipsburg Osceola</v>
          </cell>
          <cell r="K193">
            <v>4219020</v>
          </cell>
        </row>
        <row r="194">
          <cell r="E194" t="str">
            <v>Phillips</v>
          </cell>
          <cell r="K194">
            <v>3000058</v>
          </cell>
        </row>
        <row r="195">
          <cell r="E195" t="str">
            <v>Placentia-Yorba Linda Unified School District</v>
          </cell>
          <cell r="K195">
            <v>630660</v>
          </cell>
        </row>
        <row r="196">
          <cell r="E196" t="str">
            <v>pocantico hills</v>
          </cell>
          <cell r="K196">
            <v>3623340</v>
          </cell>
        </row>
        <row r="197">
          <cell r="E197" t="str">
            <v>Portland public schools</v>
          </cell>
          <cell r="K197">
            <v>2309930</v>
          </cell>
        </row>
        <row r="198">
          <cell r="E198" t="str">
            <v>Post Falls School District #273</v>
          </cell>
          <cell r="K198">
            <v>1602670</v>
          </cell>
        </row>
        <row r="199">
          <cell r="E199" t="str">
            <v>Prairie Grove Consolidated School District 46</v>
          </cell>
          <cell r="K199">
            <v>511760</v>
          </cell>
        </row>
        <row r="200">
          <cell r="E200" t="str">
            <v>Lexington School District Two</v>
          </cell>
          <cell r="K200">
            <v>4502730</v>
          </cell>
        </row>
        <row r="201">
          <cell r="E201" t="str">
            <v>Raccoon Consolidated School District#1</v>
          </cell>
          <cell r="K201">
            <v>1733030</v>
          </cell>
        </row>
        <row r="202">
          <cell r="E202" t="str">
            <v>Ravena Coeymans Selkirk CSD</v>
          </cell>
          <cell r="K202">
            <v>3624150</v>
          </cell>
        </row>
        <row r="203">
          <cell r="E203" t="str">
            <v>Raymond central</v>
          </cell>
          <cell r="K203">
            <v>3104950</v>
          </cell>
        </row>
        <row r="204">
          <cell r="E204" t="str">
            <v>Raytown School District</v>
          </cell>
          <cell r="K204">
            <v>2926070</v>
          </cell>
        </row>
        <row r="205">
          <cell r="E205" t="str">
            <v>Renton School District</v>
          </cell>
          <cell r="K205">
            <v>5307230</v>
          </cell>
        </row>
        <row r="206">
          <cell r="E206" t="str">
            <v>Ridgefield Public Schools</v>
          </cell>
          <cell r="K206">
            <v>3413800</v>
          </cell>
        </row>
        <row r="207">
          <cell r="E207" t="str">
            <v>Ridgemont Local School District</v>
          </cell>
          <cell r="K207">
            <v>3904750</v>
          </cell>
        </row>
        <row r="208">
          <cell r="E208" t="str">
            <v>Robertson County Schools</v>
          </cell>
          <cell r="K208">
            <v>2105040</v>
          </cell>
        </row>
        <row r="209">
          <cell r="E209" t="str">
            <v>Rockaway Twp</v>
          </cell>
          <cell r="K209">
            <v>3414130</v>
          </cell>
        </row>
        <row r="210">
          <cell r="E210" t="str">
            <v>Klamath Falls City Schools</v>
          </cell>
          <cell r="K210">
            <v>4107080</v>
          </cell>
        </row>
        <row r="211">
          <cell r="E211" t="str">
            <v>Rotterdam Mohonasen Central Schools</v>
          </cell>
          <cell r="K211">
            <v>3600004</v>
          </cell>
        </row>
        <row r="212">
          <cell r="E212" t="str">
            <v>Salem City Schools</v>
          </cell>
          <cell r="K212">
            <v>3414550</v>
          </cell>
        </row>
        <row r="213">
          <cell r="E213" t="str">
            <v>Salisbury R-IV</v>
          </cell>
          <cell r="K213">
            <v>2927520</v>
          </cell>
        </row>
        <row r="214">
          <cell r="E214" t="str">
            <v>Salt Lake City School District, Salt Lake City, Utah</v>
          </cell>
          <cell r="K214">
            <v>4900870</v>
          </cell>
        </row>
        <row r="215">
          <cell r="E215" t="str">
            <v>Holly School Dist. RE-3</v>
          </cell>
          <cell r="K215">
            <v>804680</v>
          </cell>
        </row>
        <row r="216">
          <cell r="E216" t="str">
            <v>Santa Monica-Malibu Unified School District</v>
          </cell>
          <cell r="K216">
            <v>635700</v>
          </cell>
        </row>
        <row r="217">
          <cell r="E217" t="str">
            <v>Saranac Lake Central School District</v>
          </cell>
          <cell r="K217">
            <v>3625740</v>
          </cell>
        </row>
        <row r="218">
          <cell r="E218" t="str">
            <v>School District of Elmwood</v>
          </cell>
          <cell r="K218">
            <v>5504350</v>
          </cell>
        </row>
        <row r="219">
          <cell r="E219" t="str">
            <v>School District of Greenfield Wisconsin</v>
          </cell>
          <cell r="K219">
            <v>5505940</v>
          </cell>
        </row>
        <row r="220">
          <cell r="E220" t="str">
            <v>School District of Maple</v>
          </cell>
          <cell r="K220">
            <v>5508640</v>
          </cell>
        </row>
        <row r="221">
          <cell r="E221" t="str">
            <v>School District of Random Lake</v>
          </cell>
          <cell r="K221">
            <v>5512450</v>
          </cell>
        </row>
        <row r="222">
          <cell r="E222" t="str">
            <v>School District of West Salem</v>
          </cell>
          <cell r="K222">
            <v>5516350</v>
          </cell>
        </row>
        <row r="223">
          <cell r="E223" t="str">
            <v>School Town of Highland</v>
          </cell>
          <cell r="K223">
            <v>1804560</v>
          </cell>
        </row>
        <row r="224">
          <cell r="E224" t="str">
            <v>Scotland County Schools</v>
          </cell>
          <cell r="K224">
            <v>3704200</v>
          </cell>
        </row>
        <row r="225">
          <cell r="E225" t="str">
            <v>SCUSD</v>
          </cell>
          <cell r="K225">
            <v>602348</v>
          </cell>
        </row>
        <row r="226">
          <cell r="E226" t="str">
            <v>Hemet Unified School District</v>
          </cell>
          <cell r="K226">
            <v>616920</v>
          </cell>
        </row>
        <row r="227">
          <cell r="E227" t="str">
            <v>Sevier</v>
          </cell>
          <cell r="K227">
            <v>4900930</v>
          </cell>
        </row>
        <row r="228">
          <cell r="E228" t="str">
            <v>Shaker Heights City School District</v>
          </cell>
          <cell r="K228">
            <v>3904475</v>
          </cell>
        </row>
        <row r="229">
          <cell r="E229" t="str">
            <v>Shelby Eastern Schools</v>
          </cell>
          <cell r="K229">
            <v>1803210</v>
          </cell>
        </row>
        <row r="230">
          <cell r="E230" t="str">
            <v>show low #10</v>
          </cell>
          <cell r="K230">
            <v>407700</v>
          </cell>
        </row>
        <row r="231">
          <cell r="E231" t="str">
            <v>Sidney City Schools</v>
          </cell>
          <cell r="K231">
            <v>3910003</v>
          </cell>
        </row>
        <row r="232">
          <cell r="E232" t="str">
            <v>Smyrna School District</v>
          </cell>
          <cell r="K232">
            <v>1001620</v>
          </cell>
        </row>
        <row r="233">
          <cell r="E233" t="str">
            <v>Snohomish</v>
          </cell>
          <cell r="K233">
            <v>5308020</v>
          </cell>
        </row>
        <row r="234">
          <cell r="E234" t="str">
            <v>South Colonie Central Schools</v>
          </cell>
          <cell r="K234">
            <v>3627210</v>
          </cell>
        </row>
        <row r="235">
          <cell r="E235" t="str">
            <v>South Glens Falls</v>
          </cell>
          <cell r="K235">
            <v>3627240</v>
          </cell>
        </row>
        <row r="236">
          <cell r="E236" t="str">
            <v>South Harrison Community School Corporation</v>
          </cell>
          <cell r="K236">
            <v>1810360</v>
          </cell>
        </row>
        <row r="237">
          <cell r="E237" t="str">
            <v>South Henry School Corporation</v>
          </cell>
          <cell r="K237">
            <v>1810380</v>
          </cell>
        </row>
        <row r="238">
          <cell r="E238" t="str">
            <v>South Putnam Schools</v>
          </cell>
          <cell r="K238">
            <v>1810500</v>
          </cell>
        </row>
        <row r="239">
          <cell r="E239" t="str">
            <v>Golden Plains USD</v>
          </cell>
          <cell r="K239">
            <v>2011040</v>
          </cell>
        </row>
        <row r="240">
          <cell r="E240" t="str">
            <v>Special School District</v>
          </cell>
          <cell r="K240">
            <v>2280100</v>
          </cell>
        </row>
        <row r="241">
          <cell r="E241" t="str">
            <v>St. Johns County Schools</v>
          </cell>
          <cell r="K241">
            <v>1201740</v>
          </cell>
        </row>
        <row r="242">
          <cell r="E242" t="str">
            <v>St. Lucie Public Schools</v>
          </cell>
          <cell r="K242">
            <v>1201770</v>
          </cell>
        </row>
        <row r="243">
          <cell r="E243" t="str">
            <v>Stafford County Schools</v>
          </cell>
          <cell r="K243">
            <v>5103660</v>
          </cell>
        </row>
        <row r="244">
          <cell r="E244" t="str">
            <v>Stafford Schools USD 349</v>
          </cell>
          <cell r="K244">
            <v>2011970</v>
          </cell>
        </row>
        <row r="245">
          <cell r="E245" t="str">
            <v>Sturgis Public Schools</v>
          </cell>
          <cell r="K245">
            <v>2633090</v>
          </cell>
        </row>
        <row r="246">
          <cell r="E246" t="str">
            <v>Suffolk Public Schools</v>
          </cell>
          <cell r="K246">
            <v>5103710</v>
          </cell>
        </row>
        <row r="247">
          <cell r="E247" t="str">
            <v>Sullivan CUSD 300</v>
          </cell>
          <cell r="K247">
            <v>1738130</v>
          </cell>
        </row>
        <row r="248">
          <cell r="E248" t="str">
            <v>Sunapee School District</v>
          </cell>
          <cell r="K248">
            <v>3306540</v>
          </cell>
        </row>
        <row r="249">
          <cell r="E249" t="str">
            <v>Sutton Public</v>
          </cell>
          <cell r="K249">
            <v>3177520</v>
          </cell>
        </row>
        <row r="250">
          <cell r="E250" t="str">
            <v>Fort Wayne Community Schools</v>
          </cell>
          <cell r="K250">
            <v>1803630</v>
          </cell>
        </row>
        <row r="251">
          <cell r="E251" t="str">
            <v>Tabernacle Board of Education</v>
          </cell>
          <cell r="K251">
            <v>3416020</v>
          </cell>
        </row>
        <row r="252">
          <cell r="E252" t="str">
            <v>The John Cooper School</v>
          </cell>
        </row>
        <row r="253">
          <cell r="E253" t="str">
            <v>The Varnett Public School</v>
          </cell>
          <cell r="K253">
            <v>4800073</v>
          </cell>
        </row>
        <row r="254">
          <cell r="E254" t="str">
            <v>Fontana Unified School District</v>
          </cell>
          <cell r="K254">
            <v>613920</v>
          </cell>
        </row>
        <row r="255">
          <cell r="E255" t="str">
            <v>Coeur d'Alene School District 271</v>
          </cell>
          <cell r="K255">
            <v>1600780</v>
          </cell>
        </row>
        <row r="256">
          <cell r="E256" t="str">
            <v>Tomah Area School District</v>
          </cell>
          <cell r="K256">
            <v>5514910</v>
          </cell>
        </row>
        <row r="257">
          <cell r="E257" t="str">
            <v>TOWNSHIP HIGH SCHOOL DISTRICT 113</v>
          </cell>
          <cell r="K257">
            <v>1719080</v>
          </cell>
        </row>
        <row r="258">
          <cell r="E258" t="str">
            <v>Tri Creek School Corp</v>
          </cell>
          <cell r="K258">
            <v>1811460</v>
          </cell>
        </row>
        <row r="259">
          <cell r="E259" t="str">
            <v>Turtle Lake Mercer School District</v>
          </cell>
          <cell r="K259">
            <v>3818500</v>
          </cell>
        </row>
        <row r="260">
          <cell r="E260" t="str">
            <v>Champaign Unit 4 School District</v>
          </cell>
          <cell r="K260">
            <v>1709420</v>
          </cell>
        </row>
        <row r="261">
          <cell r="E261" t="str">
            <v>Union Elementary #62</v>
          </cell>
          <cell r="K261">
            <v>408820</v>
          </cell>
        </row>
        <row r="262">
          <cell r="E262" t="str">
            <v>USD 108</v>
          </cell>
          <cell r="K262">
            <v>2000028</v>
          </cell>
        </row>
        <row r="263">
          <cell r="E263" t="str">
            <v>USD 334</v>
          </cell>
          <cell r="K263">
            <v>2006510</v>
          </cell>
        </row>
        <row r="264">
          <cell r="E264" t="str">
            <v>Cabell County Schools</v>
          </cell>
          <cell r="K264">
            <v>5400180</v>
          </cell>
        </row>
        <row r="265">
          <cell r="E265" t="str">
            <v>Van Buren ISD</v>
          </cell>
          <cell r="K265">
            <v>2680985</v>
          </cell>
        </row>
        <row r="266">
          <cell r="E266" t="str">
            <v>Van Meter CSD</v>
          </cell>
          <cell r="K266">
            <v>1929010</v>
          </cell>
        </row>
        <row r="267">
          <cell r="E267" t="str">
            <v>Aneth Community School</v>
          </cell>
          <cell r="K267">
            <v>5900094</v>
          </cell>
        </row>
        <row r="268">
          <cell r="E268" t="str">
            <v>Vilonia public schools</v>
          </cell>
          <cell r="K268">
            <v>513530</v>
          </cell>
        </row>
        <row r="269">
          <cell r="E269" t="str">
            <v>Waltham Public Schools</v>
          </cell>
          <cell r="K269">
            <v>2512000</v>
          </cell>
        </row>
        <row r="270">
          <cell r="E270" t="str">
            <v>Walton-Verona Independent Schools</v>
          </cell>
          <cell r="K270">
            <v>2105700</v>
          </cell>
        </row>
        <row r="271">
          <cell r="E271" t="str">
            <v>Wa-Nee Community Schools</v>
          </cell>
          <cell r="K271">
            <v>1812240</v>
          </cell>
        </row>
        <row r="272">
          <cell r="E272" t="str">
            <v>WAREHAM PUBLIC SCHOOLS</v>
          </cell>
          <cell r="K272">
            <v>2512060</v>
          </cell>
        </row>
        <row r="273">
          <cell r="E273" t="str">
            <v>Wayne Township Public Schools</v>
          </cell>
          <cell r="K273">
            <v>3417280</v>
          </cell>
        </row>
        <row r="274">
          <cell r="E274" t="str">
            <v>Weld County School District RE-1</v>
          </cell>
          <cell r="K274">
            <v>804200</v>
          </cell>
        </row>
        <row r="275">
          <cell r="E275" t="str">
            <v>Weld County School District RE-9</v>
          </cell>
          <cell r="K275">
            <v>802310</v>
          </cell>
        </row>
        <row r="276">
          <cell r="E276" t="str">
            <v>Wendell School District # 232</v>
          </cell>
          <cell r="K276">
            <v>1603360</v>
          </cell>
        </row>
        <row r="277">
          <cell r="E277" t="str">
            <v>West Holmes Local Schools</v>
          </cell>
          <cell r="K277">
            <v>3904769</v>
          </cell>
        </row>
        <row r="278">
          <cell r="E278" t="str">
            <v>West Middlesex Area Schools</v>
          </cell>
          <cell r="K278">
            <v>4225650</v>
          </cell>
        </row>
        <row r="279">
          <cell r="E279" t="str">
            <v>Westhill CSD</v>
          </cell>
          <cell r="K279">
            <v>3607320</v>
          </cell>
        </row>
        <row r="280">
          <cell r="E280" t="str">
            <v>Wetumka Public Schools</v>
          </cell>
          <cell r="K280">
            <v>4032430</v>
          </cell>
        </row>
        <row r="281">
          <cell r="E281" t="str">
            <v>White Plains City School District</v>
          </cell>
          <cell r="K281">
            <v>3631260</v>
          </cell>
        </row>
        <row r="282">
          <cell r="E282" t="str">
            <v>Abington School District</v>
          </cell>
          <cell r="K282">
            <v>4202040</v>
          </cell>
        </row>
        <row r="283">
          <cell r="E283" t="str">
            <v>Whitehall school</v>
          </cell>
          <cell r="K283">
            <v>5516650</v>
          </cell>
        </row>
        <row r="284">
          <cell r="E284" t="str">
            <v>Whitesboro Central School</v>
          </cell>
          <cell r="K284">
            <v>3631320</v>
          </cell>
        </row>
        <row r="285">
          <cell r="E285" t="str">
            <v>William Penn Charter School</v>
          </cell>
        </row>
        <row r="286">
          <cell r="E286" t="str">
            <v>Wythe County</v>
          </cell>
          <cell r="K286">
            <v>5104110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0E8F7-AD92-4B8B-BDE0-5ECD003465F2}">
  <dimension ref="A1:IX314"/>
  <sheetViews>
    <sheetView tabSelected="1" topLeftCell="DF1" workbookViewId="0">
      <pane ySplit="1" topLeftCell="A2" activePane="bottomLeft" state="frozen"/>
      <selection pane="bottomLeft" activeCell="D24" sqref="D24"/>
    </sheetView>
  </sheetViews>
  <sheetFormatPr defaultRowHeight="14.5" x14ac:dyDescent="0.35"/>
  <cols>
    <col min="4" max="4" width="49.26953125" customWidth="1"/>
    <col min="6" max="6" width="28.453125" customWidth="1"/>
    <col min="110" max="110" width="19.7265625" customWidth="1"/>
  </cols>
  <sheetData>
    <row r="1" spans="1:258" s="3" customFormat="1" ht="99.7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row>
    <row r="2" spans="1:258" x14ac:dyDescent="0.35">
      <c r="A2">
        <v>363160</v>
      </c>
      <c r="C2">
        <v>1</v>
      </c>
      <c r="D2" t="s">
        <v>258</v>
      </c>
      <c r="E2" t="s">
        <v>259</v>
      </c>
      <c r="F2" t="s">
        <v>260</v>
      </c>
      <c r="G2">
        <v>3</v>
      </c>
    </row>
    <row r="3" spans="1:258" x14ac:dyDescent="0.35">
      <c r="A3">
        <v>405519</v>
      </c>
      <c r="C3">
        <v>1</v>
      </c>
      <c r="D3" t="s">
        <v>261</v>
      </c>
      <c r="E3" t="s">
        <v>262</v>
      </c>
      <c r="F3" t="s">
        <v>263</v>
      </c>
      <c r="G3">
        <v>3</v>
      </c>
      <c r="I3">
        <v>1</v>
      </c>
      <c r="J3">
        <v>0</v>
      </c>
      <c r="K3">
        <v>1</v>
      </c>
      <c r="L3">
        <v>0</v>
      </c>
      <c r="M3">
        <v>0</v>
      </c>
      <c r="N3">
        <v>0</v>
      </c>
      <c r="O3">
        <v>0</v>
      </c>
      <c r="P3">
        <v>0</v>
      </c>
      <c r="Q3">
        <v>0</v>
      </c>
      <c r="R3">
        <v>1</v>
      </c>
      <c r="T3">
        <v>0</v>
      </c>
      <c r="U3">
        <v>1</v>
      </c>
      <c r="V3">
        <v>0</v>
      </c>
      <c r="X3">
        <v>48</v>
      </c>
      <c r="AA3">
        <v>48</v>
      </c>
      <c r="AC3">
        <v>1</v>
      </c>
      <c r="AD3">
        <v>0</v>
      </c>
      <c r="AE3">
        <v>0</v>
      </c>
      <c r="AF3">
        <v>0</v>
      </c>
      <c r="AG3">
        <v>0</v>
      </c>
      <c r="AH3">
        <v>0</v>
      </c>
      <c r="AJ3">
        <v>1</v>
      </c>
      <c r="AL3">
        <v>1</v>
      </c>
      <c r="AN3">
        <v>1</v>
      </c>
      <c r="AO3">
        <v>1</v>
      </c>
      <c r="AP3">
        <v>3</v>
      </c>
      <c r="AQ3">
        <v>2</v>
      </c>
      <c r="AS3">
        <v>2</v>
      </c>
      <c r="AT3">
        <v>1</v>
      </c>
      <c r="AU3">
        <v>1</v>
      </c>
      <c r="AV3">
        <v>0</v>
      </c>
      <c r="AW3">
        <v>0</v>
      </c>
      <c r="AX3">
        <v>0</v>
      </c>
      <c r="AY3">
        <v>0</v>
      </c>
      <c r="AZ3">
        <v>0</v>
      </c>
      <c r="BA3">
        <v>1</v>
      </c>
      <c r="BB3" t="s">
        <v>264</v>
      </c>
      <c r="BC3">
        <v>0</v>
      </c>
      <c r="BD3">
        <v>1</v>
      </c>
      <c r="BE3">
        <v>0</v>
      </c>
      <c r="BF3">
        <v>0</v>
      </c>
      <c r="BG3">
        <v>0</v>
      </c>
      <c r="BH3">
        <v>0</v>
      </c>
      <c r="BI3">
        <v>0</v>
      </c>
      <c r="BJ3">
        <v>0</v>
      </c>
      <c r="BK3">
        <v>0</v>
      </c>
      <c r="BL3">
        <v>0</v>
      </c>
      <c r="BM3">
        <v>0</v>
      </c>
      <c r="BN3">
        <v>0</v>
      </c>
      <c r="BO3">
        <v>0</v>
      </c>
      <c r="BP3">
        <v>0</v>
      </c>
      <c r="BQ3">
        <v>0</v>
      </c>
      <c r="BR3">
        <v>0</v>
      </c>
      <c r="BS3">
        <v>0</v>
      </c>
      <c r="BU3">
        <v>9</v>
      </c>
      <c r="BV3">
        <v>3</v>
      </c>
      <c r="BW3" t="s">
        <v>265</v>
      </c>
      <c r="BX3">
        <v>6</v>
      </c>
      <c r="BY3">
        <v>3</v>
      </c>
      <c r="DI3">
        <v>0</v>
      </c>
      <c r="DJ3">
        <v>0</v>
      </c>
      <c r="DK3">
        <v>1</v>
      </c>
      <c r="DL3">
        <v>0</v>
      </c>
      <c r="DM3">
        <v>0</v>
      </c>
      <c r="DN3">
        <v>0</v>
      </c>
      <c r="DO3">
        <v>1</v>
      </c>
      <c r="DP3">
        <v>0</v>
      </c>
      <c r="DQ3">
        <v>0</v>
      </c>
      <c r="DR3">
        <v>0</v>
      </c>
      <c r="DT3">
        <v>0</v>
      </c>
      <c r="DU3">
        <v>0</v>
      </c>
      <c r="DV3">
        <v>0</v>
      </c>
      <c r="DW3">
        <v>1</v>
      </c>
      <c r="DX3">
        <v>1</v>
      </c>
      <c r="DY3">
        <v>1</v>
      </c>
      <c r="DZ3">
        <v>0</v>
      </c>
      <c r="EA3">
        <v>0</v>
      </c>
      <c r="EB3">
        <v>1</v>
      </c>
      <c r="EC3">
        <v>1</v>
      </c>
      <c r="ED3">
        <v>1</v>
      </c>
      <c r="EE3">
        <v>0</v>
      </c>
      <c r="EF3">
        <v>0</v>
      </c>
      <c r="GJ3" t="s">
        <v>266</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1</v>
      </c>
      <c r="HW3">
        <v>0</v>
      </c>
      <c r="HX3">
        <v>0</v>
      </c>
      <c r="HY3">
        <v>0</v>
      </c>
      <c r="HZ3">
        <v>0</v>
      </c>
      <c r="IA3">
        <v>0</v>
      </c>
      <c r="IB3">
        <v>0</v>
      </c>
      <c r="IC3">
        <v>0</v>
      </c>
      <c r="ID3">
        <v>0</v>
      </c>
      <c r="IG3">
        <v>1</v>
      </c>
      <c r="IH3">
        <v>1</v>
      </c>
      <c r="II3">
        <v>1</v>
      </c>
      <c r="IJ3">
        <v>0</v>
      </c>
      <c r="IK3">
        <v>0</v>
      </c>
      <c r="IL3">
        <v>0</v>
      </c>
      <c r="IM3">
        <v>0</v>
      </c>
      <c r="IN3">
        <v>0</v>
      </c>
      <c r="IO3">
        <v>0</v>
      </c>
      <c r="IP3">
        <v>0</v>
      </c>
      <c r="IQ3">
        <v>0</v>
      </c>
      <c r="IS3">
        <v>1</v>
      </c>
      <c r="IT3">
        <v>0</v>
      </c>
      <c r="IU3">
        <v>0</v>
      </c>
      <c r="IV3">
        <v>1</v>
      </c>
      <c r="IW3">
        <v>0</v>
      </c>
    </row>
    <row r="4" spans="1:258" x14ac:dyDescent="0.35">
      <c r="A4">
        <v>393603</v>
      </c>
      <c r="C4">
        <v>1</v>
      </c>
      <c r="D4" t="s">
        <v>267</v>
      </c>
      <c r="E4" t="s">
        <v>268</v>
      </c>
      <c r="F4" t="s">
        <v>269</v>
      </c>
      <c r="G4">
        <v>5</v>
      </c>
      <c r="I4">
        <v>0</v>
      </c>
      <c r="J4">
        <v>0</v>
      </c>
      <c r="K4">
        <v>1</v>
      </c>
      <c r="L4">
        <v>0</v>
      </c>
      <c r="M4">
        <v>0</v>
      </c>
      <c r="N4">
        <v>0</v>
      </c>
      <c r="O4">
        <v>0</v>
      </c>
      <c r="P4">
        <v>0</v>
      </c>
      <c r="Q4">
        <v>0</v>
      </c>
      <c r="R4">
        <v>1</v>
      </c>
      <c r="T4">
        <v>1</v>
      </c>
      <c r="U4">
        <v>1</v>
      </c>
      <c r="V4">
        <v>0</v>
      </c>
      <c r="W4">
        <v>15</v>
      </c>
      <c r="X4">
        <v>25</v>
      </c>
      <c r="Z4">
        <v>15</v>
      </c>
      <c r="AA4">
        <v>25</v>
      </c>
      <c r="AC4">
        <v>1</v>
      </c>
      <c r="AD4">
        <v>1</v>
      </c>
      <c r="AE4">
        <v>0</v>
      </c>
      <c r="AF4">
        <v>0</v>
      </c>
      <c r="AG4">
        <v>0</v>
      </c>
      <c r="AH4">
        <v>0</v>
      </c>
      <c r="AJ4">
        <v>1</v>
      </c>
      <c r="AL4">
        <v>1</v>
      </c>
      <c r="AN4">
        <v>1</v>
      </c>
      <c r="AO4">
        <v>1</v>
      </c>
      <c r="AP4">
        <v>4</v>
      </c>
      <c r="AQ4">
        <v>1</v>
      </c>
      <c r="AR4">
        <v>6</v>
      </c>
      <c r="AS4">
        <v>2</v>
      </c>
      <c r="AT4">
        <v>1</v>
      </c>
      <c r="AU4">
        <v>2</v>
      </c>
      <c r="BC4">
        <v>0</v>
      </c>
      <c r="BD4">
        <v>0</v>
      </c>
      <c r="BE4">
        <v>0</v>
      </c>
      <c r="BF4">
        <v>0</v>
      </c>
      <c r="BG4">
        <v>0</v>
      </c>
      <c r="BH4">
        <v>0</v>
      </c>
      <c r="BI4">
        <v>0</v>
      </c>
      <c r="BJ4">
        <v>0</v>
      </c>
      <c r="BK4">
        <v>0</v>
      </c>
      <c r="BL4">
        <v>0</v>
      </c>
      <c r="BM4">
        <v>0</v>
      </c>
      <c r="BN4">
        <v>0</v>
      </c>
      <c r="BO4">
        <v>0</v>
      </c>
      <c r="BP4">
        <v>0</v>
      </c>
      <c r="BQ4">
        <v>0</v>
      </c>
      <c r="BR4">
        <v>0</v>
      </c>
      <c r="BS4">
        <v>1</v>
      </c>
      <c r="BT4" t="s">
        <v>270</v>
      </c>
      <c r="BU4">
        <v>9</v>
      </c>
      <c r="BV4">
        <v>4</v>
      </c>
      <c r="BX4">
        <v>4</v>
      </c>
      <c r="BY4">
        <v>4</v>
      </c>
      <c r="DI4">
        <v>0</v>
      </c>
      <c r="DJ4">
        <v>0</v>
      </c>
      <c r="DK4">
        <v>0</v>
      </c>
      <c r="DL4">
        <v>0</v>
      </c>
      <c r="DM4">
        <v>0</v>
      </c>
      <c r="DN4">
        <v>1</v>
      </c>
      <c r="DO4">
        <v>0</v>
      </c>
      <c r="DP4">
        <v>0</v>
      </c>
      <c r="DQ4">
        <v>0</v>
      </c>
      <c r="DR4">
        <v>0</v>
      </c>
      <c r="DT4">
        <v>0</v>
      </c>
      <c r="DU4">
        <v>0</v>
      </c>
      <c r="DV4">
        <v>0</v>
      </c>
      <c r="DW4">
        <v>0</v>
      </c>
      <c r="DX4">
        <v>0</v>
      </c>
      <c r="DY4">
        <v>0</v>
      </c>
      <c r="DZ4">
        <v>0</v>
      </c>
      <c r="EA4">
        <v>0</v>
      </c>
      <c r="EB4">
        <v>0</v>
      </c>
      <c r="EC4">
        <v>0</v>
      </c>
      <c r="ED4">
        <v>1</v>
      </c>
      <c r="EE4">
        <v>0</v>
      </c>
      <c r="EF4">
        <v>0</v>
      </c>
      <c r="IG4">
        <v>1</v>
      </c>
      <c r="IH4">
        <v>1</v>
      </c>
      <c r="II4">
        <v>1</v>
      </c>
      <c r="IJ4">
        <v>0</v>
      </c>
      <c r="IK4">
        <v>0</v>
      </c>
      <c r="IL4">
        <v>0</v>
      </c>
      <c r="IM4">
        <v>0</v>
      </c>
      <c r="IN4">
        <v>0</v>
      </c>
      <c r="IO4">
        <v>0</v>
      </c>
      <c r="IP4">
        <v>0</v>
      </c>
      <c r="IQ4">
        <v>0</v>
      </c>
      <c r="IS4">
        <v>2</v>
      </c>
    </row>
    <row r="5" spans="1:258" x14ac:dyDescent="0.35">
      <c r="A5">
        <v>397007</v>
      </c>
      <c r="C5">
        <v>1</v>
      </c>
      <c r="D5" t="s">
        <v>271</v>
      </c>
      <c r="E5" t="s">
        <v>272</v>
      </c>
      <c r="F5" t="s">
        <v>263</v>
      </c>
      <c r="G5">
        <v>4</v>
      </c>
      <c r="I5">
        <v>0</v>
      </c>
      <c r="J5">
        <v>0</v>
      </c>
      <c r="K5">
        <v>1</v>
      </c>
      <c r="L5">
        <v>1</v>
      </c>
      <c r="M5">
        <v>0</v>
      </c>
      <c r="N5">
        <v>0</v>
      </c>
      <c r="O5">
        <v>0</v>
      </c>
      <c r="P5">
        <v>1</v>
      </c>
      <c r="Q5">
        <v>0</v>
      </c>
      <c r="R5">
        <v>1</v>
      </c>
      <c r="T5">
        <v>1</v>
      </c>
      <c r="U5">
        <v>1</v>
      </c>
      <c r="V5">
        <v>1</v>
      </c>
      <c r="W5">
        <v>1</v>
      </c>
      <c r="X5">
        <v>17</v>
      </c>
      <c r="Y5">
        <v>7</v>
      </c>
      <c r="Z5">
        <v>1</v>
      </c>
      <c r="AA5">
        <v>17</v>
      </c>
      <c r="AB5">
        <v>7</v>
      </c>
      <c r="AC5">
        <v>1</v>
      </c>
      <c r="AD5">
        <v>1</v>
      </c>
      <c r="AE5">
        <v>0</v>
      </c>
      <c r="AF5">
        <v>0</v>
      </c>
      <c r="AG5">
        <v>0</v>
      </c>
      <c r="AH5">
        <v>0</v>
      </c>
      <c r="AJ5">
        <v>1</v>
      </c>
      <c r="AL5">
        <v>1</v>
      </c>
      <c r="AN5">
        <v>1</v>
      </c>
      <c r="AO5">
        <v>1</v>
      </c>
      <c r="AP5">
        <v>2</v>
      </c>
      <c r="AQ5">
        <v>1</v>
      </c>
      <c r="AR5">
        <v>6</v>
      </c>
      <c r="AS5">
        <v>2</v>
      </c>
      <c r="AT5">
        <v>1</v>
      </c>
      <c r="AU5">
        <v>1</v>
      </c>
      <c r="AV5">
        <v>1</v>
      </c>
      <c r="AW5">
        <v>1</v>
      </c>
      <c r="AX5">
        <v>0</v>
      </c>
      <c r="AY5">
        <v>0</v>
      </c>
      <c r="AZ5">
        <v>0</v>
      </c>
      <c r="BA5">
        <v>0</v>
      </c>
      <c r="BC5">
        <v>0</v>
      </c>
      <c r="BD5">
        <v>0</v>
      </c>
      <c r="BE5">
        <v>0</v>
      </c>
      <c r="BF5">
        <v>0</v>
      </c>
      <c r="BG5">
        <v>0</v>
      </c>
      <c r="BH5">
        <v>0</v>
      </c>
      <c r="BI5">
        <v>0</v>
      </c>
      <c r="BJ5">
        <v>0</v>
      </c>
      <c r="BK5">
        <v>0</v>
      </c>
      <c r="BL5">
        <v>0</v>
      </c>
      <c r="BM5">
        <v>0</v>
      </c>
      <c r="BN5">
        <v>0</v>
      </c>
      <c r="BO5">
        <v>0</v>
      </c>
      <c r="BP5">
        <v>1</v>
      </c>
      <c r="BQ5">
        <v>0</v>
      </c>
      <c r="BR5">
        <v>0</v>
      </c>
      <c r="BS5">
        <v>0</v>
      </c>
      <c r="BU5">
        <v>14</v>
      </c>
      <c r="BV5">
        <v>4</v>
      </c>
      <c r="BX5">
        <v>3</v>
      </c>
      <c r="BY5">
        <v>4</v>
      </c>
      <c r="DI5">
        <v>0</v>
      </c>
      <c r="DJ5">
        <v>0</v>
      </c>
      <c r="DK5">
        <v>1</v>
      </c>
      <c r="DL5">
        <v>0</v>
      </c>
      <c r="DM5">
        <v>0</v>
      </c>
      <c r="DN5">
        <v>0</v>
      </c>
      <c r="DO5">
        <v>0</v>
      </c>
      <c r="DP5">
        <v>0</v>
      </c>
      <c r="DQ5">
        <v>1</v>
      </c>
      <c r="DR5">
        <v>0</v>
      </c>
      <c r="DS5" t="s">
        <v>273</v>
      </c>
      <c r="DT5">
        <v>0</v>
      </c>
      <c r="DU5">
        <v>1</v>
      </c>
      <c r="DV5">
        <v>0</v>
      </c>
      <c r="DW5">
        <v>1</v>
      </c>
      <c r="DX5">
        <v>1</v>
      </c>
      <c r="DY5">
        <v>0</v>
      </c>
      <c r="DZ5">
        <v>0</v>
      </c>
      <c r="EA5">
        <v>0</v>
      </c>
      <c r="EB5">
        <v>0</v>
      </c>
      <c r="EC5">
        <v>0</v>
      </c>
      <c r="ED5">
        <v>1</v>
      </c>
      <c r="EE5">
        <v>0</v>
      </c>
      <c r="EF5">
        <v>0</v>
      </c>
      <c r="EI5" t="s">
        <v>274</v>
      </c>
      <c r="EJ5">
        <v>1</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IG5">
        <v>0</v>
      </c>
      <c r="IH5">
        <v>0</v>
      </c>
      <c r="II5">
        <v>1</v>
      </c>
      <c r="IJ5">
        <v>1</v>
      </c>
      <c r="IK5">
        <v>0</v>
      </c>
      <c r="IL5">
        <v>0</v>
      </c>
      <c r="IM5">
        <v>0</v>
      </c>
      <c r="IN5">
        <v>0</v>
      </c>
      <c r="IO5">
        <v>1</v>
      </c>
      <c r="IP5">
        <v>0</v>
      </c>
      <c r="IQ5">
        <v>0</v>
      </c>
      <c r="IS5">
        <v>2</v>
      </c>
    </row>
    <row r="6" spans="1:258" x14ac:dyDescent="0.35">
      <c r="A6">
        <v>405403</v>
      </c>
      <c r="C6">
        <v>1</v>
      </c>
      <c r="D6" t="s">
        <v>275</v>
      </c>
      <c r="E6" t="s">
        <v>276</v>
      </c>
      <c r="F6" t="s">
        <v>277</v>
      </c>
      <c r="G6">
        <v>10</v>
      </c>
      <c r="I6">
        <v>0</v>
      </c>
      <c r="J6">
        <v>1</v>
      </c>
      <c r="K6">
        <v>1</v>
      </c>
      <c r="L6">
        <v>0</v>
      </c>
      <c r="M6">
        <v>0</v>
      </c>
      <c r="N6">
        <v>0</v>
      </c>
      <c r="O6">
        <v>0</v>
      </c>
      <c r="P6">
        <v>0</v>
      </c>
      <c r="Q6">
        <v>0</v>
      </c>
      <c r="R6">
        <v>1</v>
      </c>
      <c r="T6">
        <v>1</v>
      </c>
      <c r="U6">
        <v>1</v>
      </c>
      <c r="V6">
        <v>1</v>
      </c>
      <c r="W6">
        <v>14</v>
      </c>
      <c r="X6">
        <v>8</v>
      </c>
      <c r="Y6">
        <v>12</v>
      </c>
      <c r="Z6">
        <v>14</v>
      </c>
      <c r="AA6">
        <v>8</v>
      </c>
      <c r="AB6">
        <v>12</v>
      </c>
      <c r="AC6">
        <v>1</v>
      </c>
      <c r="AD6">
        <v>0</v>
      </c>
      <c r="AE6">
        <v>0</v>
      </c>
      <c r="AF6">
        <v>0</v>
      </c>
      <c r="AG6">
        <v>1</v>
      </c>
      <c r="AH6">
        <v>0</v>
      </c>
      <c r="AJ6">
        <v>1</v>
      </c>
      <c r="AL6">
        <v>1</v>
      </c>
      <c r="AN6">
        <v>1</v>
      </c>
      <c r="AO6">
        <v>1</v>
      </c>
      <c r="AP6">
        <v>2</v>
      </c>
      <c r="AQ6">
        <v>2</v>
      </c>
      <c r="AS6">
        <v>2</v>
      </c>
      <c r="AT6">
        <v>3</v>
      </c>
      <c r="BX6">
        <v>3</v>
      </c>
      <c r="BY6">
        <v>3</v>
      </c>
      <c r="BZ6">
        <v>0</v>
      </c>
      <c r="CA6">
        <v>0</v>
      </c>
      <c r="CB6">
        <v>0</v>
      </c>
      <c r="CC6">
        <v>0</v>
      </c>
      <c r="CD6">
        <v>0</v>
      </c>
      <c r="CE6">
        <v>0</v>
      </c>
      <c r="CF6">
        <v>0</v>
      </c>
      <c r="CG6">
        <v>0</v>
      </c>
      <c r="CH6">
        <v>1</v>
      </c>
      <c r="CI6">
        <v>0</v>
      </c>
      <c r="CJ6">
        <v>0</v>
      </c>
      <c r="CK6">
        <v>1</v>
      </c>
      <c r="CL6">
        <v>0</v>
      </c>
      <c r="CM6">
        <v>0</v>
      </c>
      <c r="CN6">
        <v>0</v>
      </c>
      <c r="CO6">
        <v>0</v>
      </c>
      <c r="CQ6" t="s">
        <v>278</v>
      </c>
      <c r="CR6">
        <v>1</v>
      </c>
      <c r="CS6">
        <v>1</v>
      </c>
      <c r="CU6">
        <v>4</v>
      </c>
      <c r="CW6">
        <v>4</v>
      </c>
      <c r="CZ6">
        <v>1</v>
      </c>
      <c r="DB6">
        <v>13</v>
      </c>
      <c r="DD6" t="s">
        <v>279</v>
      </c>
      <c r="DE6">
        <v>3</v>
      </c>
      <c r="DF6" t="s">
        <v>279</v>
      </c>
      <c r="DG6">
        <v>4</v>
      </c>
      <c r="DI6">
        <v>0</v>
      </c>
      <c r="DJ6">
        <v>0</v>
      </c>
      <c r="DK6">
        <v>0</v>
      </c>
      <c r="DL6">
        <v>0</v>
      </c>
      <c r="DM6">
        <v>0</v>
      </c>
      <c r="DN6">
        <v>1</v>
      </c>
      <c r="DO6">
        <v>0</v>
      </c>
      <c r="DP6">
        <v>0</v>
      </c>
      <c r="DQ6">
        <v>0</v>
      </c>
      <c r="DR6">
        <v>0</v>
      </c>
      <c r="DT6">
        <v>0</v>
      </c>
      <c r="DU6">
        <v>0</v>
      </c>
      <c r="DV6">
        <v>0</v>
      </c>
      <c r="DW6">
        <v>1</v>
      </c>
      <c r="DX6">
        <v>1</v>
      </c>
      <c r="DY6">
        <v>0</v>
      </c>
      <c r="DZ6">
        <v>0</v>
      </c>
      <c r="EA6">
        <v>1</v>
      </c>
      <c r="EB6">
        <v>0</v>
      </c>
      <c r="EC6">
        <v>0</v>
      </c>
      <c r="ED6">
        <v>1</v>
      </c>
      <c r="EE6">
        <v>0</v>
      </c>
      <c r="EF6">
        <v>0</v>
      </c>
      <c r="IG6">
        <v>0</v>
      </c>
      <c r="IH6">
        <v>0</v>
      </c>
      <c r="II6">
        <v>0</v>
      </c>
      <c r="IJ6">
        <v>0</v>
      </c>
      <c r="IK6">
        <v>0</v>
      </c>
      <c r="IL6">
        <v>0</v>
      </c>
      <c r="IM6">
        <v>0</v>
      </c>
      <c r="IN6">
        <v>0</v>
      </c>
      <c r="IO6">
        <v>0</v>
      </c>
      <c r="IP6">
        <v>0</v>
      </c>
      <c r="IQ6">
        <v>1</v>
      </c>
      <c r="IS6">
        <v>2</v>
      </c>
    </row>
    <row r="7" spans="1:258" x14ac:dyDescent="0.35">
      <c r="A7">
        <v>405446</v>
      </c>
      <c r="C7">
        <v>1</v>
      </c>
      <c r="D7" t="s">
        <v>280</v>
      </c>
      <c r="E7" t="s">
        <v>281</v>
      </c>
      <c r="F7" t="s">
        <v>263</v>
      </c>
      <c r="G7">
        <v>3</v>
      </c>
      <c r="I7">
        <v>1</v>
      </c>
      <c r="J7">
        <v>0</v>
      </c>
      <c r="K7">
        <v>1</v>
      </c>
      <c r="L7">
        <v>0</v>
      </c>
      <c r="M7">
        <v>0</v>
      </c>
      <c r="N7">
        <v>0</v>
      </c>
      <c r="O7">
        <v>0</v>
      </c>
      <c r="P7">
        <v>0</v>
      </c>
      <c r="Q7">
        <v>0</v>
      </c>
      <c r="R7">
        <v>1</v>
      </c>
      <c r="T7">
        <v>1</v>
      </c>
      <c r="U7">
        <v>1</v>
      </c>
      <c r="V7">
        <v>1</v>
      </c>
      <c r="W7">
        <v>3</v>
      </c>
      <c r="X7">
        <v>4</v>
      </c>
      <c r="Y7">
        <v>11</v>
      </c>
      <c r="Z7">
        <v>3</v>
      </c>
      <c r="AA7">
        <v>4</v>
      </c>
      <c r="AB7">
        <v>11</v>
      </c>
      <c r="AC7">
        <v>1</v>
      </c>
      <c r="AD7">
        <v>0</v>
      </c>
      <c r="AE7">
        <v>0</v>
      </c>
      <c r="AF7">
        <v>0</v>
      </c>
      <c r="AG7">
        <v>1</v>
      </c>
      <c r="AH7">
        <v>0</v>
      </c>
      <c r="AJ7">
        <v>5</v>
      </c>
      <c r="AL7">
        <v>1</v>
      </c>
      <c r="AN7">
        <v>1</v>
      </c>
      <c r="AO7">
        <v>1</v>
      </c>
      <c r="AP7">
        <v>2</v>
      </c>
      <c r="AQ7">
        <v>1</v>
      </c>
      <c r="AR7">
        <v>1</v>
      </c>
      <c r="AS7">
        <v>2</v>
      </c>
      <c r="AT7">
        <v>3</v>
      </c>
      <c r="BX7">
        <v>3</v>
      </c>
      <c r="BY7">
        <v>3</v>
      </c>
      <c r="BZ7">
        <v>0</v>
      </c>
      <c r="CA7">
        <v>0</v>
      </c>
      <c r="CB7">
        <v>0</v>
      </c>
      <c r="CC7">
        <v>0</v>
      </c>
      <c r="CD7">
        <v>0</v>
      </c>
      <c r="CE7">
        <v>0</v>
      </c>
      <c r="CF7">
        <v>1</v>
      </c>
      <c r="CG7">
        <v>0</v>
      </c>
      <c r="CH7">
        <v>0</v>
      </c>
      <c r="CI7">
        <v>0</v>
      </c>
      <c r="CJ7">
        <v>0</v>
      </c>
      <c r="CK7">
        <v>0</v>
      </c>
      <c r="CL7">
        <v>1</v>
      </c>
      <c r="CM7">
        <v>0</v>
      </c>
      <c r="CN7">
        <v>0</v>
      </c>
      <c r="CO7">
        <v>0</v>
      </c>
      <c r="CQ7" t="s">
        <v>282</v>
      </c>
      <c r="CR7">
        <v>2</v>
      </c>
      <c r="CS7">
        <v>1</v>
      </c>
      <c r="CU7">
        <v>1</v>
      </c>
      <c r="CW7">
        <v>2</v>
      </c>
      <c r="CZ7">
        <v>1</v>
      </c>
      <c r="DB7">
        <v>11</v>
      </c>
      <c r="DD7" t="s">
        <v>283</v>
      </c>
      <c r="DE7">
        <v>3</v>
      </c>
      <c r="DF7" t="s">
        <v>284</v>
      </c>
      <c r="DG7">
        <v>4</v>
      </c>
      <c r="DI7">
        <v>0</v>
      </c>
      <c r="DJ7">
        <v>1</v>
      </c>
      <c r="DK7">
        <v>0</v>
      </c>
      <c r="DL7">
        <v>1</v>
      </c>
      <c r="DM7">
        <v>1</v>
      </c>
      <c r="DN7">
        <v>1</v>
      </c>
      <c r="DO7">
        <v>0</v>
      </c>
      <c r="DP7">
        <v>0</v>
      </c>
      <c r="DQ7">
        <v>0</v>
      </c>
      <c r="DR7">
        <v>0</v>
      </c>
      <c r="DT7">
        <v>0</v>
      </c>
      <c r="DU7">
        <v>0</v>
      </c>
      <c r="DV7">
        <v>0</v>
      </c>
      <c r="DW7">
        <v>1</v>
      </c>
      <c r="DX7">
        <v>1</v>
      </c>
      <c r="DY7">
        <v>0</v>
      </c>
      <c r="DZ7">
        <v>0</v>
      </c>
      <c r="EA7">
        <v>0</v>
      </c>
      <c r="EB7">
        <v>0</v>
      </c>
      <c r="EC7">
        <v>1</v>
      </c>
      <c r="ED7">
        <v>1</v>
      </c>
      <c r="EE7">
        <v>0</v>
      </c>
      <c r="EF7">
        <v>0</v>
      </c>
      <c r="GJ7" t="s">
        <v>285</v>
      </c>
      <c r="GK7">
        <v>1</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G7">
        <v>1</v>
      </c>
      <c r="IH7">
        <v>1</v>
      </c>
      <c r="II7">
        <v>1</v>
      </c>
      <c r="IJ7">
        <v>0</v>
      </c>
      <c r="IK7">
        <v>0</v>
      </c>
      <c r="IL7">
        <v>0</v>
      </c>
      <c r="IM7">
        <v>0</v>
      </c>
      <c r="IN7">
        <v>0</v>
      </c>
      <c r="IO7">
        <v>0</v>
      </c>
      <c r="IP7">
        <v>0</v>
      </c>
      <c r="IQ7">
        <v>0</v>
      </c>
      <c r="IS7">
        <v>2</v>
      </c>
    </row>
    <row r="8" spans="1:258" x14ac:dyDescent="0.35">
      <c r="A8">
        <v>393100</v>
      </c>
      <c r="C8">
        <v>1</v>
      </c>
      <c r="D8" t="s">
        <v>286</v>
      </c>
      <c r="E8" t="s">
        <v>287</v>
      </c>
      <c r="F8" t="s">
        <v>288</v>
      </c>
      <c r="G8">
        <v>3</v>
      </c>
      <c r="I8">
        <v>1</v>
      </c>
      <c r="J8">
        <v>0</v>
      </c>
      <c r="K8">
        <v>1</v>
      </c>
      <c r="L8">
        <v>0</v>
      </c>
      <c r="M8">
        <v>0</v>
      </c>
      <c r="N8">
        <v>1</v>
      </c>
      <c r="O8">
        <v>0</v>
      </c>
      <c r="P8">
        <v>1</v>
      </c>
      <c r="Q8">
        <v>0</v>
      </c>
      <c r="R8">
        <v>1</v>
      </c>
      <c r="T8">
        <v>1</v>
      </c>
      <c r="U8">
        <v>1</v>
      </c>
      <c r="V8">
        <v>0</v>
      </c>
      <c r="W8">
        <v>3</v>
      </c>
      <c r="X8">
        <v>8</v>
      </c>
      <c r="Z8">
        <v>3</v>
      </c>
      <c r="AA8">
        <v>8</v>
      </c>
      <c r="AC8">
        <v>1</v>
      </c>
      <c r="AD8">
        <v>1</v>
      </c>
      <c r="AE8">
        <v>0</v>
      </c>
      <c r="AF8">
        <v>0</v>
      </c>
      <c r="AG8">
        <v>0</v>
      </c>
      <c r="AH8">
        <v>0</v>
      </c>
      <c r="AJ8">
        <v>1</v>
      </c>
      <c r="AL8">
        <v>1</v>
      </c>
      <c r="AN8">
        <v>1</v>
      </c>
      <c r="AO8">
        <v>1</v>
      </c>
      <c r="AP8">
        <v>5</v>
      </c>
      <c r="AQ8">
        <v>1</v>
      </c>
      <c r="AR8">
        <v>6</v>
      </c>
      <c r="AS8">
        <v>1</v>
      </c>
      <c r="AT8">
        <v>3</v>
      </c>
      <c r="AU8">
        <v>1</v>
      </c>
      <c r="AV8">
        <v>1</v>
      </c>
      <c r="AW8">
        <v>0</v>
      </c>
      <c r="AX8">
        <v>0</v>
      </c>
      <c r="AY8">
        <v>0</v>
      </c>
      <c r="AZ8">
        <v>0</v>
      </c>
      <c r="BA8">
        <v>0</v>
      </c>
      <c r="BC8">
        <v>0</v>
      </c>
      <c r="BD8">
        <v>0</v>
      </c>
      <c r="BE8">
        <v>0</v>
      </c>
      <c r="BF8">
        <v>0</v>
      </c>
      <c r="BG8">
        <v>0</v>
      </c>
      <c r="BH8">
        <v>0</v>
      </c>
      <c r="BI8">
        <v>0</v>
      </c>
      <c r="BJ8">
        <v>0</v>
      </c>
      <c r="BK8">
        <v>1</v>
      </c>
      <c r="BL8">
        <v>1</v>
      </c>
      <c r="BM8">
        <v>0</v>
      </c>
      <c r="BN8">
        <v>0</v>
      </c>
      <c r="BO8">
        <v>0</v>
      </c>
      <c r="BP8">
        <v>0</v>
      </c>
      <c r="BQ8">
        <v>1</v>
      </c>
      <c r="BR8">
        <v>0</v>
      </c>
      <c r="BS8">
        <v>0</v>
      </c>
      <c r="BU8">
        <v>9</v>
      </c>
      <c r="BV8">
        <v>3</v>
      </c>
      <c r="BW8" t="s">
        <v>289</v>
      </c>
      <c r="BX8">
        <v>5</v>
      </c>
      <c r="BY8">
        <v>4</v>
      </c>
      <c r="DI8">
        <v>0</v>
      </c>
      <c r="DJ8">
        <v>0</v>
      </c>
      <c r="DK8">
        <v>0</v>
      </c>
      <c r="DL8">
        <v>0</v>
      </c>
      <c r="DM8">
        <v>0</v>
      </c>
      <c r="DN8">
        <v>0</v>
      </c>
      <c r="DO8">
        <v>0</v>
      </c>
      <c r="DP8">
        <v>0</v>
      </c>
      <c r="DQ8">
        <v>1</v>
      </c>
      <c r="DR8">
        <v>0</v>
      </c>
      <c r="DS8" t="s">
        <v>290</v>
      </c>
      <c r="DT8">
        <v>0</v>
      </c>
      <c r="DU8">
        <v>0</v>
      </c>
      <c r="DV8">
        <v>0</v>
      </c>
      <c r="DW8">
        <v>1</v>
      </c>
      <c r="DX8">
        <v>1</v>
      </c>
      <c r="DY8">
        <v>0</v>
      </c>
      <c r="DZ8">
        <v>0</v>
      </c>
      <c r="EA8">
        <v>0</v>
      </c>
      <c r="EB8">
        <v>1</v>
      </c>
      <c r="EC8">
        <v>0</v>
      </c>
      <c r="ED8">
        <v>1</v>
      </c>
      <c r="EE8">
        <v>0</v>
      </c>
      <c r="EF8">
        <v>0</v>
      </c>
      <c r="IG8">
        <v>0</v>
      </c>
      <c r="IH8">
        <v>0</v>
      </c>
      <c r="II8">
        <v>0</v>
      </c>
      <c r="IJ8">
        <v>0</v>
      </c>
      <c r="IK8">
        <v>0</v>
      </c>
      <c r="IL8">
        <v>0</v>
      </c>
      <c r="IM8">
        <v>0</v>
      </c>
      <c r="IN8">
        <v>0</v>
      </c>
      <c r="IO8">
        <v>0</v>
      </c>
      <c r="IP8">
        <v>0</v>
      </c>
      <c r="IQ8">
        <v>1</v>
      </c>
      <c r="IS8">
        <v>1</v>
      </c>
      <c r="IT8">
        <v>1</v>
      </c>
      <c r="IU8">
        <v>1</v>
      </c>
      <c r="IV8">
        <v>0</v>
      </c>
      <c r="IW8">
        <v>0</v>
      </c>
    </row>
    <row r="9" spans="1:258" x14ac:dyDescent="0.35">
      <c r="A9">
        <v>370466</v>
      </c>
      <c r="C9">
        <v>1</v>
      </c>
      <c r="D9" t="s">
        <v>291</v>
      </c>
      <c r="E9" t="s">
        <v>292</v>
      </c>
      <c r="F9" t="s">
        <v>293</v>
      </c>
      <c r="G9">
        <v>3</v>
      </c>
      <c r="I9">
        <v>0</v>
      </c>
      <c r="J9">
        <v>0</v>
      </c>
      <c r="K9">
        <v>1</v>
      </c>
      <c r="L9">
        <v>0</v>
      </c>
      <c r="M9">
        <v>0</v>
      </c>
      <c r="N9">
        <v>0</v>
      </c>
      <c r="O9">
        <v>0</v>
      </c>
      <c r="P9">
        <v>0</v>
      </c>
      <c r="Q9">
        <v>0</v>
      </c>
      <c r="R9">
        <v>1</v>
      </c>
      <c r="T9">
        <v>1</v>
      </c>
      <c r="U9">
        <v>1</v>
      </c>
      <c r="V9">
        <v>1</v>
      </c>
      <c r="W9">
        <v>5</v>
      </c>
      <c r="X9">
        <v>3</v>
      </c>
      <c r="Y9">
        <v>11</v>
      </c>
      <c r="Z9">
        <v>5</v>
      </c>
      <c r="AA9">
        <v>3</v>
      </c>
      <c r="AB9">
        <v>11</v>
      </c>
      <c r="AC9">
        <v>1</v>
      </c>
      <c r="AD9">
        <v>1</v>
      </c>
      <c r="AE9">
        <v>0</v>
      </c>
      <c r="AF9">
        <v>0</v>
      </c>
      <c r="AG9">
        <v>0</v>
      </c>
      <c r="AH9">
        <v>0</v>
      </c>
      <c r="AJ9">
        <v>2</v>
      </c>
      <c r="AL9">
        <v>1</v>
      </c>
      <c r="AN9">
        <v>1</v>
      </c>
      <c r="AO9">
        <v>1</v>
      </c>
      <c r="AP9">
        <v>5</v>
      </c>
      <c r="AQ9">
        <v>2</v>
      </c>
      <c r="AS9">
        <v>2</v>
      </c>
      <c r="AT9">
        <v>1</v>
      </c>
      <c r="AU9">
        <v>2</v>
      </c>
      <c r="BC9">
        <v>0</v>
      </c>
      <c r="BD9">
        <v>0</v>
      </c>
      <c r="BE9">
        <v>1</v>
      </c>
      <c r="BF9">
        <v>0</v>
      </c>
      <c r="BG9">
        <v>0</v>
      </c>
      <c r="BH9">
        <v>0</v>
      </c>
      <c r="BI9">
        <v>0</v>
      </c>
      <c r="BJ9">
        <v>0</v>
      </c>
      <c r="BK9">
        <v>1</v>
      </c>
      <c r="BL9">
        <v>0</v>
      </c>
      <c r="BM9">
        <v>0</v>
      </c>
      <c r="BN9">
        <v>0</v>
      </c>
      <c r="BO9">
        <v>0</v>
      </c>
      <c r="BP9">
        <v>1</v>
      </c>
      <c r="BQ9">
        <v>0</v>
      </c>
      <c r="BR9">
        <v>1</v>
      </c>
      <c r="BS9">
        <v>0</v>
      </c>
      <c r="BU9">
        <v>16</v>
      </c>
      <c r="BV9">
        <v>4</v>
      </c>
      <c r="BX9">
        <v>4</v>
      </c>
      <c r="BY9">
        <v>4</v>
      </c>
      <c r="DI9">
        <v>1</v>
      </c>
      <c r="DJ9">
        <v>0</v>
      </c>
      <c r="DK9">
        <v>1</v>
      </c>
      <c r="DL9">
        <v>0</v>
      </c>
      <c r="DM9">
        <v>0</v>
      </c>
      <c r="DN9">
        <v>1</v>
      </c>
      <c r="DO9">
        <v>0</v>
      </c>
      <c r="DP9">
        <v>0</v>
      </c>
      <c r="DQ9">
        <v>0</v>
      </c>
      <c r="DR9">
        <v>0</v>
      </c>
      <c r="DT9">
        <v>1</v>
      </c>
      <c r="DU9">
        <v>1</v>
      </c>
      <c r="DV9">
        <v>0</v>
      </c>
      <c r="DW9">
        <v>0</v>
      </c>
      <c r="DX9">
        <v>0</v>
      </c>
      <c r="DY9">
        <v>0</v>
      </c>
      <c r="DZ9">
        <v>0</v>
      </c>
      <c r="EA9">
        <v>0</v>
      </c>
      <c r="EB9">
        <v>0</v>
      </c>
      <c r="EC9">
        <v>0</v>
      </c>
      <c r="ED9">
        <v>1</v>
      </c>
      <c r="EE9">
        <v>0</v>
      </c>
      <c r="EF9">
        <v>0</v>
      </c>
      <c r="EG9" t="s">
        <v>294</v>
      </c>
      <c r="EH9">
        <v>1</v>
      </c>
      <c r="EI9" t="s">
        <v>295</v>
      </c>
      <c r="EJ9">
        <v>0</v>
      </c>
      <c r="EK9">
        <v>0</v>
      </c>
      <c r="EL9">
        <v>0</v>
      </c>
      <c r="EM9">
        <v>0</v>
      </c>
      <c r="EN9">
        <v>0</v>
      </c>
      <c r="EO9">
        <v>0</v>
      </c>
      <c r="EP9">
        <v>0</v>
      </c>
      <c r="EQ9">
        <v>0</v>
      </c>
      <c r="ER9">
        <v>0</v>
      </c>
      <c r="ES9">
        <v>0</v>
      </c>
      <c r="ET9">
        <v>0</v>
      </c>
      <c r="EU9">
        <v>0</v>
      </c>
      <c r="EV9">
        <v>0</v>
      </c>
      <c r="EW9">
        <v>0</v>
      </c>
      <c r="EX9">
        <v>0</v>
      </c>
      <c r="EY9">
        <v>1</v>
      </c>
      <c r="EZ9">
        <v>0</v>
      </c>
      <c r="FA9">
        <v>0</v>
      </c>
      <c r="FB9">
        <v>0</v>
      </c>
      <c r="FC9">
        <v>0</v>
      </c>
      <c r="FD9">
        <v>0</v>
      </c>
      <c r="FE9">
        <v>0</v>
      </c>
      <c r="IG9">
        <v>1</v>
      </c>
      <c r="IH9">
        <v>1</v>
      </c>
      <c r="II9">
        <v>0</v>
      </c>
      <c r="IJ9">
        <v>1</v>
      </c>
      <c r="IK9">
        <v>0</v>
      </c>
      <c r="IL9">
        <v>0</v>
      </c>
      <c r="IM9">
        <v>0</v>
      </c>
      <c r="IN9">
        <v>0</v>
      </c>
      <c r="IO9">
        <v>0</v>
      </c>
      <c r="IP9">
        <v>0</v>
      </c>
      <c r="IQ9">
        <v>0</v>
      </c>
      <c r="IS9">
        <v>2</v>
      </c>
    </row>
    <row r="10" spans="1:258" x14ac:dyDescent="0.35">
      <c r="A10">
        <v>397212</v>
      </c>
      <c r="C10">
        <v>1</v>
      </c>
      <c r="D10" t="s">
        <v>296</v>
      </c>
      <c r="E10" t="s">
        <v>297</v>
      </c>
      <c r="F10" t="s">
        <v>298</v>
      </c>
      <c r="G10">
        <v>4</v>
      </c>
      <c r="I10">
        <v>1</v>
      </c>
      <c r="J10">
        <v>0</v>
      </c>
      <c r="K10">
        <v>0</v>
      </c>
      <c r="L10">
        <v>1</v>
      </c>
      <c r="M10">
        <v>0</v>
      </c>
      <c r="N10">
        <v>0</v>
      </c>
      <c r="O10">
        <v>0</v>
      </c>
      <c r="P10">
        <v>1</v>
      </c>
      <c r="Q10">
        <v>0</v>
      </c>
      <c r="R10">
        <v>1</v>
      </c>
      <c r="T10">
        <v>1</v>
      </c>
      <c r="U10">
        <v>1</v>
      </c>
      <c r="V10">
        <v>1</v>
      </c>
      <c r="W10">
        <v>4</v>
      </c>
      <c r="X10">
        <v>7</v>
      </c>
      <c r="Y10">
        <v>2</v>
      </c>
      <c r="Z10">
        <v>4</v>
      </c>
      <c r="AA10">
        <v>7</v>
      </c>
      <c r="AB10">
        <v>2</v>
      </c>
      <c r="AC10">
        <v>1</v>
      </c>
      <c r="AD10">
        <v>1</v>
      </c>
      <c r="AE10">
        <v>0</v>
      </c>
      <c r="AF10">
        <v>0</v>
      </c>
      <c r="AG10">
        <v>0</v>
      </c>
      <c r="AH10">
        <v>0</v>
      </c>
      <c r="AJ10">
        <v>1</v>
      </c>
      <c r="AL10">
        <v>1</v>
      </c>
      <c r="AN10">
        <v>1</v>
      </c>
      <c r="AO10">
        <v>1</v>
      </c>
      <c r="AP10">
        <v>4</v>
      </c>
      <c r="AQ10">
        <v>1</v>
      </c>
      <c r="AR10">
        <v>5</v>
      </c>
      <c r="AS10">
        <v>1</v>
      </c>
      <c r="AT10">
        <v>1</v>
      </c>
      <c r="AU10">
        <v>2</v>
      </c>
      <c r="BC10">
        <v>0</v>
      </c>
      <c r="BD10">
        <v>0</v>
      </c>
      <c r="BE10">
        <v>0</v>
      </c>
      <c r="BF10">
        <v>0</v>
      </c>
      <c r="BG10">
        <v>1</v>
      </c>
      <c r="BH10">
        <v>0</v>
      </c>
      <c r="BI10">
        <v>0</v>
      </c>
      <c r="BJ10">
        <v>0</v>
      </c>
      <c r="BK10">
        <v>0</v>
      </c>
      <c r="BL10">
        <v>0</v>
      </c>
      <c r="BM10">
        <v>0</v>
      </c>
      <c r="BN10">
        <v>0</v>
      </c>
      <c r="BO10">
        <v>0</v>
      </c>
      <c r="BP10">
        <v>0</v>
      </c>
      <c r="BQ10">
        <v>0</v>
      </c>
      <c r="BR10">
        <v>0</v>
      </c>
      <c r="BS10">
        <v>1</v>
      </c>
      <c r="BT10" t="s">
        <v>299</v>
      </c>
      <c r="BU10">
        <v>5</v>
      </c>
      <c r="BV10">
        <v>4</v>
      </c>
      <c r="BX10">
        <v>5</v>
      </c>
      <c r="BY10">
        <v>4</v>
      </c>
      <c r="DI10">
        <v>0</v>
      </c>
      <c r="DJ10">
        <v>0</v>
      </c>
      <c r="DK10">
        <v>1</v>
      </c>
      <c r="DL10">
        <v>0</v>
      </c>
      <c r="DM10">
        <v>0</v>
      </c>
      <c r="DN10">
        <v>1</v>
      </c>
      <c r="DO10">
        <v>0</v>
      </c>
      <c r="DP10">
        <v>0</v>
      </c>
      <c r="DQ10">
        <v>0</v>
      </c>
      <c r="DR10">
        <v>0</v>
      </c>
      <c r="DT10">
        <v>0</v>
      </c>
      <c r="DU10">
        <v>0</v>
      </c>
      <c r="DV10">
        <v>1</v>
      </c>
      <c r="DW10">
        <v>1</v>
      </c>
      <c r="DX10">
        <v>0</v>
      </c>
      <c r="DY10">
        <v>0</v>
      </c>
      <c r="DZ10">
        <v>0</v>
      </c>
      <c r="EA10">
        <v>0</v>
      </c>
      <c r="EB10">
        <v>0</v>
      </c>
      <c r="EC10">
        <v>0</v>
      </c>
      <c r="ED10">
        <v>1</v>
      </c>
      <c r="EE10">
        <v>0</v>
      </c>
      <c r="EF10">
        <v>0</v>
      </c>
      <c r="FF10" t="s">
        <v>300</v>
      </c>
      <c r="FG10">
        <v>1</v>
      </c>
      <c r="FH10">
        <v>0</v>
      </c>
      <c r="FI10">
        <v>0</v>
      </c>
      <c r="FJ10">
        <v>0</v>
      </c>
      <c r="FK10">
        <v>0</v>
      </c>
      <c r="FL10">
        <v>0</v>
      </c>
      <c r="FM10">
        <v>0</v>
      </c>
      <c r="FN10">
        <v>0</v>
      </c>
      <c r="FO10">
        <v>0</v>
      </c>
      <c r="FP10">
        <v>0</v>
      </c>
      <c r="FQ10">
        <v>0</v>
      </c>
      <c r="FR10">
        <v>0</v>
      </c>
      <c r="FS10">
        <v>0</v>
      </c>
      <c r="FT10">
        <v>0</v>
      </c>
      <c r="FU10">
        <v>0</v>
      </c>
      <c r="FV10">
        <v>0</v>
      </c>
      <c r="FW10">
        <v>0</v>
      </c>
      <c r="FX10">
        <v>0</v>
      </c>
      <c r="FY10">
        <v>0</v>
      </c>
      <c r="IG10">
        <v>1</v>
      </c>
      <c r="IH10">
        <v>0</v>
      </c>
      <c r="II10">
        <v>1</v>
      </c>
      <c r="IJ10">
        <v>0</v>
      </c>
      <c r="IK10">
        <v>0</v>
      </c>
      <c r="IL10">
        <v>0</v>
      </c>
      <c r="IM10">
        <v>0</v>
      </c>
      <c r="IN10">
        <v>0</v>
      </c>
      <c r="IO10">
        <v>0</v>
      </c>
      <c r="IP10">
        <v>0</v>
      </c>
      <c r="IQ10">
        <v>0</v>
      </c>
      <c r="IS10">
        <v>1</v>
      </c>
      <c r="IT10">
        <v>0</v>
      </c>
      <c r="IU10">
        <v>1</v>
      </c>
      <c r="IV10">
        <v>0</v>
      </c>
      <c r="IW10">
        <v>0</v>
      </c>
    </row>
    <row r="11" spans="1:258" x14ac:dyDescent="0.35">
      <c r="A11">
        <v>405231</v>
      </c>
      <c r="C11">
        <v>1</v>
      </c>
      <c r="D11" t="s">
        <v>301</v>
      </c>
      <c r="E11" t="s">
        <v>302</v>
      </c>
      <c r="F11" t="s">
        <v>298</v>
      </c>
      <c r="G11">
        <v>13</v>
      </c>
      <c r="I11">
        <v>1</v>
      </c>
      <c r="J11">
        <v>0</v>
      </c>
      <c r="K11">
        <v>1</v>
      </c>
      <c r="L11">
        <v>0</v>
      </c>
      <c r="M11">
        <v>0</v>
      </c>
      <c r="N11">
        <v>0</v>
      </c>
      <c r="O11">
        <v>0</v>
      </c>
      <c r="P11">
        <v>1</v>
      </c>
      <c r="Q11">
        <v>0</v>
      </c>
      <c r="R11">
        <v>1</v>
      </c>
      <c r="T11">
        <v>1</v>
      </c>
      <c r="U11">
        <v>1</v>
      </c>
      <c r="V11">
        <v>1</v>
      </c>
      <c r="W11">
        <v>25</v>
      </c>
      <c r="X11">
        <v>45</v>
      </c>
      <c r="Y11">
        <v>0</v>
      </c>
      <c r="Z11">
        <v>25</v>
      </c>
      <c r="AA11">
        <v>45</v>
      </c>
      <c r="AC11">
        <v>1</v>
      </c>
      <c r="AD11">
        <v>1</v>
      </c>
      <c r="AE11">
        <v>0</v>
      </c>
      <c r="AF11">
        <v>0</v>
      </c>
      <c r="AG11">
        <v>0</v>
      </c>
      <c r="AH11">
        <v>0</v>
      </c>
      <c r="AJ11">
        <v>1</v>
      </c>
      <c r="AL11">
        <v>1</v>
      </c>
      <c r="AN11">
        <v>1</v>
      </c>
      <c r="AO11">
        <v>1</v>
      </c>
      <c r="AP11">
        <v>4</v>
      </c>
      <c r="AQ11">
        <v>1</v>
      </c>
      <c r="AR11">
        <v>4</v>
      </c>
      <c r="AS11">
        <v>1</v>
      </c>
      <c r="AT11">
        <v>1</v>
      </c>
      <c r="AU11">
        <v>2</v>
      </c>
      <c r="BC11">
        <v>1</v>
      </c>
      <c r="BD11">
        <v>1</v>
      </c>
      <c r="BE11">
        <v>0</v>
      </c>
      <c r="BF11">
        <v>1</v>
      </c>
      <c r="BG11">
        <v>0</v>
      </c>
      <c r="BH11">
        <v>1</v>
      </c>
      <c r="BI11">
        <v>0</v>
      </c>
      <c r="BJ11">
        <v>1</v>
      </c>
      <c r="BK11">
        <v>1</v>
      </c>
      <c r="BL11">
        <v>1</v>
      </c>
      <c r="BM11">
        <v>0</v>
      </c>
      <c r="BN11">
        <v>1</v>
      </c>
      <c r="BO11">
        <v>0</v>
      </c>
      <c r="BP11">
        <v>1</v>
      </c>
      <c r="BQ11">
        <v>0</v>
      </c>
      <c r="BR11">
        <v>1</v>
      </c>
      <c r="BS11">
        <v>0</v>
      </c>
      <c r="BU11">
        <v>16</v>
      </c>
      <c r="BV11">
        <v>4</v>
      </c>
      <c r="BX11">
        <v>3</v>
      </c>
      <c r="BY11">
        <v>3</v>
      </c>
      <c r="DI11">
        <v>0</v>
      </c>
      <c r="DJ11">
        <v>0</v>
      </c>
      <c r="DK11">
        <v>0</v>
      </c>
      <c r="DL11">
        <v>0</v>
      </c>
      <c r="DM11">
        <v>0</v>
      </c>
      <c r="DN11">
        <v>0</v>
      </c>
      <c r="DO11">
        <v>0</v>
      </c>
      <c r="DP11">
        <v>0</v>
      </c>
      <c r="DQ11">
        <v>0</v>
      </c>
      <c r="DR11">
        <v>1</v>
      </c>
      <c r="DT11">
        <v>0</v>
      </c>
      <c r="DU11">
        <v>0</v>
      </c>
      <c r="DV11">
        <v>0</v>
      </c>
      <c r="DW11">
        <v>0</v>
      </c>
      <c r="DX11">
        <v>0</v>
      </c>
      <c r="DY11">
        <v>0</v>
      </c>
      <c r="DZ11">
        <v>0</v>
      </c>
      <c r="EA11">
        <v>0</v>
      </c>
      <c r="EB11">
        <v>0</v>
      </c>
      <c r="EC11">
        <v>0</v>
      </c>
      <c r="ED11">
        <v>0</v>
      </c>
      <c r="EE11">
        <v>0</v>
      </c>
      <c r="EF11">
        <v>1</v>
      </c>
      <c r="IG11">
        <v>1</v>
      </c>
      <c r="IH11">
        <v>1</v>
      </c>
      <c r="II11">
        <v>1</v>
      </c>
      <c r="IJ11">
        <v>0</v>
      </c>
      <c r="IK11">
        <v>0</v>
      </c>
      <c r="IL11">
        <v>0</v>
      </c>
      <c r="IM11">
        <v>0</v>
      </c>
      <c r="IN11">
        <v>0</v>
      </c>
      <c r="IO11">
        <v>0</v>
      </c>
      <c r="IP11">
        <v>0</v>
      </c>
      <c r="IQ11">
        <v>0</v>
      </c>
      <c r="IS11">
        <v>2</v>
      </c>
    </row>
    <row r="12" spans="1:258" x14ac:dyDescent="0.35">
      <c r="A12">
        <v>393379</v>
      </c>
      <c r="C12">
        <v>1</v>
      </c>
      <c r="D12" t="s">
        <v>303</v>
      </c>
      <c r="E12" t="s">
        <v>304</v>
      </c>
      <c r="F12" t="s">
        <v>305</v>
      </c>
      <c r="G12">
        <v>4</v>
      </c>
      <c r="I12">
        <v>0</v>
      </c>
      <c r="J12">
        <v>1</v>
      </c>
      <c r="K12">
        <v>0</v>
      </c>
      <c r="L12">
        <v>0</v>
      </c>
      <c r="M12">
        <v>0</v>
      </c>
      <c r="N12">
        <v>0</v>
      </c>
      <c r="O12">
        <v>0</v>
      </c>
      <c r="P12">
        <v>0</v>
      </c>
      <c r="Q12">
        <v>0</v>
      </c>
      <c r="R12">
        <v>2</v>
      </c>
      <c r="T12">
        <v>1</v>
      </c>
      <c r="U12">
        <v>1</v>
      </c>
      <c r="V12">
        <v>0</v>
      </c>
      <c r="W12">
        <v>7</v>
      </c>
      <c r="X12">
        <v>11</v>
      </c>
      <c r="Z12">
        <v>7</v>
      </c>
      <c r="AA12">
        <v>11</v>
      </c>
      <c r="AC12">
        <v>0</v>
      </c>
      <c r="AD12">
        <v>1</v>
      </c>
      <c r="AE12">
        <v>0</v>
      </c>
      <c r="AF12">
        <v>0</v>
      </c>
      <c r="AG12">
        <v>0</v>
      </c>
      <c r="AH12">
        <v>0</v>
      </c>
      <c r="AJ12">
        <v>2</v>
      </c>
      <c r="AL12">
        <v>2</v>
      </c>
      <c r="AN12">
        <v>1</v>
      </c>
      <c r="AO12">
        <v>2</v>
      </c>
      <c r="AP12">
        <v>3</v>
      </c>
      <c r="AQ12">
        <v>2</v>
      </c>
      <c r="AS12">
        <v>2</v>
      </c>
      <c r="AT12">
        <v>2</v>
      </c>
      <c r="AU12">
        <v>2</v>
      </c>
      <c r="BC12">
        <v>0</v>
      </c>
      <c r="BD12">
        <v>1</v>
      </c>
      <c r="BE12">
        <v>0</v>
      </c>
      <c r="BF12">
        <v>0</v>
      </c>
      <c r="BG12">
        <v>0</v>
      </c>
      <c r="BH12">
        <v>1</v>
      </c>
      <c r="BI12">
        <v>0</v>
      </c>
      <c r="BJ12">
        <v>0</v>
      </c>
      <c r="BK12">
        <v>0</v>
      </c>
      <c r="BL12">
        <v>0</v>
      </c>
      <c r="BM12">
        <v>0</v>
      </c>
      <c r="BN12">
        <v>0</v>
      </c>
      <c r="BO12">
        <v>0</v>
      </c>
      <c r="BP12">
        <v>0</v>
      </c>
      <c r="BQ12">
        <v>0</v>
      </c>
      <c r="BR12">
        <v>0</v>
      </c>
      <c r="BS12">
        <v>0</v>
      </c>
      <c r="BU12">
        <v>6</v>
      </c>
      <c r="BV12">
        <v>4</v>
      </c>
      <c r="BX12">
        <v>1</v>
      </c>
      <c r="BY12">
        <v>1</v>
      </c>
      <c r="DI12">
        <v>1</v>
      </c>
      <c r="DJ12">
        <v>1</v>
      </c>
      <c r="DK12">
        <v>1</v>
      </c>
      <c r="DL12">
        <v>1</v>
      </c>
      <c r="DM12">
        <v>1</v>
      </c>
      <c r="DN12">
        <v>0</v>
      </c>
      <c r="DO12">
        <v>0</v>
      </c>
      <c r="DP12">
        <v>1</v>
      </c>
      <c r="DQ12">
        <v>0</v>
      </c>
      <c r="DR12">
        <v>0</v>
      </c>
      <c r="DT12">
        <v>0</v>
      </c>
      <c r="DU12">
        <v>0</v>
      </c>
      <c r="DV12">
        <v>0</v>
      </c>
      <c r="DW12">
        <v>1</v>
      </c>
      <c r="DX12">
        <v>1</v>
      </c>
      <c r="DY12">
        <v>0</v>
      </c>
      <c r="DZ12">
        <v>0</v>
      </c>
      <c r="EA12">
        <v>0</v>
      </c>
      <c r="EB12">
        <v>0</v>
      </c>
      <c r="EC12">
        <v>0</v>
      </c>
      <c r="ED12">
        <v>0</v>
      </c>
      <c r="EE12">
        <v>0</v>
      </c>
      <c r="EF12">
        <v>0</v>
      </c>
      <c r="IG12">
        <v>1</v>
      </c>
      <c r="IH12">
        <v>1</v>
      </c>
      <c r="II12">
        <v>1</v>
      </c>
      <c r="IJ12">
        <v>0</v>
      </c>
      <c r="IK12">
        <v>0</v>
      </c>
      <c r="IL12">
        <v>0</v>
      </c>
      <c r="IM12">
        <v>0</v>
      </c>
      <c r="IN12">
        <v>0</v>
      </c>
      <c r="IO12">
        <v>0</v>
      </c>
      <c r="IP12">
        <v>0</v>
      </c>
      <c r="IQ12">
        <v>0</v>
      </c>
      <c r="IS12">
        <v>2</v>
      </c>
    </row>
    <row r="13" spans="1:258" x14ac:dyDescent="0.35">
      <c r="A13">
        <v>375749</v>
      </c>
      <c r="C13">
        <v>1</v>
      </c>
      <c r="D13" t="s">
        <v>306</v>
      </c>
      <c r="E13" t="s">
        <v>307</v>
      </c>
      <c r="F13" t="s">
        <v>305</v>
      </c>
      <c r="G13">
        <v>7</v>
      </c>
      <c r="I13">
        <v>0</v>
      </c>
      <c r="J13">
        <v>1</v>
      </c>
      <c r="K13">
        <v>1</v>
      </c>
      <c r="L13">
        <v>0</v>
      </c>
      <c r="M13">
        <v>0</v>
      </c>
      <c r="N13">
        <v>0</v>
      </c>
      <c r="O13">
        <v>1</v>
      </c>
      <c r="P13">
        <v>0</v>
      </c>
      <c r="Q13">
        <v>0</v>
      </c>
      <c r="R13">
        <v>1</v>
      </c>
      <c r="T13">
        <v>1</v>
      </c>
      <c r="U13">
        <v>1</v>
      </c>
      <c r="V13">
        <v>1</v>
      </c>
      <c r="W13">
        <v>2</v>
      </c>
      <c r="X13">
        <v>8</v>
      </c>
      <c r="Y13">
        <v>39</v>
      </c>
      <c r="Z13">
        <v>2</v>
      </c>
      <c r="AA13">
        <v>8</v>
      </c>
      <c r="AB13">
        <v>39</v>
      </c>
      <c r="AC13">
        <v>0</v>
      </c>
      <c r="AD13">
        <v>0</v>
      </c>
      <c r="AE13">
        <v>1</v>
      </c>
      <c r="AF13">
        <v>0</v>
      </c>
      <c r="AG13">
        <v>1</v>
      </c>
      <c r="AH13">
        <v>0</v>
      </c>
      <c r="AJ13">
        <v>3</v>
      </c>
      <c r="AL13">
        <v>1</v>
      </c>
      <c r="AN13">
        <v>1</v>
      </c>
    </row>
    <row r="14" spans="1:258" x14ac:dyDescent="0.35">
      <c r="A14">
        <v>405482</v>
      </c>
      <c r="C14">
        <v>1</v>
      </c>
      <c r="D14" t="s">
        <v>308</v>
      </c>
      <c r="E14" t="s">
        <v>309</v>
      </c>
      <c r="F14" t="s">
        <v>305</v>
      </c>
      <c r="G14">
        <v>2</v>
      </c>
      <c r="I14">
        <v>1</v>
      </c>
      <c r="J14">
        <v>0</v>
      </c>
      <c r="K14">
        <v>0</v>
      </c>
      <c r="L14">
        <v>0</v>
      </c>
      <c r="M14">
        <v>0</v>
      </c>
      <c r="N14">
        <v>0</v>
      </c>
      <c r="O14">
        <v>0</v>
      </c>
      <c r="P14">
        <v>0</v>
      </c>
      <c r="Q14">
        <v>0</v>
      </c>
      <c r="R14">
        <v>1</v>
      </c>
      <c r="T14">
        <v>0</v>
      </c>
      <c r="U14">
        <v>1</v>
      </c>
      <c r="V14">
        <v>0</v>
      </c>
      <c r="X14">
        <v>12</v>
      </c>
      <c r="AA14">
        <v>12</v>
      </c>
      <c r="AC14">
        <v>1</v>
      </c>
      <c r="AD14">
        <v>0</v>
      </c>
      <c r="AE14">
        <v>0</v>
      </c>
      <c r="AF14">
        <v>0</v>
      </c>
      <c r="AG14">
        <v>0</v>
      </c>
      <c r="AH14">
        <v>0</v>
      </c>
      <c r="AJ14">
        <v>1</v>
      </c>
      <c r="AL14">
        <v>1</v>
      </c>
      <c r="AN14">
        <v>1</v>
      </c>
      <c r="AO14">
        <v>1</v>
      </c>
      <c r="AP14">
        <v>2</v>
      </c>
      <c r="AQ14">
        <v>2</v>
      </c>
      <c r="AS14">
        <v>2</v>
      </c>
      <c r="AT14">
        <v>1</v>
      </c>
      <c r="AU14">
        <v>1</v>
      </c>
      <c r="AV14">
        <v>0</v>
      </c>
      <c r="AW14">
        <v>0</v>
      </c>
      <c r="AX14">
        <v>0</v>
      </c>
      <c r="AY14">
        <v>1</v>
      </c>
      <c r="AZ14">
        <v>0</v>
      </c>
      <c r="BA14">
        <v>0</v>
      </c>
      <c r="BC14">
        <v>0</v>
      </c>
      <c r="BD14">
        <v>0</v>
      </c>
      <c r="BE14">
        <v>0</v>
      </c>
      <c r="BF14">
        <v>0</v>
      </c>
      <c r="BG14">
        <v>0</v>
      </c>
      <c r="BH14">
        <v>0</v>
      </c>
      <c r="BI14">
        <v>0</v>
      </c>
      <c r="BJ14">
        <v>0</v>
      </c>
      <c r="BK14">
        <v>0</v>
      </c>
      <c r="BL14">
        <v>0</v>
      </c>
      <c r="BM14">
        <v>0</v>
      </c>
      <c r="BN14">
        <v>0</v>
      </c>
      <c r="BO14">
        <v>0</v>
      </c>
      <c r="BP14">
        <v>0</v>
      </c>
      <c r="BQ14">
        <v>1</v>
      </c>
      <c r="BR14">
        <v>0</v>
      </c>
      <c r="BS14">
        <v>0</v>
      </c>
      <c r="BU14">
        <v>5</v>
      </c>
      <c r="BV14">
        <v>1</v>
      </c>
      <c r="BW14" t="s">
        <v>310</v>
      </c>
      <c r="BX14">
        <v>3</v>
      </c>
      <c r="BY14">
        <v>3</v>
      </c>
      <c r="DI14">
        <v>0</v>
      </c>
      <c r="DJ14">
        <v>0</v>
      </c>
      <c r="DK14">
        <v>1</v>
      </c>
      <c r="DL14">
        <v>0</v>
      </c>
      <c r="DM14">
        <v>0</v>
      </c>
      <c r="DN14">
        <v>1</v>
      </c>
      <c r="DO14">
        <v>0</v>
      </c>
      <c r="DP14">
        <v>0</v>
      </c>
      <c r="DQ14">
        <v>0</v>
      </c>
      <c r="DR14">
        <v>0</v>
      </c>
      <c r="DT14">
        <v>0</v>
      </c>
      <c r="DU14">
        <v>0</v>
      </c>
      <c r="DV14">
        <v>0</v>
      </c>
      <c r="DW14">
        <v>1</v>
      </c>
      <c r="DX14">
        <v>0</v>
      </c>
      <c r="DY14">
        <v>0</v>
      </c>
      <c r="DZ14">
        <v>0</v>
      </c>
      <c r="EA14">
        <v>0</v>
      </c>
      <c r="EB14">
        <v>1</v>
      </c>
      <c r="EC14">
        <v>0</v>
      </c>
      <c r="ED14">
        <v>0</v>
      </c>
      <c r="EE14">
        <v>0</v>
      </c>
      <c r="EF14">
        <v>0</v>
      </c>
      <c r="IG14">
        <v>1</v>
      </c>
      <c r="IH14">
        <v>1</v>
      </c>
      <c r="II14">
        <v>0</v>
      </c>
      <c r="IJ14">
        <v>0</v>
      </c>
      <c r="IK14">
        <v>0</v>
      </c>
      <c r="IL14">
        <v>1</v>
      </c>
      <c r="IM14">
        <v>0</v>
      </c>
      <c r="IN14">
        <v>0</v>
      </c>
      <c r="IO14">
        <v>0</v>
      </c>
      <c r="IP14">
        <v>0</v>
      </c>
      <c r="IQ14">
        <v>0</v>
      </c>
      <c r="IS14">
        <v>1</v>
      </c>
      <c r="IT14">
        <v>0</v>
      </c>
      <c r="IU14">
        <v>1</v>
      </c>
      <c r="IV14">
        <v>0</v>
      </c>
      <c r="IW14">
        <v>0</v>
      </c>
    </row>
    <row r="15" spans="1:258" x14ac:dyDescent="0.35">
      <c r="A15">
        <v>363300</v>
      </c>
      <c r="C15">
        <v>1</v>
      </c>
      <c r="D15" t="s">
        <v>311</v>
      </c>
      <c r="E15" t="s">
        <v>312</v>
      </c>
      <c r="F15" t="s">
        <v>305</v>
      </c>
      <c r="G15">
        <v>13</v>
      </c>
      <c r="I15">
        <v>0</v>
      </c>
      <c r="J15">
        <v>0</v>
      </c>
      <c r="K15">
        <v>0</v>
      </c>
      <c r="L15">
        <v>1</v>
      </c>
      <c r="M15">
        <v>0</v>
      </c>
      <c r="N15">
        <v>0</v>
      </c>
      <c r="O15">
        <v>0</v>
      </c>
      <c r="P15">
        <v>0</v>
      </c>
      <c r="Q15">
        <v>0</v>
      </c>
      <c r="R15">
        <v>1</v>
      </c>
      <c r="T15">
        <v>0</v>
      </c>
      <c r="U15">
        <v>0</v>
      </c>
      <c r="V15">
        <v>1</v>
      </c>
      <c r="Y15">
        <v>25</v>
      </c>
      <c r="AB15">
        <v>25</v>
      </c>
      <c r="AC15">
        <v>1</v>
      </c>
      <c r="AD15">
        <v>0</v>
      </c>
      <c r="AE15">
        <v>0</v>
      </c>
      <c r="AF15">
        <v>0</v>
      </c>
      <c r="AG15">
        <v>1</v>
      </c>
      <c r="AH15">
        <v>0</v>
      </c>
      <c r="AJ15">
        <v>1</v>
      </c>
      <c r="AL15">
        <v>1</v>
      </c>
      <c r="AN15">
        <v>1</v>
      </c>
      <c r="AO15">
        <v>1</v>
      </c>
      <c r="AP15">
        <v>3</v>
      </c>
      <c r="AQ15">
        <v>2</v>
      </c>
      <c r="AS15">
        <v>2</v>
      </c>
      <c r="AT15">
        <v>1</v>
      </c>
      <c r="BX15">
        <v>4</v>
      </c>
      <c r="BY15">
        <v>5</v>
      </c>
      <c r="BZ15">
        <v>0</v>
      </c>
      <c r="CA15">
        <v>0</v>
      </c>
      <c r="CB15">
        <v>1</v>
      </c>
      <c r="CC15">
        <v>0</v>
      </c>
      <c r="CD15">
        <v>1</v>
      </c>
      <c r="CE15">
        <v>0</v>
      </c>
      <c r="CF15">
        <v>1</v>
      </c>
      <c r="CG15">
        <v>0</v>
      </c>
      <c r="CH15">
        <v>0</v>
      </c>
      <c r="CI15">
        <v>1</v>
      </c>
      <c r="CJ15">
        <v>0</v>
      </c>
      <c r="CK15">
        <v>0</v>
      </c>
      <c r="CL15">
        <v>0</v>
      </c>
      <c r="CM15">
        <v>0</v>
      </c>
      <c r="CN15">
        <v>0</v>
      </c>
      <c r="CO15">
        <v>0</v>
      </c>
      <c r="CQ15" t="s">
        <v>313</v>
      </c>
      <c r="CR15">
        <v>1</v>
      </c>
      <c r="CS15">
        <v>2</v>
      </c>
      <c r="CU15">
        <v>3</v>
      </c>
      <c r="CV15" t="s">
        <v>314</v>
      </c>
      <c r="CW15">
        <v>3</v>
      </c>
      <c r="CX15" t="s">
        <v>315</v>
      </c>
      <c r="CZ15">
        <v>3</v>
      </c>
      <c r="DA15" t="s">
        <v>316</v>
      </c>
      <c r="DB15">
        <v>12</v>
      </c>
      <c r="DC15" t="s">
        <v>317</v>
      </c>
      <c r="DD15" t="s">
        <v>318</v>
      </c>
      <c r="DE15">
        <v>2</v>
      </c>
      <c r="DG15">
        <v>4</v>
      </c>
      <c r="DI15">
        <v>0</v>
      </c>
      <c r="DJ15">
        <v>1</v>
      </c>
      <c r="DK15">
        <v>1</v>
      </c>
      <c r="DL15">
        <v>1</v>
      </c>
      <c r="DM15">
        <v>0</v>
      </c>
      <c r="DN15">
        <v>1</v>
      </c>
      <c r="DO15">
        <v>0</v>
      </c>
      <c r="DP15">
        <v>1</v>
      </c>
      <c r="DQ15">
        <v>0</v>
      </c>
      <c r="DR15">
        <v>0</v>
      </c>
      <c r="DT15">
        <v>0</v>
      </c>
      <c r="DU15">
        <v>1</v>
      </c>
      <c r="DV15">
        <v>1</v>
      </c>
      <c r="DW15">
        <v>0</v>
      </c>
      <c r="DX15">
        <v>0</v>
      </c>
      <c r="DY15">
        <v>0</v>
      </c>
      <c r="DZ15">
        <v>1</v>
      </c>
      <c r="EA15">
        <v>0</v>
      </c>
      <c r="EB15">
        <v>0</v>
      </c>
      <c r="EC15">
        <v>0</v>
      </c>
      <c r="ED15">
        <v>1</v>
      </c>
      <c r="EE15">
        <v>0</v>
      </c>
      <c r="EF15">
        <v>0</v>
      </c>
      <c r="EI15" t="s">
        <v>285</v>
      </c>
      <c r="EJ15">
        <v>0</v>
      </c>
      <c r="EK15">
        <v>1</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t="s">
        <v>285</v>
      </c>
      <c r="FG15">
        <v>0</v>
      </c>
      <c r="FH15">
        <v>0</v>
      </c>
      <c r="FI15">
        <v>0</v>
      </c>
      <c r="FJ15">
        <v>0</v>
      </c>
      <c r="FK15">
        <v>0</v>
      </c>
      <c r="FL15">
        <v>0</v>
      </c>
      <c r="FM15">
        <v>0</v>
      </c>
      <c r="FN15">
        <v>0</v>
      </c>
      <c r="FO15">
        <v>0</v>
      </c>
      <c r="FP15">
        <v>0</v>
      </c>
      <c r="FQ15">
        <v>1</v>
      </c>
      <c r="FR15">
        <v>0</v>
      </c>
      <c r="FS15">
        <v>0</v>
      </c>
      <c r="FT15">
        <v>0</v>
      </c>
      <c r="FU15">
        <v>0</v>
      </c>
      <c r="FV15">
        <v>0</v>
      </c>
      <c r="FW15">
        <v>0</v>
      </c>
      <c r="FX15">
        <v>0</v>
      </c>
      <c r="FY15">
        <v>0</v>
      </c>
      <c r="FZ15" t="s">
        <v>319</v>
      </c>
      <c r="GA15">
        <v>0</v>
      </c>
      <c r="GB15">
        <v>0</v>
      </c>
      <c r="GC15">
        <v>1</v>
      </c>
      <c r="GD15">
        <v>0</v>
      </c>
      <c r="GE15">
        <v>0</v>
      </c>
      <c r="GF15">
        <v>0</v>
      </c>
      <c r="GG15">
        <v>0</v>
      </c>
      <c r="GH15">
        <v>0</v>
      </c>
      <c r="GI15">
        <v>0</v>
      </c>
      <c r="IG15">
        <v>1</v>
      </c>
      <c r="IH15">
        <v>0</v>
      </c>
      <c r="II15">
        <v>0</v>
      </c>
      <c r="IJ15">
        <v>0</v>
      </c>
      <c r="IK15">
        <v>0</v>
      </c>
      <c r="IL15">
        <v>0</v>
      </c>
      <c r="IM15">
        <v>0</v>
      </c>
      <c r="IN15">
        <v>0</v>
      </c>
      <c r="IO15">
        <v>0</v>
      </c>
      <c r="IP15">
        <v>0</v>
      </c>
      <c r="IQ15">
        <v>0</v>
      </c>
      <c r="IS15">
        <v>2</v>
      </c>
    </row>
    <row r="16" spans="1:258" x14ac:dyDescent="0.35">
      <c r="A16">
        <v>396941</v>
      </c>
      <c r="C16">
        <v>1</v>
      </c>
      <c r="D16" t="s">
        <v>320</v>
      </c>
      <c r="E16" t="s">
        <v>321</v>
      </c>
      <c r="F16" t="s">
        <v>305</v>
      </c>
      <c r="G16">
        <v>3</v>
      </c>
      <c r="I16">
        <v>1</v>
      </c>
      <c r="J16">
        <v>0</v>
      </c>
      <c r="K16">
        <v>1</v>
      </c>
      <c r="L16">
        <v>0</v>
      </c>
      <c r="M16">
        <v>0</v>
      </c>
      <c r="N16">
        <v>1</v>
      </c>
      <c r="O16">
        <v>0</v>
      </c>
      <c r="P16">
        <v>0</v>
      </c>
      <c r="Q16">
        <v>0</v>
      </c>
      <c r="R16">
        <v>1</v>
      </c>
      <c r="T16">
        <v>1</v>
      </c>
      <c r="U16">
        <v>0</v>
      </c>
      <c r="V16">
        <v>1</v>
      </c>
      <c r="W16">
        <v>2</v>
      </c>
      <c r="Y16">
        <v>5</v>
      </c>
      <c r="Z16">
        <v>2</v>
      </c>
      <c r="AB16">
        <v>5</v>
      </c>
      <c r="AC16">
        <v>1</v>
      </c>
      <c r="AD16">
        <v>1</v>
      </c>
      <c r="AE16">
        <v>0</v>
      </c>
      <c r="AF16">
        <v>0</v>
      </c>
      <c r="AG16">
        <v>0</v>
      </c>
      <c r="AH16">
        <v>0</v>
      </c>
      <c r="AJ16">
        <v>1</v>
      </c>
      <c r="AL16">
        <v>1</v>
      </c>
      <c r="AN16">
        <v>1</v>
      </c>
      <c r="AO16">
        <v>1</v>
      </c>
      <c r="AP16">
        <v>3</v>
      </c>
      <c r="AQ16">
        <v>2</v>
      </c>
      <c r="AS16">
        <v>1</v>
      </c>
      <c r="AT16">
        <v>1</v>
      </c>
      <c r="AU16">
        <v>1</v>
      </c>
      <c r="AV16">
        <v>1</v>
      </c>
      <c r="AW16">
        <v>0</v>
      </c>
      <c r="AX16">
        <v>0</v>
      </c>
      <c r="AY16">
        <v>1</v>
      </c>
      <c r="AZ16">
        <v>0</v>
      </c>
      <c r="BA16">
        <v>0</v>
      </c>
      <c r="BC16">
        <v>0</v>
      </c>
      <c r="BD16">
        <v>0</v>
      </c>
      <c r="BE16">
        <v>1</v>
      </c>
      <c r="BF16">
        <v>0</v>
      </c>
      <c r="BG16">
        <v>1</v>
      </c>
      <c r="BH16">
        <v>0</v>
      </c>
      <c r="BI16">
        <v>0</v>
      </c>
      <c r="BJ16">
        <v>0</v>
      </c>
      <c r="BK16">
        <v>0</v>
      </c>
      <c r="BL16">
        <v>0</v>
      </c>
      <c r="BM16">
        <v>0</v>
      </c>
      <c r="BN16">
        <v>0</v>
      </c>
      <c r="BO16">
        <v>0</v>
      </c>
      <c r="BP16">
        <v>0</v>
      </c>
      <c r="BQ16">
        <v>0</v>
      </c>
      <c r="BR16">
        <v>0</v>
      </c>
      <c r="BS16">
        <v>0</v>
      </c>
      <c r="BU16">
        <v>5</v>
      </c>
      <c r="BV16">
        <v>4</v>
      </c>
      <c r="BX16">
        <v>2</v>
      </c>
      <c r="BY16">
        <v>4</v>
      </c>
      <c r="DI16">
        <v>1</v>
      </c>
      <c r="DJ16">
        <v>0</v>
      </c>
      <c r="DK16">
        <v>1</v>
      </c>
      <c r="DL16">
        <v>0</v>
      </c>
      <c r="DM16">
        <v>0</v>
      </c>
      <c r="DN16">
        <v>0</v>
      </c>
      <c r="DO16">
        <v>0</v>
      </c>
      <c r="DP16">
        <v>0</v>
      </c>
      <c r="DQ16">
        <v>0</v>
      </c>
      <c r="DR16">
        <v>0</v>
      </c>
      <c r="DT16">
        <v>0</v>
      </c>
      <c r="DU16">
        <v>1</v>
      </c>
      <c r="DV16">
        <v>0</v>
      </c>
      <c r="DW16">
        <v>0</v>
      </c>
      <c r="DX16">
        <v>1</v>
      </c>
      <c r="DY16">
        <v>0</v>
      </c>
      <c r="DZ16">
        <v>0</v>
      </c>
      <c r="EA16">
        <v>0</v>
      </c>
      <c r="EB16">
        <v>0</v>
      </c>
      <c r="EC16">
        <v>0</v>
      </c>
      <c r="ED16">
        <v>0</v>
      </c>
      <c r="EE16">
        <v>0</v>
      </c>
      <c r="EF16">
        <v>0</v>
      </c>
      <c r="EI16" t="s">
        <v>274</v>
      </c>
      <c r="EJ16">
        <v>1</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IG16">
        <v>1</v>
      </c>
      <c r="IH16">
        <v>0</v>
      </c>
      <c r="II16">
        <v>1</v>
      </c>
      <c r="IJ16">
        <v>0</v>
      </c>
      <c r="IK16">
        <v>0</v>
      </c>
      <c r="IL16">
        <v>0</v>
      </c>
      <c r="IM16">
        <v>0</v>
      </c>
      <c r="IN16">
        <v>0</v>
      </c>
      <c r="IO16">
        <v>1</v>
      </c>
      <c r="IP16">
        <v>0</v>
      </c>
      <c r="IQ16">
        <v>0</v>
      </c>
      <c r="IS16">
        <v>2</v>
      </c>
    </row>
    <row r="17" spans="1:258" x14ac:dyDescent="0.35">
      <c r="A17">
        <v>405194</v>
      </c>
      <c r="C17">
        <v>1</v>
      </c>
      <c r="D17" t="s">
        <v>322</v>
      </c>
      <c r="E17" t="s">
        <v>323</v>
      </c>
      <c r="F17" t="s">
        <v>305</v>
      </c>
      <c r="G17">
        <v>7</v>
      </c>
      <c r="I17">
        <v>0</v>
      </c>
      <c r="J17">
        <v>0</v>
      </c>
      <c r="K17">
        <v>1</v>
      </c>
      <c r="L17">
        <v>0</v>
      </c>
      <c r="M17">
        <v>0</v>
      </c>
      <c r="N17">
        <v>0</v>
      </c>
      <c r="O17">
        <v>0</v>
      </c>
      <c r="P17">
        <v>0</v>
      </c>
      <c r="Q17">
        <v>0</v>
      </c>
      <c r="R17">
        <v>2</v>
      </c>
      <c r="T17">
        <v>1</v>
      </c>
      <c r="U17">
        <v>1</v>
      </c>
      <c r="V17">
        <v>0</v>
      </c>
      <c r="W17">
        <v>1</v>
      </c>
      <c r="X17">
        <v>9</v>
      </c>
      <c r="Z17">
        <v>1</v>
      </c>
      <c r="AA17">
        <v>9</v>
      </c>
      <c r="AC17">
        <v>1</v>
      </c>
      <c r="AD17">
        <v>0</v>
      </c>
      <c r="AE17">
        <v>0</v>
      </c>
      <c r="AF17">
        <v>0</v>
      </c>
      <c r="AG17">
        <v>0</v>
      </c>
      <c r="AH17">
        <v>0</v>
      </c>
      <c r="AJ17">
        <v>1</v>
      </c>
      <c r="AL17">
        <v>1</v>
      </c>
      <c r="AN17">
        <v>1</v>
      </c>
      <c r="AO17">
        <v>1</v>
      </c>
      <c r="AP17">
        <v>1</v>
      </c>
      <c r="AQ17">
        <v>2</v>
      </c>
      <c r="AS17">
        <v>2</v>
      </c>
      <c r="AT17">
        <v>2</v>
      </c>
      <c r="AU17">
        <v>2</v>
      </c>
      <c r="BC17">
        <v>0</v>
      </c>
      <c r="BD17">
        <v>0</v>
      </c>
      <c r="BE17">
        <v>0</v>
      </c>
      <c r="BF17">
        <v>1</v>
      </c>
      <c r="BG17">
        <v>0</v>
      </c>
      <c r="BH17">
        <v>0</v>
      </c>
      <c r="BI17">
        <v>1</v>
      </c>
      <c r="BJ17">
        <v>0</v>
      </c>
      <c r="BK17">
        <v>0</v>
      </c>
      <c r="BL17">
        <v>1</v>
      </c>
      <c r="BM17">
        <v>0</v>
      </c>
      <c r="BN17">
        <v>1</v>
      </c>
      <c r="BO17">
        <v>0</v>
      </c>
      <c r="BP17">
        <v>1</v>
      </c>
      <c r="BQ17">
        <v>0</v>
      </c>
      <c r="BR17">
        <v>0</v>
      </c>
      <c r="BS17">
        <v>0</v>
      </c>
      <c r="BU17">
        <v>1</v>
      </c>
      <c r="BV17">
        <v>4</v>
      </c>
      <c r="BX17">
        <v>1</v>
      </c>
      <c r="BY17">
        <v>1</v>
      </c>
      <c r="DI17">
        <v>0</v>
      </c>
      <c r="DJ17">
        <v>0</v>
      </c>
      <c r="DK17">
        <v>1</v>
      </c>
      <c r="DL17">
        <v>0</v>
      </c>
      <c r="DM17">
        <v>0</v>
      </c>
      <c r="DN17">
        <v>1</v>
      </c>
      <c r="DO17">
        <v>0</v>
      </c>
      <c r="DP17">
        <v>0</v>
      </c>
      <c r="DQ17">
        <v>0</v>
      </c>
      <c r="DR17">
        <v>0</v>
      </c>
      <c r="DT17">
        <v>0</v>
      </c>
      <c r="DU17">
        <v>1</v>
      </c>
      <c r="DV17">
        <v>1</v>
      </c>
      <c r="DW17">
        <v>0</v>
      </c>
      <c r="DX17">
        <v>1</v>
      </c>
      <c r="DY17">
        <v>0</v>
      </c>
      <c r="DZ17">
        <v>0</v>
      </c>
      <c r="EA17">
        <v>0</v>
      </c>
      <c r="EB17">
        <v>0</v>
      </c>
      <c r="EC17">
        <v>0</v>
      </c>
      <c r="ED17">
        <v>0</v>
      </c>
      <c r="EE17">
        <v>0</v>
      </c>
      <c r="EF17">
        <v>0</v>
      </c>
      <c r="EI17" t="s">
        <v>285</v>
      </c>
      <c r="EJ17">
        <v>0</v>
      </c>
      <c r="EK17">
        <v>1</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t="s">
        <v>285</v>
      </c>
      <c r="FG17">
        <v>0</v>
      </c>
      <c r="FH17">
        <v>0</v>
      </c>
      <c r="FI17">
        <v>0</v>
      </c>
      <c r="FJ17">
        <v>0</v>
      </c>
      <c r="FK17">
        <v>0</v>
      </c>
      <c r="FL17">
        <v>0</v>
      </c>
      <c r="FM17">
        <v>0</v>
      </c>
      <c r="FN17">
        <v>0</v>
      </c>
      <c r="FO17">
        <v>0</v>
      </c>
      <c r="FP17">
        <v>0</v>
      </c>
      <c r="FQ17">
        <v>1</v>
      </c>
      <c r="FR17">
        <v>0</v>
      </c>
      <c r="FS17">
        <v>0</v>
      </c>
      <c r="FT17">
        <v>0</v>
      </c>
      <c r="FU17">
        <v>0</v>
      </c>
      <c r="FV17">
        <v>0</v>
      </c>
      <c r="FW17">
        <v>0</v>
      </c>
      <c r="FX17">
        <v>0</v>
      </c>
      <c r="FY17">
        <v>0</v>
      </c>
      <c r="IG17">
        <v>1</v>
      </c>
      <c r="IH17">
        <v>1</v>
      </c>
      <c r="II17">
        <v>1</v>
      </c>
      <c r="IJ17">
        <v>0</v>
      </c>
      <c r="IK17">
        <v>0</v>
      </c>
      <c r="IL17">
        <v>0</v>
      </c>
      <c r="IM17">
        <v>0</v>
      </c>
      <c r="IN17">
        <v>0</v>
      </c>
      <c r="IO17">
        <v>0</v>
      </c>
      <c r="IP17">
        <v>0</v>
      </c>
      <c r="IQ17">
        <v>0</v>
      </c>
      <c r="IS17">
        <v>2</v>
      </c>
    </row>
    <row r="18" spans="1:258" x14ac:dyDescent="0.35">
      <c r="A18">
        <v>405535</v>
      </c>
      <c r="C18">
        <v>1</v>
      </c>
      <c r="D18" t="s">
        <v>324</v>
      </c>
      <c r="E18" t="s">
        <v>325</v>
      </c>
      <c r="F18" t="s">
        <v>305</v>
      </c>
      <c r="G18">
        <v>3</v>
      </c>
      <c r="I18">
        <v>0</v>
      </c>
      <c r="J18">
        <v>0</v>
      </c>
      <c r="K18">
        <v>1</v>
      </c>
      <c r="L18">
        <v>0</v>
      </c>
      <c r="M18">
        <v>0</v>
      </c>
      <c r="N18">
        <v>0</v>
      </c>
      <c r="O18">
        <v>0</v>
      </c>
      <c r="P18">
        <v>0</v>
      </c>
      <c r="Q18">
        <v>0</v>
      </c>
      <c r="R18">
        <v>1</v>
      </c>
      <c r="T18">
        <v>1</v>
      </c>
      <c r="U18">
        <v>1</v>
      </c>
      <c r="V18">
        <v>0</v>
      </c>
      <c r="W18">
        <v>25</v>
      </c>
      <c r="X18">
        <v>25</v>
      </c>
      <c r="Z18">
        <v>25</v>
      </c>
      <c r="AA18">
        <v>25</v>
      </c>
      <c r="AC18">
        <v>1</v>
      </c>
      <c r="AD18">
        <v>1</v>
      </c>
      <c r="AE18">
        <v>0</v>
      </c>
      <c r="AF18">
        <v>1</v>
      </c>
      <c r="AG18">
        <v>1</v>
      </c>
      <c r="AH18">
        <v>0</v>
      </c>
      <c r="AJ18">
        <v>5</v>
      </c>
      <c r="AL18">
        <v>1</v>
      </c>
      <c r="AN18">
        <v>1</v>
      </c>
      <c r="AO18">
        <v>1</v>
      </c>
      <c r="AP18">
        <v>1</v>
      </c>
      <c r="AQ18">
        <v>1</v>
      </c>
      <c r="AR18">
        <v>2</v>
      </c>
      <c r="AS18">
        <v>2</v>
      </c>
      <c r="AT18">
        <v>1</v>
      </c>
      <c r="BX18">
        <v>5</v>
      </c>
      <c r="BY18">
        <v>5</v>
      </c>
      <c r="BZ18">
        <v>0</v>
      </c>
      <c r="CA18">
        <v>1</v>
      </c>
      <c r="CB18">
        <v>1</v>
      </c>
      <c r="CC18">
        <v>0</v>
      </c>
      <c r="CD18">
        <v>0</v>
      </c>
      <c r="CE18">
        <v>0</v>
      </c>
      <c r="CF18">
        <v>0</v>
      </c>
      <c r="CG18">
        <v>0</v>
      </c>
      <c r="CH18">
        <v>0</v>
      </c>
      <c r="CI18">
        <v>1</v>
      </c>
      <c r="CJ18">
        <v>0</v>
      </c>
      <c r="CK18">
        <v>1</v>
      </c>
      <c r="CL18">
        <v>0</v>
      </c>
      <c r="CM18">
        <v>0</v>
      </c>
      <c r="CN18">
        <v>0</v>
      </c>
      <c r="CO18">
        <v>0</v>
      </c>
      <c r="CQ18" t="s">
        <v>326</v>
      </c>
      <c r="CR18">
        <v>1</v>
      </c>
      <c r="CS18">
        <v>2</v>
      </c>
      <c r="CU18">
        <v>2</v>
      </c>
      <c r="CW18">
        <v>2</v>
      </c>
      <c r="CZ18">
        <v>3</v>
      </c>
      <c r="DA18" t="s">
        <v>327</v>
      </c>
      <c r="DB18">
        <v>4</v>
      </c>
      <c r="DD18" t="s">
        <v>328</v>
      </c>
      <c r="DE18">
        <v>3</v>
      </c>
      <c r="DF18" t="s">
        <v>329</v>
      </c>
      <c r="DG18">
        <v>3</v>
      </c>
    </row>
    <row r="19" spans="1:258" x14ac:dyDescent="0.35">
      <c r="A19">
        <v>393226</v>
      </c>
      <c r="C19">
        <v>1</v>
      </c>
      <c r="D19" t="s">
        <v>330</v>
      </c>
      <c r="E19" t="s">
        <v>331</v>
      </c>
      <c r="F19" t="s">
        <v>332</v>
      </c>
      <c r="G19">
        <v>1</v>
      </c>
      <c r="I19">
        <v>1</v>
      </c>
      <c r="J19">
        <v>0</v>
      </c>
      <c r="K19">
        <v>0</v>
      </c>
      <c r="L19">
        <v>0</v>
      </c>
      <c r="M19">
        <v>0</v>
      </c>
      <c r="N19">
        <v>0</v>
      </c>
      <c r="O19">
        <v>0</v>
      </c>
      <c r="P19">
        <v>0</v>
      </c>
      <c r="Q19">
        <v>0</v>
      </c>
      <c r="R19">
        <v>2</v>
      </c>
      <c r="T19">
        <v>0</v>
      </c>
      <c r="U19">
        <v>1</v>
      </c>
      <c r="V19">
        <v>1</v>
      </c>
      <c r="X19">
        <v>1</v>
      </c>
      <c r="Y19">
        <v>5</v>
      </c>
      <c r="AA19">
        <v>1</v>
      </c>
      <c r="AB19">
        <v>5</v>
      </c>
      <c r="AC19">
        <v>1</v>
      </c>
      <c r="AD19">
        <v>0</v>
      </c>
      <c r="AE19">
        <v>0</v>
      </c>
      <c r="AF19">
        <v>0</v>
      </c>
      <c r="AG19">
        <v>0</v>
      </c>
      <c r="AH19">
        <v>0</v>
      </c>
      <c r="AJ19">
        <v>1</v>
      </c>
      <c r="AL19">
        <v>1</v>
      </c>
      <c r="AN19">
        <v>1</v>
      </c>
      <c r="AO19">
        <v>1</v>
      </c>
      <c r="AP19">
        <v>3</v>
      </c>
      <c r="AQ19">
        <v>2</v>
      </c>
      <c r="AS19">
        <v>2</v>
      </c>
      <c r="AT19">
        <v>1</v>
      </c>
      <c r="AU19">
        <v>1</v>
      </c>
      <c r="AV19">
        <v>1</v>
      </c>
      <c r="AW19">
        <v>0</v>
      </c>
      <c r="AX19">
        <v>0</v>
      </c>
      <c r="AY19">
        <v>0</v>
      </c>
      <c r="AZ19">
        <v>0</v>
      </c>
      <c r="BA19">
        <v>1</v>
      </c>
      <c r="BB19" t="s">
        <v>333</v>
      </c>
      <c r="BC19">
        <v>1</v>
      </c>
      <c r="BD19">
        <v>1</v>
      </c>
      <c r="BE19">
        <v>0</v>
      </c>
      <c r="BF19">
        <v>0</v>
      </c>
      <c r="BG19">
        <v>0</v>
      </c>
      <c r="BH19">
        <v>0</v>
      </c>
      <c r="BI19">
        <v>1</v>
      </c>
      <c r="BJ19">
        <v>0</v>
      </c>
      <c r="BK19">
        <v>0</v>
      </c>
      <c r="BL19">
        <v>0</v>
      </c>
      <c r="BM19">
        <v>0</v>
      </c>
      <c r="BN19">
        <v>1</v>
      </c>
      <c r="BO19">
        <v>1</v>
      </c>
      <c r="BP19">
        <v>0</v>
      </c>
      <c r="BQ19">
        <v>0</v>
      </c>
      <c r="BR19">
        <v>0</v>
      </c>
      <c r="BS19">
        <v>0</v>
      </c>
      <c r="BU19">
        <v>1</v>
      </c>
      <c r="BV19">
        <v>3</v>
      </c>
      <c r="BW19" t="s">
        <v>334</v>
      </c>
      <c r="BX19">
        <v>2</v>
      </c>
      <c r="BY19">
        <v>3</v>
      </c>
      <c r="DI19">
        <v>1</v>
      </c>
      <c r="DJ19">
        <v>0</v>
      </c>
      <c r="DK19">
        <v>0</v>
      </c>
      <c r="DL19">
        <v>1</v>
      </c>
      <c r="DM19">
        <v>1</v>
      </c>
      <c r="DN19">
        <v>1</v>
      </c>
      <c r="DO19">
        <v>1</v>
      </c>
      <c r="DP19">
        <v>0</v>
      </c>
      <c r="DQ19">
        <v>0</v>
      </c>
      <c r="DR19">
        <v>0</v>
      </c>
      <c r="DT19">
        <v>0</v>
      </c>
      <c r="DU19">
        <v>1</v>
      </c>
      <c r="DV19">
        <v>0</v>
      </c>
      <c r="DW19">
        <v>1</v>
      </c>
      <c r="DX19">
        <v>1</v>
      </c>
      <c r="DY19">
        <v>0</v>
      </c>
      <c r="DZ19">
        <v>0</v>
      </c>
      <c r="EA19">
        <v>0</v>
      </c>
      <c r="EB19">
        <v>0</v>
      </c>
      <c r="EC19">
        <v>1</v>
      </c>
      <c r="ED19">
        <v>1</v>
      </c>
      <c r="EE19">
        <v>0</v>
      </c>
      <c r="EF19">
        <v>0</v>
      </c>
      <c r="EI19" t="s">
        <v>335</v>
      </c>
      <c r="EJ19">
        <v>0</v>
      </c>
      <c r="EK19">
        <v>0</v>
      </c>
      <c r="EL19">
        <v>0</v>
      </c>
      <c r="EM19">
        <v>0</v>
      </c>
      <c r="EN19">
        <v>0</v>
      </c>
      <c r="EO19">
        <v>0</v>
      </c>
      <c r="EP19">
        <v>0</v>
      </c>
      <c r="EQ19">
        <v>0</v>
      </c>
      <c r="ER19">
        <v>0</v>
      </c>
      <c r="ES19">
        <v>0</v>
      </c>
      <c r="ET19">
        <v>0</v>
      </c>
      <c r="EU19">
        <v>0</v>
      </c>
      <c r="EV19">
        <v>0</v>
      </c>
      <c r="EW19">
        <v>0</v>
      </c>
      <c r="EX19">
        <v>0</v>
      </c>
      <c r="EY19">
        <v>1</v>
      </c>
      <c r="EZ19">
        <v>0</v>
      </c>
      <c r="FA19">
        <v>0</v>
      </c>
      <c r="FB19">
        <v>0</v>
      </c>
      <c r="FC19">
        <v>0</v>
      </c>
      <c r="FD19">
        <v>0</v>
      </c>
      <c r="FE19">
        <v>0</v>
      </c>
      <c r="GJ19" t="s">
        <v>336</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1</v>
      </c>
      <c r="IG19">
        <v>1</v>
      </c>
      <c r="IH19">
        <v>0</v>
      </c>
      <c r="II19">
        <v>1</v>
      </c>
      <c r="IJ19">
        <v>0</v>
      </c>
      <c r="IK19">
        <v>0</v>
      </c>
      <c r="IL19">
        <v>0</v>
      </c>
      <c r="IM19">
        <v>1</v>
      </c>
      <c r="IN19">
        <v>0</v>
      </c>
      <c r="IO19">
        <v>0</v>
      </c>
      <c r="IP19">
        <v>0</v>
      </c>
      <c r="IQ19">
        <v>0</v>
      </c>
      <c r="IS19">
        <v>1</v>
      </c>
      <c r="IT19">
        <v>0</v>
      </c>
      <c r="IU19">
        <v>0</v>
      </c>
      <c r="IV19">
        <v>1</v>
      </c>
      <c r="IW19">
        <v>0</v>
      </c>
    </row>
    <row r="20" spans="1:258" x14ac:dyDescent="0.35">
      <c r="A20">
        <v>393132</v>
      </c>
      <c r="C20">
        <v>1</v>
      </c>
      <c r="D20" t="s">
        <v>337</v>
      </c>
      <c r="E20" t="s">
        <v>338</v>
      </c>
      <c r="F20" t="s">
        <v>332</v>
      </c>
      <c r="G20">
        <v>3</v>
      </c>
      <c r="I20">
        <v>0</v>
      </c>
      <c r="J20">
        <v>0</v>
      </c>
      <c r="K20">
        <v>0</v>
      </c>
      <c r="L20">
        <v>0</v>
      </c>
      <c r="M20">
        <v>0</v>
      </c>
      <c r="N20">
        <v>0</v>
      </c>
      <c r="O20">
        <v>0</v>
      </c>
      <c r="P20">
        <v>0</v>
      </c>
      <c r="Q20">
        <v>1</v>
      </c>
      <c r="R20">
        <v>1</v>
      </c>
      <c r="T20">
        <v>1</v>
      </c>
      <c r="U20">
        <v>0</v>
      </c>
      <c r="V20">
        <v>1</v>
      </c>
      <c r="W20">
        <v>160</v>
      </c>
      <c r="Y20">
        <v>40</v>
      </c>
      <c r="Z20">
        <v>160</v>
      </c>
      <c r="AB20">
        <v>40</v>
      </c>
      <c r="AC20">
        <v>0</v>
      </c>
      <c r="AD20">
        <v>1</v>
      </c>
      <c r="AE20">
        <v>1</v>
      </c>
      <c r="AF20">
        <v>0</v>
      </c>
      <c r="AG20">
        <v>0</v>
      </c>
      <c r="AH20">
        <v>0</v>
      </c>
      <c r="AJ20">
        <v>2</v>
      </c>
      <c r="AL20">
        <v>2</v>
      </c>
      <c r="AN20">
        <v>1</v>
      </c>
      <c r="AO20">
        <v>1</v>
      </c>
      <c r="AP20">
        <v>5</v>
      </c>
      <c r="AQ20">
        <v>2</v>
      </c>
      <c r="AS20">
        <v>2</v>
      </c>
      <c r="AT20">
        <v>1</v>
      </c>
      <c r="AU20">
        <v>2</v>
      </c>
      <c r="BC20">
        <v>0</v>
      </c>
      <c r="BD20">
        <v>1</v>
      </c>
      <c r="BE20">
        <v>0</v>
      </c>
      <c r="BF20">
        <v>1</v>
      </c>
      <c r="BG20">
        <v>1</v>
      </c>
      <c r="BH20">
        <v>0</v>
      </c>
      <c r="BI20">
        <v>0</v>
      </c>
      <c r="BJ20">
        <v>0</v>
      </c>
      <c r="BK20">
        <v>1</v>
      </c>
      <c r="BL20">
        <v>0</v>
      </c>
      <c r="BM20">
        <v>0</v>
      </c>
      <c r="BN20">
        <v>0</v>
      </c>
      <c r="BO20">
        <v>0</v>
      </c>
      <c r="BP20">
        <v>0</v>
      </c>
      <c r="BQ20">
        <v>0</v>
      </c>
      <c r="BR20">
        <v>0</v>
      </c>
      <c r="BS20">
        <v>1</v>
      </c>
      <c r="BT20" t="s">
        <v>339</v>
      </c>
      <c r="BU20">
        <v>17</v>
      </c>
      <c r="BV20">
        <v>4</v>
      </c>
      <c r="BX20">
        <v>3</v>
      </c>
      <c r="BY20">
        <v>2</v>
      </c>
      <c r="DI20">
        <v>0</v>
      </c>
      <c r="DJ20">
        <v>0</v>
      </c>
      <c r="DK20">
        <v>1</v>
      </c>
      <c r="DL20">
        <v>0</v>
      </c>
      <c r="DM20">
        <v>0</v>
      </c>
      <c r="DN20">
        <v>0</v>
      </c>
      <c r="DO20">
        <v>0</v>
      </c>
      <c r="DP20">
        <v>0</v>
      </c>
      <c r="DQ20">
        <v>1</v>
      </c>
      <c r="DR20">
        <v>0</v>
      </c>
      <c r="DS20" t="s">
        <v>340</v>
      </c>
      <c r="DT20">
        <v>0</v>
      </c>
      <c r="DU20">
        <v>1</v>
      </c>
      <c r="DV20">
        <v>0</v>
      </c>
      <c r="DW20">
        <v>0</v>
      </c>
      <c r="DX20">
        <v>0</v>
      </c>
      <c r="DY20">
        <v>0</v>
      </c>
      <c r="DZ20">
        <v>0</v>
      </c>
      <c r="EA20">
        <v>0</v>
      </c>
      <c r="EB20">
        <v>0</v>
      </c>
      <c r="EC20">
        <v>0</v>
      </c>
      <c r="ED20">
        <v>0</v>
      </c>
      <c r="EE20">
        <v>1</v>
      </c>
      <c r="EF20">
        <v>0</v>
      </c>
      <c r="EI20" t="s">
        <v>285</v>
      </c>
      <c r="EJ20">
        <v>0</v>
      </c>
      <c r="EK20">
        <v>1</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IE20" t="s">
        <v>341</v>
      </c>
      <c r="IF20">
        <v>4</v>
      </c>
      <c r="IG20">
        <v>0</v>
      </c>
      <c r="IH20">
        <v>0</v>
      </c>
      <c r="II20">
        <v>0</v>
      </c>
      <c r="IJ20">
        <v>0</v>
      </c>
      <c r="IK20">
        <v>0</v>
      </c>
      <c r="IL20">
        <v>0</v>
      </c>
      <c r="IM20">
        <v>0</v>
      </c>
      <c r="IN20">
        <v>0</v>
      </c>
      <c r="IO20">
        <v>0</v>
      </c>
      <c r="IP20">
        <v>0</v>
      </c>
      <c r="IQ20">
        <v>1</v>
      </c>
      <c r="IS20">
        <v>1</v>
      </c>
      <c r="IT20">
        <v>0</v>
      </c>
      <c r="IU20">
        <v>0</v>
      </c>
      <c r="IV20">
        <v>0</v>
      </c>
      <c r="IW20">
        <v>1</v>
      </c>
      <c r="IX20" t="s">
        <v>342</v>
      </c>
    </row>
    <row r="21" spans="1:258" x14ac:dyDescent="0.35">
      <c r="A21">
        <v>385521</v>
      </c>
      <c r="C21">
        <v>1</v>
      </c>
      <c r="D21" t="s">
        <v>343</v>
      </c>
      <c r="E21" t="s">
        <v>344</v>
      </c>
      <c r="F21" t="s">
        <v>332</v>
      </c>
      <c r="G21">
        <v>5</v>
      </c>
      <c r="I21">
        <v>0</v>
      </c>
      <c r="J21">
        <v>0</v>
      </c>
      <c r="K21">
        <v>0</v>
      </c>
      <c r="L21">
        <v>1</v>
      </c>
      <c r="M21">
        <v>1</v>
      </c>
      <c r="N21">
        <v>0</v>
      </c>
      <c r="O21">
        <v>0</v>
      </c>
      <c r="P21">
        <v>0</v>
      </c>
      <c r="Q21">
        <v>0</v>
      </c>
      <c r="R21">
        <v>1</v>
      </c>
      <c r="T21">
        <v>1</v>
      </c>
      <c r="U21">
        <v>0</v>
      </c>
      <c r="V21">
        <v>1</v>
      </c>
      <c r="W21">
        <v>57</v>
      </c>
      <c r="Y21">
        <v>71</v>
      </c>
      <c r="Z21">
        <v>57</v>
      </c>
      <c r="AB21">
        <v>71</v>
      </c>
      <c r="AC21">
        <v>0</v>
      </c>
      <c r="AD21">
        <v>1</v>
      </c>
      <c r="AE21">
        <v>1</v>
      </c>
      <c r="AF21">
        <v>1</v>
      </c>
      <c r="AG21">
        <v>0</v>
      </c>
      <c r="AH21">
        <v>0</v>
      </c>
      <c r="AJ21">
        <v>3</v>
      </c>
      <c r="AL21">
        <v>1</v>
      </c>
      <c r="AN21">
        <v>1</v>
      </c>
      <c r="AO21">
        <v>1</v>
      </c>
      <c r="AP21">
        <v>2</v>
      </c>
      <c r="AQ21">
        <v>1</v>
      </c>
      <c r="AR21">
        <v>6</v>
      </c>
      <c r="AS21">
        <v>2</v>
      </c>
      <c r="AT21">
        <v>1</v>
      </c>
      <c r="AU21">
        <v>1</v>
      </c>
      <c r="AV21">
        <v>0</v>
      </c>
      <c r="AW21">
        <v>0</v>
      </c>
      <c r="AX21">
        <v>0</v>
      </c>
      <c r="AY21">
        <v>0</v>
      </c>
      <c r="AZ21">
        <v>0</v>
      </c>
      <c r="BA21">
        <v>1</v>
      </c>
      <c r="BB21" t="s">
        <v>345</v>
      </c>
      <c r="BC21">
        <v>0</v>
      </c>
      <c r="BD21">
        <v>0</v>
      </c>
      <c r="BE21">
        <v>1</v>
      </c>
      <c r="BF21">
        <v>0</v>
      </c>
      <c r="BG21">
        <v>0</v>
      </c>
      <c r="BH21">
        <v>0</v>
      </c>
      <c r="BI21">
        <v>0</v>
      </c>
      <c r="BJ21">
        <v>0</v>
      </c>
      <c r="BK21">
        <v>1</v>
      </c>
      <c r="BL21">
        <v>0</v>
      </c>
      <c r="BM21">
        <v>0</v>
      </c>
      <c r="BN21">
        <v>0</v>
      </c>
      <c r="BO21">
        <v>0</v>
      </c>
      <c r="BP21">
        <v>0</v>
      </c>
      <c r="BQ21">
        <v>1</v>
      </c>
      <c r="BR21">
        <v>0</v>
      </c>
      <c r="BS21">
        <v>0</v>
      </c>
      <c r="BU21">
        <v>9</v>
      </c>
      <c r="BV21">
        <v>4</v>
      </c>
      <c r="BX21">
        <v>3</v>
      </c>
      <c r="BY21">
        <v>3</v>
      </c>
      <c r="DI21">
        <v>0</v>
      </c>
      <c r="DJ21">
        <v>0</v>
      </c>
      <c r="DK21">
        <v>1</v>
      </c>
      <c r="DL21">
        <v>0</v>
      </c>
      <c r="DM21">
        <v>0</v>
      </c>
      <c r="DN21">
        <v>1</v>
      </c>
      <c r="DO21">
        <v>0</v>
      </c>
      <c r="DP21">
        <v>0</v>
      </c>
      <c r="DQ21">
        <v>0</v>
      </c>
      <c r="DR21">
        <v>0</v>
      </c>
      <c r="DT21">
        <v>0</v>
      </c>
      <c r="DU21">
        <v>1</v>
      </c>
      <c r="DV21">
        <v>0</v>
      </c>
      <c r="DW21">
        <v>0</v>
      </c>
      <c r="DX21">
        <v>0</v>
      </c>
      <c r="DY21">
        <v>0</v>
      </c>
      <c r="DZ21">
        <v>0</v>
      </c>
      <c r="EA21">
        <v>0</v>
      </c>
      <c r="EB21">
        <v>0</v>
      </c>
      <c r="EC21">
        <v>0</v>
      </c>
      <c r="ED21">
        <v>0</v>
      </c>
      <c r="EE21">
        <v>0</v>
      </c>
      <c r="EF21">
        <v>0</v>
      </c>
      <c r="EI21" t="s">
        <v>346</v>
      </c>
      <c r="EJ21">
        <v>0</v>
      </c>
      <c r="EK21">
        <v>1</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IG21">
        <v>1</v>
      </c>
      <c r="IH21">
        <v>1</v>
      </c>
      <c r="II21">
        <v>1</v>
      </c>
      <c r="IJ21">
        <v>0</v>
      </c>
      <c r="IK21">
        <v>0</v>
      </c>
      <c r="IL21">
        <v>0</v>
      </c>
      <c r="IM21">
        <v>0</v>
      </c>
      <c r="IN21">
        <v>0</v>
      </c>
      <c r="IO21">
        <v>0</v>
      </c>
      <c r="IP21">
        <v>0</v>
      </c>
      <c r="IQ21">
        <v>0</v>
      </c>
      <c r="IS21">
        <v>1</v>
      </c>
      <c r="IT21">
        <v>0</v>
      </c>
      <c r="IU21">
        <v>1</v>
      </c>
      <c r="IV21">
        <v>0</v>
      </c>
      <c r="IW21">
        <v>0</v>
      </c>
    </row>
    <row r="22" spans="1:258" x14ac:dyDescent="0.35">
      <c r="A22">
        <v>376498</v>
      </c>
      <c r="C22">
        <v>1</v>
      </c>
      <c r="D22" t="s">
        <v>347</v>
      </c>
      <c r="E22" t="s">
        <v>348</v>
      </c>
      <c r="F22" t="s">
        <v>332</v>
      </c>
      <c r="G22">
        <v>4</v>
      </c>
      <c r="I22">
        <v>0</v>
      </c>
      <c r="J22">
        <v>0</v>
      </c>
      <c r="K22">
        <v>0</v>
      </c>
      <c r="L22">
        <v>1</v>
      </c>
      <c r="M22">
        <v>0</v>
      </c>
      <c r="N22">
        <v>0</v>
      </c>
      <c r="O22">
        <v>0</v>
      </c>
      <c r="P22">
        <v>0</v>
      </c>
      <c r="Q22">
        <v>0</v>
      </c>
      <c r="R22">
        <v>1</v>
      </c>
      <c r="T22">
        <v>1</v>
      </c>
      <c r="U22">
        <v>0</v>
      </c>
      <c r="V22">
        <v>0</v>
      </c>
      <c r="W22">
        <v>860</v>
      </c>
      <c r="Z22">
        <v>860</v>
      </c>
      <c r="AC22">
        <v>0</v>
      </c>
      <c r="AD22">
        <v>1</v>
      </c>
      <c r="AE22">
        <v>1</v>
      </c>
      <c r="AF22">
        <v>0</v>
      </c>
      <c r="AG22">
        <v>0</v>
      </c>
      <c r="AH22">
        <v>0</v>
      </c>
      <c r="AJ22">
        <v>3</v>
      </c>
      <c r="AL22">
        <v>2</v>
      </c>
      <c r="AN22">
        <v>1</v>
      </c>
      <c r="AO22">
        <v>1</v>
      </c>
      <c r="AP22">
        <v>1</v>
      </c>
      <c r="AQ22">
        <v>2</v>
      </c>
      <c r="AS22">
        <v>2</v>
      </c>
      <c r="AT22">
        <v>1</v>
      </c>
      <c r="AU22">
        <v>1</v>
      </c>
      <c r="AV22">
        <v>0</v>
      </c>
      <c r="AW22">
        <v>1</v>
      </c>
      <c r="AX22">
        <v>1</v>
      </c>
      <c r="AY22">
        <v>1</v>
      </c>
      <c r="AZ22">
        <v>1</v>
      </c>
      <c r="BA22">
        <v>0</v>
      </c>
      <c r="BC22">
        <v>0</v>
      </c>
      <c r="BD22">
        <v>0</v>
      </c>
      <c r="BE22">
        <v>0</v>
      </c>
      <c r="BF22">
        <v>0</v>
      </c>
      <c r="BG22">
        <v>0</v>
      </c>
      <c r="BH22">
        <v>1</v>
      </c>
      <c r="BI22">
        <v>0</v>
      </c>
      <c r="BJ22">
        <v>0</v>
      </c>
      <c r="BK22">
        <v>1</v>
      </c>
      <c r="BL22">
        <v>0</v>
      </c>
      <c r="BM22">
        <v>0</v>
      </c>
      <c r="BN22">
        <v>0</v>
      </c>
      <c r="BO22">
        <v>0</v>
      </c>
      <c r="BP22">
        <v>0</v>
      </c>
      <c r="BQ22">
        <v>0</v>
      </c>
      <c r="BR22">
        <v>0</v>
      </c>
      <c r="BS22">
        <v>0</v>
      </c>
      <c r="BU22">
        <v>6</v>
      </c>
      <c r="BV22">
        <v>3</v>
      </c>
      <c r="BW22" t="s">
        <v>349</v>
      </c>
      <c r="BX22">
        <v>1</v>
      </c>
      <c r="BY22">
        <v>1</v>
      </c>
      <c r="DI22">
        <v>0</v>
      </c>
      <c r="DJ22">
        <v>0</v>
      </c>
      <c r="DK22">
        <v>0</v>
      </c>
      <c r="DL22">
        <v>0</v>
      </c>
      <c r="DM22">
        <v>0</v>
      </c>
      <c r="DN22">
        <v>0</v>
      </c>
      <c r="DO22">
        <v>0</v>
      </c>
      <c r="DP22">
        <v>0</v>
      </c>
      <c r="DQ22">
        <v>1</v>
      </c>
      <c r="DR22">
        <v>0</v>
      </c>
      <c r="DS22" t="s">
        <v>350</v>
      </c>
      <c r="DT22">
        <v>0</v>
      </c>
      <c r="DU22">
        <v>0</v>
      </c>
      <c r="DV22">
        <v>0</v>
      </c>
      <c r="DW22">
        <v>0</v>
      </c>
      <c r="DX22">
        <v>0</v>
      </c>
      <c r="DY22">
        <v>0</v>
      </c>
      <c r="DZ22">
        <v>0</v>
      </c>
      <c r="EA22">
        <v>0</v>
      </c>
      <c r="EB22">
        <v>0</v>
      </c>
      <c r="EC22">
        <v>0</v>
      </c>
      <c r="ED22">
        <v>0</v>
      </c>
      <c r="EE22">
        <v>0</v>
      </c>
      <c r="EF22">
        <v>1</v>
      </c>
      <c r="IG22">
        <v>0</v>
      </c>
      <c r="IH22">
        <v>0</v>
      </c>
      <c r="II22">
        <v>0</v>
      </c>
      <c r="IJ22">
        <v>0</v>
      </c>
      <c r="IK22">
        <v>0</v>
      </c>
      <c r="IL22">
        <v>0</v>
      </c>
      <c r="IM22">
        <v>0</v>
      </c>
      <c r="IN22">
        <v>0</v>
      </c>
      <c r="IO22">
        <v>0</v>
      </c>
      <c r="IP22">
        <v>0</v>
      </c>
      <c r="IQ22">
        <v>1</v>
      </c>
      <c r="IS22">
        <v>2</v>
      </c>
    </row>
    <row r="23" spans="1:258" x14ac:dyDescent="0.35">
      <c r="A23">
        <v>393110</v>
      </c>
      <c r="C23">
        <v>1</v>
      </c>
      <c r="D23" t="s">
        <v>351</v>
      </c>
      <c r="E23" t="s">
        <v>352</v>
      </c>
      <c r="F23" t="s">
        <v>332</v>
      </c>
      <c r="G23">
        <v>3</v>
      </c>
      <c r="I23">
        <v>1</v>
      </c>
      <c r="J23">
        <v>1</v>
      </c>
      <c r="K23">
        <v>1</v>
      </c>
      <c r="L23">
        <v>0</v>
      </c>
      <c r="M23">
        <v>0</v>
      </c>
      <c r="N23">
        <v>0</v>
      </c>
      <c r="O23">
        <v>0</v>
      </c>
      <c r="P23">
        <v>1</v>
      </c>
      <c r="Q23">
        <v>0</v>
      </c>
      <c r="R23">
        <v>1</v>
      </c>
      <c r="T23">
        <v>1</v>
      </c>
      <c r="U23">
        <v>1</v>
      </c>
      <c r="V23">
        <v>1</v>
      </c>
      <c r="W23">
        <v>34</v>
      </c>
      <c r="X23">
        <v>13</v>
      </c>
      <c r="Y23">
        <v>44</v>
      </c>
      <c r="Z23">
        <v>34</v>
      </c>
      <c r="AA23">
        <v>13</v>
      </c>
      <c r="AB23">
        <v>44</v>
      </c>
      <c r="AC23">
        <v>0</v>
      </c>
      <c r="AD23">
        <v>1</v>
      </c>
      <c r="AE23">
        <v>1</v>
      </c>
      <c r="AF23">
        <v>0</v>
      </c>
      <c r="AG23">
        <v>1</v>
      </c>
      <c r="AH23">
        <v>0</v>
      </c>
      <c r="AJ23">
        <v>2</v>
      </c>
      <c r="AL23">
        <v>1</v>
      </c>
      <c r="AN23">
        <v>1</v>
      </c>
      <c r="AO23">
        <v>1</v>
      </c>
      <c r="AP23">
        <v>2</v>
      </c>
      <c r="AQ23">
        <v>1</v>
      </c>
      <c r="AR23">
        <v>5</v>
      </c>
      <c r="AS23">
        <v>2</v>
      </c>
      <c r="AT23">
        <v>1</v>
      </c>
      <c r="BX23">
        <v>3</v>
      </c>
      <c r="BY23">
        <v>3</v>
      </c>
      <c r="BZ23">
        <v>0</v>
      </c>
      <c r="CA23">
        <v>1</v>
      </c>
      <c r="CB23">
        <v>1</v>
      </c>
      <c r="CC23">
        <v>1</v>
      </c>
      <c r="CD23">
        <v>0</v>
      </c>
      <c r="CE23">
        <v>0</v>
      </c>
      <c r="CF23">
        <v>0</v>
      </c>
      <c r="CG23">
        <v>0</v>
      </c>
      <c r="CH23">
        <v>0</v>
      </c>
      <c r="CI23">
        <v>1</v>
      </c>
      <c r="CJ23">
        <v>0</v>
      </c>
      <c r="CK23">
        <v>1</v>
      </c>
      <c r="CL23">
        <v>0</v>
      </c>
      <c r="CM23">
        <v>0</v>
      </c>
      <c r="CN23">
        <v>0</v>
      </c>
      <c r="CO23">
        <v>0</v>
      </c>
      <c r="CQ23" t="s">
        <v>353</v>
      </c>
      <c r="CR23">
        <v>1</v>
      </c>
      <c r="CS23">
        <v>2</v>
      </c>
      <c r="CU23">
        <v>2</v>
      </c>
      <c r="CW23">
        <v>2</v>
      </c>
      <c r="CZ23">
        <v>3</v>
      </c>
      <c r="DA23" t="s">
        <v>354</v>
      </c>
      <c r="DB23">
        <v>3</v>
      </c>
      <c r="DD23" t="s">
        <v>355</v>
      </c>
      <c r="DE23">
        <v>1</v>
      </c>
      <c r="DF23" t="s">
        <v>356</v>
      </c>
      <c r="DG23">
        <v>3</v>
      </c>
      <c r="DH23" t="s">
        <v>357</v>
      </c>
      <c r="DI23">
        <v>0</v>
      </c>
      <c r="DJ23">
        <v>0</v>
      </c>
      <c r="DK23">
        <v>1</v>
      </c>
      <c r="DL23">
        <v>0</v>
      </c>
      <c r="DM23">
        <v>0</v>
      </c>
      <c r="DN23">
        <v>0</v>
      </c>
      <c r="DO23">
        <v>0</v>
      </c>
      <c r="DP23">
        <v>0</v>
      </c>
      <c r="DQ23">
        <v>0</v>
      </c>
      <c r="DR23">
        <v>0</v>
      </c>
      <c r="DT23">
        <v>0</v>
      </c>
      <c r="DU23">
        <v>1</v>
      </c>
      <c r="DV23">
        <v>1</v>
      </c>
      <c r="DW23">
        <v>0</v>
      </c>
      <c r="DX23">
        <v>0</v>
      </c>
      <c r="DY23">
        <v>0</v>
      </c>
      <c r="DZ23">
        <v>0</v>
      </c>
      <c r="EA23">
        <v>0</v>
      </c>
      <c r="EB23">
        <v>0</v>
      </c>
      <c r="EC23">
        <v>0</v>
      </c>
      <c r="ED23">
        <v>1</v>
      </c>
      <c r="EE23">
        <v>0</v>
      </c>
      <c r="EF23">
        <v>0</v>
      </c>
      <c r="EI23" t="s">
        <v>358</v>
      </c>
      <c r="EJ23">
        <v>1</v>
      </c>
      <c r="EK23">
        <v>1</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t="s">
        <v>358</v>
      </c>
      <c r="FG23">
        <v>0</v>
      </c>
      <c r="FH23">
        <v>0</v>
      </c>
      <c r="FI23">
        <v>0</v>
      </c>
      <c r="FJ23">
        <v>0</v>
      </c>
      <c r="FK23">
        <v>0</v>
      </c>
      <c r="FL23">
        <v>0</v>
      </c>
      <c r="FM23">
        <v>0</v>
      </c>
      <c r="FN23">
        <v>0</v>
      </c>
      <c r="FO23">
        <v>0</v>
      </c>
      <c r="FP23">
        <v>1</v>
      </c>
      <c r="FQ23">
        <v>1</v>
      </c>
      <c r="FR23">
        <v>0</v>
      </c>
      <c r="FS23">
        <v>0</v>
      </c>
      <c r="FT23">
        <v>0</v>
      </c>
      <c r="FU23">
        <v>0</v>
      </c>
      <c r="FV23">
        <v>0</v>
      </c>
      <c r="FW23">
        <v>0</v>
      </c>
      <c r="FX23">
        <v>0</v>
      </c>
      <c r="FY23">
        <v>0</v>
      </c>
      <c r="IG23">
        <v>1</v>
      </c>
      <c r="IH23">
        <v>0</v>
      </c>
      <c r="II23">
        <v>0</v>
      </c>
      <c r="IJ23">
        <v>0</v>
      </c>
      <c r="IK23">
        <v>1</v>
      </c>
      <c r="IL23">
        <v>0</v>
      </c>
      <c r="IM23">
        <v>1</v>
      </c>
      <c r="IN23">
        <v>0</v>
      </c>
      <c r="IO23">
        <v>0</v>
      </c>
      <c r="IP23">
        <v>0</v>
      </c>
      <c r="IQ23">
        <v>0</v>
      </c>
      <c r="IS23">
        <v>1</v>
      </c>
      <c r="IT23">
        <v>1</v>
      </c>
      <c r="IU23">
        <v>1</v>
      </c>
      <c r="IV23">
        <v>1</v>
      </c>
      <c r="IW23">
        <v>0</v>
      </c>
    </row>
    <row r="24" spans="1:258" x14ac:dyDescent="0.35">
      <c r="A24">
        <v>392998</v>
      </c>
      <c r="C24">
        <v>1</v>
      </c>
      <c r="D24" t="s">
        <v>359</v>
      </c>
      <c r="E24" t="s">
        <v>360</v>
      </c>
      <c r="F24" t="s">
        <v>332</v>
      </c>
      <c r="G24">
        <v>3</v>
      </c>
      <c r="I24">
        <v>0</v>
      </c>
      <c r="J24">
        <v>0</v>
      </c>
      <c r="K24">
        <v>1</v>
      </c>
      <c r="L24">
        <v>0</v>
      </c>
      <c r="M24">
        <v>0</v>
      </c>
      <c r="N24">
        <v>0</v>
      </c>
      <c r="O24">
        <v>0</v>
      </c>
      <c r="P24">
        <v>0</v>
      </c>
      <c r="Q24">
        <v>0</v>
      </c>
      <c r="R24">
        <v>1</v>
      </c>
      <c r="T24">
        <v>1</v>
      </c>
      <c r="U24">
        <v>1</v>
      </c>
      <c r="V24">
        <v>1</v>
      </c>
      <c r="W24">
        <v>43</v>
      </c>
      <c r="X24">
        <v>17</v>
      </c>
      <c r="Y24">
        <v>30</v>
      </c>
      <c r="Z24">
        <v>43</v>
      </c>
      <c r="AA24">
        <v>17</v>
      </c>
      <c r="AB24">
        <v>30</v>
      </c>
      <c r="AC24">
        <v>1</v>
      </c>
      <c r="AD24">
        <v>1</v>
      </c>
      <c r="AE24">
        <v>1</v>
      </c>
      <c r="AF24">
        <v>0</v>
      </c>
      <c r="AG24">
        <v>1</v>
      </c>
      <c r="AH24">
        <v>0</v>
      </c>
      <c r="AJ24">
        <v>1</v>
      </c>
      <c r="AL24">
        <v>1</v>
      </c>
      <c r="AN24">
        <v>1</v>
      </c>
      <c r="AO24">
        <v>1</v>
      </c>
      <c r="AP24">
        <v>4</v>
      </c>
      <c r="AQ24">
        <v>1</v>
      </c>
      <c r="AR24">
        <v>4</v>
      </c>
      <c r="AS24">
        <v>2</v>
      </c>
      <c r="AT24">
        <v>1</v>
      </c>
      <c r="BX24">
        <v>4</v>
      </c>
      <c r="BY24">
        <v>4</v>
      </c>
      <c r="BZ24">
        <v>0</v>
      </c>
      <c r="CA24">
        <v>1</v>
      </c>
      <c r="CB24">
        <v>1</v>
      </c>
      <c r="CC24">
        <v>0</v>
      </c>
      <c r="CD24">
        <v>0</v>
      </c>
      <c r="CE24">
        <v>1</v>
      </c>
      <c r="CF24">
        <v>1</v>
      </c>
      <c r="CG24">
        <v>0</v>
      </c>
      <c r="CH24">
        <v>0</v>
      </c>
      <c r="CI24">
        <v>1</v>
      </c>
      <c r="CJ24">
        <v>0</v>
      </c>
      <c r="CK24">
        <v>1</v>
      </c>
      <c r="CL24">
        <v>1</v>
      </c>
      <c r="CM24">
        <v>0</v>
      </c>
      <c r="CN24">
        <v>0</v>
      </c>
      <c r="CO24">
        <v>0</v>
      </c>
      <c r="CQ24" t="s">
        <v>361</v>
      </c>
      <c r="CR24">
        <v>1</v>
      </c>
      <c r="CS24">
        <v>2</v>
      </c>
      <c r="CU24">
        <v>2</v>
      </c>
      <c r="CW24">
        <v>1</v>
      </c>
      <c r="CY24" t="s">
        <v>362</v>
      </c>
      <c r="CZ24">
        <v>1</v>
      </c>
      <c r="DB24">
        <v>3</v>
      </c>
      <c r="DD24" t="s">
        <v>363</v>
      </c>
      <c r="DE24">
        <v>1</v>
      </c>
      <c r="DF24" t="s">
        <v>364</v>
      </c>
      <c r="DG24">
        <v>4</v>
      </c>
      <c r="DI24">
        <v>0</v>
      </c>
      <c r="DJ24">
        <v>1</v>
      </c>
      <c r="DK24">
        <v>0</v>
      </c>
      <c r="DL24">
        <v>1</v>
      </c>
      <c r="DM24">
        <v>0</v>
      </c>
      <c r="DN24">
        <v>0</v>
      </c>
      <c r="DO24">
        <v>0</v>
      </c>
      <c r="DP24">
        <v>1</v>
      </c>
      <c r="DQ24">
        <v>0</v>
      </c>
      <c r="DR24">
        <v>0</v>
      </c>
      <c r="DT24">
        <v>0</v>
      </c>
      <c r="DU24">
        <v>1</v>
      </c>
      <c r="DV24">
        <v>1</v>
      </c>
      <c r="DW24">
        <v>1</v>
      </c>
      <c r="DX24">
        <v>1</v>
      </c>
      <c r="DY24">
        <v>0</v>
      </c>
      <c r="DZ24">
        <v>0</v>
      </c>
      <c r="EA24">
        <v>1</v>
      </c>
      <c r="EB24">
        <v>0</v>
      </c>
      <c r="EC24">
        <v>1</v>
      </c>
      <c r="ED24">
        <v>1</v>
      </c>
      <c r="EE24">
        <v>0</v>
      </c>
      <c r="EF24">
        <v>0</v>
      </c>
      <c r="EI24" t="s">
        <v>365</v>
      </c>
      <c r="EJ24">
        <v>1</v>
      </c>
      <c r="EK24">
        <v>1</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t="s">
        <v>366</v>
      </c>
      <c r="FG24">
        <v>0</v>
      </c>
      <c r="FH24">
        <v>0</v>
      </c>
      <c r="FI24">
        <v>0</v>
      </c>
      <c r="FJ24">
        <v>0</v>
      </c>
      <c r="FK24">
        <v>0</v>
      </c>
      <c r="FL24">
        <v>0</v>
      </c>
      <c r="FM24">
        <v>0</v>
      </c>
      <c r="FN24">
        <v>0</v>
      </c>
      <c r="FO24">
        <v>0</v>
      </c>
      <c r="FP24">
        <v>0</v>
      </c>
      <c r="FQ24">
        <v>0</v>
      </c>
      <c r="FR24">
        <v>0</v>
      </c>
      <c r="FS24">
        <v>0</v>
      </c>
      <c r="FT24">
        <v>0</v>
      </c>
      <c r="FU24">
        <v>0</v>
      </c>
      <c r="FV24">
        <v>0</v>
      </c>
      <c r="FW24">
        <v>0</v>
      </c>
      <c r="FX24">
        <v>1</v>
      </c>
      <c r="FY24">
        <v>0</v>
      </c>
      <c r="GJ24" t="s">
        <v>367</v>
      </c>
      <c r="GK24">
        <v>1</v>
      </c>
      <c r="GL24">
        <v>0</v>
      </c>
      <c r="GM24">
        <v>1</v>
      </c>
      <c r="GN24">
        <v>1</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G24">
        <v>0</v>
      </c>
      <c r="IH24">
        <v>1</v>
      </c>
      <c r="II24">
        <v>1</v>
      </c>
      <c r="IJ24">
        <v>1</v>
      </c>
      <c r="IK24">
        <v>0</v>
      </c>
      <c r="IL24">
        <v>0</v>
      </c>
      <c r="IM24">
        <v>0</v>
      </c>
      <c r="IN24">
        <v>0</v>
      </c>
      <c r="IO24">
        <v>0</v>
      </c>
      <c r="IP24">
        <v>0</v>
      </c>
      <c r="IQ24">
        <v>0</v>
      </c>
      <c r="IS24">
        <v>2</v>
      </c>
    </row>
    <row r="25" spans="1:258" x14ac:dyDescent="0.35">
      <c r="A25">
        <v>393225</v>
      </c>
      <c r="C25">
        <v>1</v>
      </c>
      <c r="D25" t="s">
        <v>368</v>
      </c>
      <c r="E25" t="s">
        <v>369</v>
      </c>
      <c r="F25" t="s">
        <v>332</v>
      </c>
      <c r="G25">
        <v>12</v>
      </c>
      <c r="I25">
        <v>0</v>
      </c>
      <c r="J25">
        <v>0</v>
      </c>
      <c r="K25">
        <v>1</v>
      </c>
      <c r="L25">
        <v>0</v>
      </c>
      <c r="M25">
        <v>0</v>
      </c>
      <c r="N25">
        <v>1</v>
      </c>
      <c r="O25">
        <v>1</v>
      </c>
      <c r="P25">
        <v>1</v>
      </c>
      <c r="Q25">
        <v>0</v>
      </c>
      <c r="R25">
        <v>1</v>
      </c>
      <c r="T25">
        <v>0</v>
      </c>
      <c r="U25">
        <v>1</v>
      </c>
      <c r="V25">
        <v>1</v>
      </c>
      <c r="X25">
        <v>10</v>
      </c>
      <c r="Y25">
        <v>65</v>
      </c>
      <c r="AA25">
        <v>10</v>
      </c>
      <c r="AB25">
        <v>65</v>
      </c>
      <c r="AC25">
        <v>1</v>
      </c>
      <c r="AD25">
        <v>0</v>
      </c>
      <c r="AE25">
        <v>0</v>
      </c>
      <c r="AF25">
        <v>0</v>
      </c>
      <c r="AG25">
        <v>0</v>
      </c>
      <c r="AH25">
        <v>0</v>
      </c>
      <c r="AJ25">
        <v>1</v>
      </c>
      <c r="AL25">
        <v>1</v>
      </c>
      <c r="AN25">
        <v>1</v>
      </c>
      <c r="AO25">
        <v>1</v>
      </c>
      <c r="AP25">
        <v>5</v>
      </c>
      <c r="AQ25">
        <v>1</v>
      </c>
      <c r="AR25">
        <v>6</v>
      </c>
      <c r="AS25">
        <v>2</v>
      </c>
      <c r="AT25">
        <v>2</v>
      </c>
      <c r="AU25">
        <v>1</v>
      </c>
      <c r="AV25">
        <v>0</v>
      </c>
      <c r="AW25">
        <v>0</v>
      </c>
      <c r="AX25">
        <v>0</v>
      </c>
      <c r="AY25">
        <v>0</v>
      </c>
      <c r="AZ25">
        <v>0</v>
      </c>
      <c r="BA25">
        <v>1</v>
      </c>
      <c r="BB25" t="s">
        <v>370</v>
      </c>
      <c r="BC25">
        <v>0</v>
      </c>
      <c r="BD25">
        <v>0</v>
      </c>
      <c r="BE25">
        <v>1</v>
      </c>
      <c r="BF25">
        <v>1</v>
      </c>
      <c r="BG25">
        <v>1</v>
      </c>
      <c r="BH25">
        <v>0</v>
      </c>
      <c r="BI25">
        <v>0</v>
      </c>
      <c r="BJ25">
        <v>0</v>
      </c>
      <c r="BK25">
        <v>1</v>
      </c>
      <c r="BL25">
        <v>0</v>
      </c>
      <c r="BM25">
        <v>0</v>
      </c>
      <c r="BN25">
        <v>0</v>
      </c>
      <c r="BO25">
        <v>0</v>
      </c>
      <c r="BP25">
        <v>1</v>
      </c>
      <c r="BQ25">
        <v>0</v>
      </c>
      <c r="BR25">
        <v>0</v>
      </c>
      <c r="BS25">
        <v>0</v>
      </c>
      <c r="BU25">
        <v>9</v>
      </c>
      <c r="BV25">
        <v>4</v>
      </c>
      <c r="BX25">
        <v>3</v>
      </c>
      <c r="BY25">
        <v>3</v>
      </c>
      <c r="DI25">
        <v>0</v>
      </c>
      <c r="DJ25">
        <v>1</v>
      </c>
      <c r="DK25">
        <v>1</v>
      </c>
      <c r="DL25">
        <v>1</v>
      </c>
      <c r="DM25">
        <v>0</v>
      </c>
      <c r="DN25">
        <v>1</v>
      </c>
      <c r="DO25">
        <v>0</v>
      </c>
      <c r="DP25">
        <v>0</v>
      </c>
      <c r="DQ25">
        <v>0</v>
      </c>
      <c r="DR25">
        <v>0</v>
      </c>
      <c r="DT25">
        <v>0</v>
      </c>
      <c r="DU25">
        <v>0</v>
      </c>
      <c r="DV25">
        <v>1</v>
      </c>
      <c r="DW25">
        <v>0</v>
      </c>
      <c r="DX25">
        <v>0</v>
      </c>
      <c r="DY25">
        <v>0</v>
      </c>
      <c r="DZ25">
        <v>0</v>
      </c>
      <c r="EA25">
        <v>0</v>
      </c>
      <c r="EB25">
        <v>0</v>
      </c>
      <c r="EC25">
        <v>0</v>
      </c>
      <c r="ED25">
        <v>1</v>
      </c>
      <c r="EE25">
        <v>0</v>
      </c>
      <c r="EF25">
        <v>0</v>
      </c>
      <c r="FF25" t="s">
        <v>371</v>
      </c>
      <c r="FG25">
        <v>1</v>
      </c>
      <c r="FH25">
        <v>0</v>
      </c>
      <c r="FI25">
        <v>1</v>
      </c>
      <c r="FJ25">
        <v>0</v>
      </c>
      <c r="FK25">
        <v>0</v>
      </c>
      <c r="FL25">
        <v>0</v>
      </c>
      <c r="FM25">
        <v>0</v>
      </c>
      <c r="FN25">
        <v>0</v>
      </c>
      <c r="FO25">
        <v>0</v>
      </c>
      <c r="FP25">
        <v>0</v>
      </c>
      <c r="FQ25">
        <v>0</v>
      </c>
      <c r="FR25">
        <v>0</v>
      </c>
      <c r="FS25">
        <v>0</v>
      </c>
      <c r="FT25">
        <v>0</v>
      </c>
      <c r="FU25">
        <v>0</v>
      </c>
      <c r="FV25">
        <v>0</v>
      </c>
      <c r="FW25">
        <v>0</v>
      </c>
      <c r="FX25">
        <v>0</v>
      </c>
      <c r="FY25">
        <v>0</v>
      </c>
      <c r="IG25">
        <v>1</v>
      </c>
      <c r="IH25">
        <v>1</v>
      </c>
      <c r="II25">
        <v>0</v>
      </c>
      <c r="IJ25">
        <v>0</v>
      </c>
      <c r="IK25">
        <v>0</v>
      </c>
      <c r="IL25">
        <v>0</v>
      </c>
      <c r="IM25">
        <v>1</v>
      </c>
      <c r="IN25">
        <v>0</v>
      </c>
      <c r="IO25">
        <v>0</v>
      </c>
      <c r="IP25">
        <v>0</v>
      </c>
      <c r="IQ25">
        <v>0</v>
      </c>
      <c r="IS25">
        <v>1</v>
      </c>
      <c r="IT25">
        <v>1</v>
      </c>
      <c r="IU25">
        <v>0</v>
      </c>
      <c r="IV25">
        <v>0</v>
      </c>
      <c r="IW25">
        <v>0</v>
      </c>
    </row>
    <row r="26" spans="1:258" x14ac:dyDescent="0.35">
      <c r="A26">
        <v>405382</v>
      </c>
      <c r="C26">
        <v>1</v>
      </c>
      <c r="D26" t="s">
        <v>372</v>
      </c>
      <c r="E26" t="s">
        <v>373</v>
      </c>
      <c r="F26" t="s">
        <v>332</v>
      </c>
      <c r="G26">
        <v>3</v>
      </c>
      <c r="I26">
        <v>1</v>
      </c>
      <c r="J26">
        <v>0</v>
      </c>
      <c r="K26">
        <v>1</v>
      </c>
      <c r="L26">
        <v>0</v>
      </c>
      <c r="M26">
        <v>0</v>
      </c>
      <c r="N26">
        <v>1</v>
      </c>
      <c r="O26">
        <v>0</v>
      </c>
      <c r="P26">
        <v>1</v>
      </c>
      <c r="Q26">
        <v>0</v>
      </c>
      <c r="R26">
        <v>1</v>
      </c>
      <c r="T26">
        <v>1</v>
      </c>
      <c r="U26">
        <v>1</v>
      </c>
      <c r="V26">
        <v>1</v>
      </c>
      <c r="W26">
        <v>5</v>
      </c>
      <c r="X26">
        <v>30</v>
      </c>
      <c r="Y26">
        <v>24</v>
      </c>
      <c r="Z26">
        <v>5</v>
      </c>
      <c r="AA26">
        <v>30</v>
      </c>
      <c r="AB26">
        <v>24</v>
      </c>
      <c r="AC26">
        <v>1</v>
      </c>
      <c r="AD26">
        <v>0</v>
      </c>
      <c r="AE26">
        <v>1</v>
      </c>
      <c r="AF26">
        <v>0</v>
      </c>
      <c r="AG26">
        <v>0</v>
      </c>
      <c r="AH26">
        <v>0</v>
      </c>
      <c r="AJ26">
        <v>5</v>
      </c>
      <c r="AL26">
        <v>1</v>
      </c>
      <c r="AN26">
        <v>1</v>
      </c>
      <c r="AO26">
        <v>1</v>
      </c>
      <c r="AP26">
        <v>3</v>
      </c>
      <c r="AQ26">
        <v>2</v>
      </c>
      <c r="AS26">
        <v>2</v>
      </c>
      <c r="AT26">
        <v>1</v>
      </c>
      <c r="AU26">
        <v>1</v>
      </c>
      <c r="AV26">
        <v>1</v>
      </c>
      <c r="AW26">
        <v>1</v>
      </c>
      <c r="AX26">
        <v>0</v>
      </c>
      <c r="AY26">
        <v>0</v>
      </c>
      <c r="AZ26">
        <v>0</v>
      </c>
      <c r="BA26">
        <v>0</v>
      </c>
      <c r="BC26">
        <v>0</v>
      </c>
      <c r="BD26">
        <v>0</v>
      </c>
      <c r="BE26">
        <v>0</v>
      </c>
      <c r="BF26">
        <v>0</v>
      </c>
      <c r="BG26">
        <v>0</v>
      </c>
      <c r="BH26">
        <v>1</v>
      </c>
      <c r="BI26">
        <v>0</v>
      </c>
      <c r="BJ26">
        <v>1</v>
      </c>
      <c r="BK26">
        <v>1</v>
      </c>
      <c r="BL26">
        <v>0</v>
      </c>
      <c r="BM26">
        <v>0</v>
      </c>
      <c r="BN26">
        <v>0</v>
      </c>
      <c r="BO26">
        <v>0</v>
      </c>
      <c r="BP26">
        <v>0</v>
      </c>
      <c r="BQ26">
        <v>1</v>
      </c>
      <c r="BR26">
        <v>0</v>
      </c>
      <c r="BS26">
        <v>0</v>
      </c>
      <c r="BU26">
        <v>6</v>
      </c>
      <c r="BV26">
        <v>4</v>
      </c>
      <c r="BX26">
        <v>4</v>
      </c>
      <c r="BY26">
        <v>3</v>
      </c>
      <c r="DI26">
        <v>0</v>
      </c>
      <c r="DJ26">
        <v>0</v>
      </c>
      <c r="DK26">
        <v>1</v>
      </c>
      <c r="DL26">
        <v>0</v>
      </c>
      <c r="DM26">
        <v>0</v>
      </c>
      <c r="DN26">
        <v>1</v>
      </c>
      <c r="DO26">
        <v>0</v>
      </c>
      <c r="DP26">
        <v>0</v>
      </c>
      <c r="DQ26">
        <v>1</v>
      </c>
      <c r="DR26">
        <v>0</v>
      </c>
      <c r="DS26" t="s">
        <v>374</v>
      </c>
      <c r="DT26">
        <v>0</v>
      </c>
      <c r="DU26">
        <v>0</v>
      </c>
      <c r="DV26">
        <v>0</v>
      </c>
      <c r="DW26">
        <v>0</v>
      </c>
      <c r="DX26">
        <v>1</v>
      </c>
      <c r="DY26">
        <v>0</v>
      </c>
      <c r="DZ26">
        <v>0</v>
      </c>
      <c r="EA26">
        <v>0</v>
      </c>
      <c r="EB26">
        <v>0</v>
      </c>
      <c r="EC26">
        <v>0</v>
      </c>
      <c r="ED26">
        <v>1</v>
      </c>
      <c r="EE26">
        <v>0</v>
      </c>
      <c r="EF26">
        <v>0</v>
      </c>
      <c r="IG26">
        <v>0</v>
      </c>
      <c r="IH26">
        <v>0</v>
      </c>
      <c r="II26">
        <v>0</v>
      </c>
      <c r="IJ26">
        <v>0</v>
      </c>
      <c r="IK26">
        <v>0</v>
      </c>
      <c r="IL26">
        <v>0</v>
      </c>
      <c r="IM26">
        <v>0</v>
      </c>
      <c r="IN26">
        <v>0</v>
      </c>
      <c r="IO26">
        <v>0</v>
      </c>
      <c r="IP26">
        <v>0</v>
      </c>
      <c r="IQ26">
        <v>1</v>
      </c>
      <c r="IS26">
        <v>1</v>
      </c>
      <c r="IT26">
        <v>1</v>
      </c>
      <c r="IU26">
        <v>1</v>
      </c>
      <c r="IV26">
        <v>0</v>
      </c>
      <c r="IW26">
        <v>0</v>
      </c>
    </row>
    <row r="27" spans="1:258" x14ac:dyDescent="0.35">
      <c r="A27">
        <v>405229</v>
      </c>
      <c r="C27">
        <v>1</v>
      </c>
      <c r="D27" t="s">
        <v>375</v>
      </c>
      <c r="E27" t="s">
        <v>376</v>
      </c>
      <c r="F27" t="s">
        <v>377</v>
      </c>
      <c r="G27">
        <v>10</v>
      </c>
    </row>
    <row r="28" spans="1:258" x14ac:dyDescent="0.35">
      <c r="A28">
        <v>405350</v>
      </c>
      <c r="C28">
        <v>1</v>
      </c>
      <c r="D28" t="s">
        <v>378</v>
      </c>
      <c r="E28" t="s">
        <v>379</v>
      </c>
      <c r="F28" t="s">
        <v>377</v>
      </c>
      <c r="G28">
        <v>3</v>
      </c>
      <c r="I28">
        <v>0</v>
      </c>
      <c r="J28">
        <v>0</v>
      </c>
      <c r="K28">
        <v>1</v>
      </c>
      <c r="L28">
        <v>0</v>
      </c>
      <c r="M28">
        <v>0</v>
      </c>
      <c r="N28">
        <v>0</v>
      </c>
      <c r="O28">
        <v>0</v>
      </c>
      <c r="P28">
        <v>0</v>
      </c>
      <c r="Q28">
        <v>0</v>
      </c>
      <c r="R28">
        <v>1</v>
      </c>
      <c r="T28">
        <v>1</v>
      </c>
      <c r="U28">
        <v>1</v>
      </c>
      <c r="V28">
        <v>1</v>
      </c>
      <c r="W28">
        <v>12</v>
      </c>
      <c r="X28">
        <v>24</v>
      </c>
      <c r="Y28">
        <v>14</v>
      </c>
      <c r="Z28">
        <v>12</v>
      </c>
      <c r="AA28">
        <v>24</v>
      </c>
      <c r="AB28">
        <v>14</v>
      </c>
      <c r="AC28">
        <v>1</v>
      </c>
      <c r="AD28">
        <v>1</v>
      </c>
      <c r="AE28">
        <v>0</v>
      </c>
      <c r="AF28">
        <v>0</v>
      </c>
      <c r="AG28">
        <v>0</v>
      </c>
      <c r="AH28">
        <v>0</v>
      </c>
      <c r="AJ28">
        <v>1</v>
      </c>
      <c r="AL28">
        <v>1</v>
      </c>
      <c r="AN28">
        <v>1</v>
      </c>
      <c r="AO28">
        <v>1</v>
      </c>
      <c r="AP28">
        <v>1</v>
      </c>
      <c r="AQ28">
        <v>1</v>
      </c>
      <c r="AR28">
        <v>1</v>
      </c>
      <c r="AS28">
        <v>1</v>
      </c>
      <c r="AT28">
        <v>1</v>
      </c>
      <c r="AU28">
        <v>1</v>
      </c>
      <c r="AV28">
        <v>1</v>
      </c>
      <c r="AW28">
        <v>0</v>
      </c>
      <c r="AX28">
        <v>0</v>
      </c>
      <c r="AY28">
        <v>0</v>
      </c>
      <c r="AZ28">
        <v>0</v>
      </c>
      <c r="BA28">
        <v>0</v>
      </c>
      <c r="BC28">
        <v>0</v>
      </c>
      <c r="BD28">
        <v>0</v>
      </c>
      <c r="BE28">
        <v>1</v>
      </c>
      <c r="BF28">
        <v>1</v>
      </c>
      <c r="BG28">
        <v>0</v>
      </c>
      <c r="BH28">
        <v>0</v>
      </c>
      <c r="BI28">
        <v>0</v>
      </c>
      <c r="BJ28">
        <v>0</v>
      </c>
      <c r="BK28">
        <v>0</v>
      </c>
      <c r="BL28">
        <v>1</v>
      </c>
      <c r="BM28">
        <v>0</v>
      </c>
      <c r="BN28">
        <v>0</v>
      </c>
      <c r="BO28">
        <v>0</v>
      </c>
      <c r="BP28">
        <v>0</v>
      </c>
      <c r="BQ28">
        <v>0</v>
      </c>
      <c r="BR28">
        <v>0</v>
      </c>
      <c r="BS28">
        <v>0</v>
      </c>
      <c r="BU28">
        <v>5</v>
      </c>
      <c r="BV28">
        <v>3</v>
      </c>
      <c r="BW28" t="s">
        <v>380</v>
      </c>
      <c r="BX28">
        <v>3</v>
      </c>
      <c r="BY28">
        <v>2</v>
      </c>
      <c r="DI28">
        <v>0</v>
      </c>
      <c r="DJ28">
        <v>0</v>
      </c>
      <c r="DK28">
        <v>0</v>
      </c>
      <c r="DL28">
        <v>0</v>
      </c>
      <c r="DM28">
        <v>1</v>
      </c>
      <c r="DN28">
        <v>0</v>
      </c>
      <c r="DO28">
        <v>0</v>
      </c>
      <c r="DP28">
        <v>0</v>
      </c>
      <c r="DQ28">
        <v>0</v>
      </c>
      <c r="DR28">
        <v>0</v>
      </c>
      <c r="DT28">
        <v>0</v>
      </c>
      <c r="DU28">
        <v>0</v>
      </c>
      <c r="DV28">
        <v>0</v>
      </c>
      <c r="DW28">
        <v>1</v>
      </c>
      <c r="DX28">
        <v>0</v>
      </c>
      <c r="DY28">
        <v>0</v>
      </c>
      <c r="DZ28">
        <v>0</v>
      </c>
      <c r="EA28">
        <v>0</v>
      </c>
      <c r="EB28">
        <v>0</v>
      </c>
      <c r="EC28">
        <v>0</v>
      </c>
      <c r="ED28">
        <v>0</v>
      </c>
      <c r="EE28">
        <v>0</v>
      </c>
      <c r="EF28">
        <v>0</v>
      </c>
      <c r="IG28">
        <v>0</v>
      </c>
      <c r="IH28">
        <v>0</v>
      </c>
      <c r="II28">
        <v>0</v>
      </c>
      <c r="IJ28">
        <v>0</v>
      </c>
      <c r="IK28">
        <v>0</v>
      </c>
      <c r="IL28">
        <v>0</v>
      </c>
      <c r="IM28">
        <v>0</v>
      </c>
      <c r="IN28">
        <v>0</v>
      </c>
      <c r="IO28">
        <v>0</v>
      </c>
      <c r="IP28">
        <v>0</v>
      </c>
      <c r="IQ28">
        <v>1</v>
      </c>
      <c r="IS28">
        <v>1</v>
      </c>
      <c r="IT28">
        <v>1</v>
      </c>
      <c r="IU28">
        <v>0</v>
      </c>
      <c r="IV28">
        <v>0</v>
      </c>
      <c r="IW28">
        <v>0</v>
      </c>
    </row>
    <row r="29" spans="1:258" x14ac:dyDescent="0.35">
      <c r="A29">
        <v>405238</v>
      </c>
      <c r="C29">
        <v>1</v>
      </c>
      <c r="D29" t="s">
        <v>381</v>
      </c>
      <c r="E29" t="s">
        <v>382</v>
      </c>
      <c r="F29" t="s">
        <v>383</v>
      </c>
      <c r="G29">
        <v>5</v>
      </c>
      <c r="I29">
        <v>1</v>
      </c>
      <c r="J29">
        <v>0</v>
      </c>
      <c r="K29">
        <v>0</v>
      </c>
      <c r="L29">
        <v>0</v>
      </c>
      <c r="M29">
        <v>0</v>
      </c>
      <c r="N29">
        <v>0</v>
      </c>
      <c r="O29">
        <v>0</v>
      </c>
      <c r="P29">
        <v>0</v>
      </c>
      <c r="Q29">
        <v>0</v>
      </c>
      <c r="R29">
        <v>1</v>
      </c>
      <c r="T29">
        <v>1</v>
      </c>
      <c r="U29">
        <v>1</v>
      </c>
      <c r="V29">
        <v>1</v>
      </c>
      <c r="W29">
        <v>3</v>
      </c>
      <c r="X29">
        <v>13</v>
      </c>
      <c r="Y29">
        <v>0</v>
      </c>
      <c r="Z29">
        <v>3</v>
      </c>
      <c r="AA29">
        <v>13</v>
      </c>
      <c r="AC29">
        <v>1</v>
      </c>
      <c r="AD29">
        <v>0</v>
      </c>
      <c r="AE29">
        <v>0</v>
      </c>
      <c r="AF29">
        <v>0</v>
      </c>
      <c r="AG29">
        <v>0</v>
      </c>
      <c r="AH29">
        <v>0</v>
      </c>
      <c r="AJ29">
        <v>1</v>
      </c>
      <c r="AL29">
        <v>1</v>
      </c>
      <c r="AN29">
        <v>1</v>
      </c>
      <c r="AO29">
        <v>1</v>
      </c>
      <c r="AP29">
        <v>1</v>
      </c>
      <c r="AQ29">
        <v>1</v>
      </c>
      <c r="AR29">
        <v>1</v>
      </c>
      <c r="AS29">
        <v>1</v>
      </c>
      <c r="AT29">
        <v>1</v>
      </c>
      <c r="AU29">
        <v>1</v>
      </c>
      <c r="AV29">
        <v>0</v>
      </c>
      <c r="AW29">
        <v>1</v>
      </c>
      <c r="AX29">
        <v>0</v>
      </c>
      <c r="AY29">
        <v>0</v>
      </c>
      <c r="AZ29">
        <v>0</v>
      </c>
      <c r="BA29">
        <v>0</v>
      </c>
      <c r="BC29">
        <v>0</v>
      </c>
      <c r="BD29">
        <v>0</v>
      </c>
      <c r="BE29">
        <v>1</v>
      </c>
      <c r="BF29">
        <v>0</v>
      </c>
      <c r="BG29">
        <v>0</v>
      </c>
      <c r="BH29">
        <v>0</v>
      </c>
      <c r="BI29">
        <v>0</v>
      </c>
      <c r="BJ29">
        <v>0</v>
      </c>
      <c r="BK29">
        <v>1</v>
      </c>
      <c r="BL29">
        <v>0</v>
      </c>
      <c r="BM29">
        <v>0</v>
      </c>
      <c r="BN29">
        <v>0</v>
      </c>
      <c r="BO29">
        <v>0</v>
      </c>
      <c r="BP29">
        <v>1</v>
      </c>
      <c r="BQ29">
        <v>0</v>
      </c>
      <c r="BR29">
        <v>0</v>
      </c>
      <c r="BS29">
        <v>0</v>
      </c>
      <c r="BU29">
        <v>1</v>
      </c>
      <c r="BV29">
        <v>2</v>
      </c>
      <c r="BW29" t="s">
        <v>384</v>
      </c>
      <c r="BX29">
        <v>2</v>
      </c>
      <c r="BY29">
        <v>2</v>
      </c>
      <c r="DI29">
        <v>0</v>
      </c>
      <c r="DJ29">
        <v>0</v>
      </c>
      <c r="DK29">
        <v>1</v>
      </c>
      <c r="DL29">
        <v>0</v>
      </c>
      <c r="DM29">
        <v>0</v>
      </c>
      <c r="DN29">
        <v>0</v>
      </c>
      <c r="DO29">
        <v>0</v>
      </c>
      <c r="DP29">
        <v>0</v>
      </c>
      <c r="DQ29">
        <v>0</v>
      </c>
      <c r="DR29">
        <v>0</v>
      </c>
      <c r="DT29">
        <v>0</v>
      </c>
      <c r="DU29">
        <v>0</v>
      </c>
      <c r="DV29">
        <v>0</v>
      </c>
      <c r="DW29">
        <v>0</v>
      </c>
      <c r="DX29">
        <v>1</v>
      </c>
      <c r="DY29">
        <v>0</v>
      </c>
      <c r="DZ29">
        <v>0</v>
      </c>
      <c r="EA29">
        <v>0</v>
      </c>
      <c r="EB29">
        <v>0</v>
      </c>
      <c r="EC29">
        <v>0</v>
      </c>
      <c r="ED29">
        <v>0</v>
      </c>
      <c r="EE29">
        <v>0</v>
      </c>
      <c r="EF29">
        <v>0</v>
      </c>
      <c r="IG29">
        <v>0</v>
      </c>
      <c r="IH29">
        <v>0</v>
      </c>
      <c r="II29">
        <v>0</v>
      </c>
      <c r="IJ29">
        <v>0</v>
      </c>
      <c r="IK29">
        <v>0</v>
      </c>
      <c r="IL29">
        <v>0</v>
      </c>
      <c r="IM29">
        <v>1</v>
      </c>
      <c r="IN29">
        <v>0</v>
      </c>
      <c r="IO29">
        <v>0</v>
      </c>
      <c r="IP29">
        <v>0</v>
      </c>
      <c r="IQ29">
        <v>0</v>
      </c>
      <c r="IS29">
        <v>1</v>
      </c>
      <c r="IT29">
        <v>1</v>
      </c>
      <c r="IU29">
        <v>0</v>
      </c>
      <c r="IV29">
        <v>0</v>
      </c>
      <c r="IW29">
        <v>0</v>
      </c>
    </row>
    <row r="30" spans="1:258" x14ac:dyDescent="0.35">
      <c r="A30">
        <v>405498</v>
      </c>
      <c r="C30">
        <v>1</v>
      </c>
      <c r="D30" t="s">
        <v>385</v>
      </c>
      <c r="E30" t="s">
        <v>386</v>
      </c>
      <c r="F30" t="s">
        <v>387</v>
      </c>
      <c r="G30">
        <v>3</v>
      </c>
      <c r="I30">
        <v>0</v>
      </c>
      <c r="J30">
        <v>0</v>
      </c>
      <c r="K30">
        <v>1</v>
      </c>
      <c r="L30">
        <v>0</v>
      </c>
      <c r="M30">
        <v>0</v>
      </c>
      <c r="N30">
        <v>0</v>
      </c>
      <c r="O30">
        <v>0</v>
      </c>
      <c r="P30">
        <v>1</v>
      </c>
      <c r="Q30">
        <v>0</v>
      </c>
      <c r="R30">
        <v>1</v>
      </c>
      <c r="T30">
        <v>1</v>
      </c>
      <c r="U30">
        <v>1</v>
      </c>
      <c r="V30">
        <v>0</v>
      </c>
      <c r="W30">
        <v>4</v>
      </c>
      <c r="X30">
        <v>5</v>
      </c>
      <c r="Z30">
        <v>4</v>
      </c>
      <c r="AA30">
        <v>5</v>
      </c>
      <c r="AC30">
        <v>1</v>
      </c>
      <c r="AD30">
        <v>1</v>
      </c>
      <c r="AE30">
        <v>0</v>
      </c>
      <c r="AF30">
        <v>0</v>
      </c>
      <c r="AG30">
        <v>0</v>
      </c>
      <c r="AH30">
        <v>0</v>
      </c>
      <c r="AJ30">
        <v>1</v>
      </c>
      <c r="AL30">
        <v>1</v>
      </c>
      <c r="AN30">
        <v>1</v>
      </c>
      <c r="AO30">
        <v>1</v>
      </c>
      <c r="AP30">
        <v>3</v>
      </c>
      <c r="AQ30">
        <v>1</v>
      </c>
      <c r="AR30">
        <v>4</v>
      </c>
      <c r="AS30">
        <v>1</v>
      </c>
      <c r="AT30">
        <v>1</v>
      </c>
      <c r="AU30">
        <v>1</v>
      </c>
      <c r="AV30">
        <v>1</v>
      </c>
      <c r="AW30">
        <v>1</v>
      </c>
      <c r="AX30">
        <v>0</v>
      </c>
      <c r="AY30">
        <v>0</v>
      </c>
      <c r="AZ30">
        <v>0</v>
      </c>
      <c r="BA30">
        <v>0</v>
      </c>
      <c r="BC30">
        <v>0</v>
      </c>
      <c r="BD30">
        <v>0</v>
      </c>
      <c r="BE30">
        <v>1</v>
      </c>
      <c r="BF30">
        <v>1</v>
      </c>
      <c r="BG30">
        <v>1</v>
      </c>
      <c r="BH30">
        <v>0</v>
      </c>
      <c r="BI30">
        <v>0</v>
      </c>
      <c r="BJ30">
        <v>0</v>
      </c>
      <c r="BK30">
        <v>0</v>
      </c>
      <c r="BL30">
        <v>0</v>
      </c>
      <c r="BM30">
        <v>0</v>
      </c>
      <c r="BN30">
        <v>0</v>
      </c>
      <c r="BO30">
        <v>0</v>
      </c>
      <c r="BP30">
        <v>1</v>
      </c>
      <c r="BQ30">
        <v>0</v>
      </c>
      <c r="BR30">
        <v>0</v>
      </c>
      <c r="BS30">
        <v>0</v>
      </c>
      <c r="BU30">
        <v>5</v>
      </c>
      <c r="BV30">
        <v>3</v>
      </c>
      <c r="BW30" t="s">
        <v>388</v>
      </c>
      <c r="BX30">
        <v>3</v>
      </c>
      <c r="BY30">
        <v>3</v>
      </c>
      <c r="DI30">
        <v>0</v>
      </c>
      <c r="DJ30">
        <v>0</v>
      </c>
      <c r="DK30">
        <v>1</v>
      </c>
      <c r="DL30">
        <v>0</v>
      </c>
      <c r="DM30">
        <v>0</v>
      </c>
      <c r="DN30">
        <v>0</v>
      </c>
      <c r="DO30">
        <v>0</v>
      </c>
      <c r="DP30">
        <v>1</v>
      </c>
      <c r="DQ30">
        <v>0</v>
      </c>
      <c r="DR30">
        <v>0</v>
      </c>
      <c r="DT30">
        <v>0</v>
      </c>
      <c r="DU30">
        <v>0</v>
      </c>
      <c r="DV30">
        <v>0</v>
      </c>
      <c r="DW30">
        <v>0</v>
      </c>
      <c r="DX30">
        <v>0</v>
      </c>
      <c r="DY30">
        <v>0</v>
      </c>
      <c r="DZ30">
        <v>0</v>
      </c>
      <c r="EA30">
        <v>1</v>
      </c>
      <c r="EB30">
        <v>0</v>
      </c>
      <c r="EC30">
        <v>0</v>
      </c>
      <c r="ED30">
        <v>0</v>
      </c>
      <c r="EE30">
        <v>0</v>
      </c>
      <c r="EF30">
        <v>0</v>
      </c>
      <c r="IG30">
        <v>1</v>
      </c>
      <c r="IH30">
        <v>0</v>
      </c>
      <c r="II30">
        <v>0</v>
      </c>
      <c r="IJ30">
        <v>0</v>
      </c>
      <c r="IK30">
        <v>0</v>
      </c>
      <c r="IL30">
        <v>0</v>
      </c>
      <c r="IM30">
        <v>0</v>
      </c>
      <c r="IN30">
        <v>0</v>
      </c>
      <c r="IO30">
        <v>0</v>
      </c>
      <c r="IP30">
        <v>0</v>
      </c>
      <c r="IQ30">
        <v>0</v>
      </c>
      <c r="IS30">
        <v>2</v>
      </c>
    </row>
    <row r="31" spans="1:258" x14ac:dyDescent="0.35">
      <c r="A31">
        <v>363211</v>
      </c>
      <c r="C31">
        <v>1</v>
      </c>
      <c r="D31" t="s">
        <v>389</v>
      </c>
      <c r="E31" t="s">
        <v>390</v>
      </c>
      <c r="F31" t="s">
        <v>377</v>
      </c>
      <c r="G31">
        <v>5</v>
      </c>
      <c r="I31">
        <v>1</v>
      </c>
      <c r="J31">
        <v>1</v>
      </c>
      <c r="K31">
        <v>1</v>
      </c>
      <c r="L31">
        <v>0</v>
      </c>
      <c r="M31">
        <v>0</v>
      </c>
      <c r="N31">
        <v>0</v>
      </c>
      <c r="O31">
        <v>0</v>
      </c>
      <c r="P31">
        <v>0</v>
      </c>
      <c r="Q31">
        <v>0</v>
      </c>
      <c r="R31">
        <v>1</v>
      </c>
      <c r="T31">
        <v>1</v>
      </c>
      <c r="U31">
        <v>1</v>
      </c>
      <c r="V31">
        <v>1</v>
      </c>
      <c r="W31">
        <v>30</v>
      </c>
      <c r="X31">
        <v>37</v>
      </c>
      <c r="Y31">
        <v>33</v>
      </c>
      <c r="Z31">
        <v>30</v>
      </c>
      <c r="AA31">
        <v>37</v>
      </c>
      <c r="AB31">
        <v>33</v>
      </c>
      <c r="AC31">
        <v>1</v>
      </c>
      <c r="AD31">
        <v>1</v>
      </c>
      <c r="AE31">
        <v>0</v>
      </c>
      <c r="AF31">
        <v>1</v>
      </c>
      <c r="AG31">
        <v>0</v>
      </c>
      <c r="AH31">
        <v>0</v>
      </c>
      <c r="AJ31">
        <v>1</v>
      </c>
      <c r="AL31">
        <v>1</v>
      </c>
      <c r="AN31">
        <v>1</v>
      </c>
      <c r="AO31">
        <v>1</v>
      </c>
      <c r="AP31">
        <v>5</v>
      </c>
      <c r="AQ31">
        <v>2</v>
      </c>
      <c r="AS31">
        <v>2</v>
      </c>
      <c r="AT31">
        <v>1</v>
      </c>
      <c r="AU31">
        <v>1</v>
      </c>
      <c r="AV31">
        <v>1</v>
      </c>
      <c r="AW31">
        <v>0</v>
      </c>
      <c r="AX31">
        <v>0</v>
      </c>
      <c r="AY31">
        <v>0</v>
      </c>
      <c r="AZ31">
        <v>0</v>
      </c>
      <c r="BA31">
        <v>0</v>
      </c>
      <c r="BC31">
        <v>1</v>
      </c>
      <c r="BD31">
        <v>0</v>
      </c>
      <c r="BE31">
        <v>0</v>
      </c>
      <c r="BF31">
        <v>1</v>
      </c>
      <c r="BG31">
        <v>1</v>
      </c>
      <c r="BH31">
        <v>0</v>
      </c>
      <c r="BI31">
        <v>0</v>
      </c>
      <c r="BJ31">
        <v>0</v>
      </c>
      <c r="BK31">
        <v>1</v>
      </c>
      <c r="BL31">
        <v>1</v>
      </c>
      <c r="BM31">
        <v>1</v>
      </c>
      <c r="BN31">
        <v>1</v>
      </c>
      <c r="BO31">
        <v>0</v>
      </c>
      <c r="BP31">
        <v>1</v>
      </c>
      <c r="BQ31">
        <v>0</v>
      </c>
      <c r="BR31">
        <v>0</v>
      </c>
      <c r="BS31">
        <v>0</v>
      </c>
      <c r="BU31">
        <v>10</v>
      </c>
      <c r="BV31">
        <v>4</v>
      </c>
      <c r="BX31">
        <v>2</v>
      </c>
      <c r="BY31">
        <v>2</v>
      </c>
      <c r="DI31">
        <v>1</v>
      </c>
      <c r="DJ31">
        <v>0</v>
      </c>
      <c r="DK31">
        <v>1</v>
      </c>
      <c r="DL31">
        <v>1</v>
      </c>
      <c r="DM31">
        <v>1</v>
      </c>
      <c r="DN31">
        <v>1</v>
      </c>
      <c r="DO31">
        <v>0</v>
      </c>
      <c r="DP31">
        <v>0</v>
      </c>
      <c r="DQ31">
        <v>0</v>
      </c>
      <c r="DR31">
        <v>0</v>
      </c>
      <c r="DT31">
        <v>1</v>
      </c>
      <c r="DU31">
        <v>1</v>
      </c>
      <c r="DV31">
        <v>1</v>
      </c>
      <c r="DW31">
        <v>1</v>
      </c>
      <c r="DX31">
        <v>1</v>
      </c>
      <c r="DY31">
        <v>0</v>
      </c>
      <c r="DZ31">
        <v>0</v>
      </c>
      <c r="EA31">
        <v>1</v>
      </c>
      <c r="EB31">
        <v>1</v>
      </c>
      <c r="EC31">
        <v>1</v>
      </c>
      <c r="ED31">
        <v>1</v>
      </c>
      <c r="EE31">
        <v>0</v>
      </c>
      <c r="EF31">
        <v>0</v>
      </c>
      <c r="EG31" t="s">
        <v>391</v>
      </c>
      <c r="EH31">
        <v>8</v>
      </c>
      <c r="EI31" t="s">
        <v>392</v>
      </c>
      <c r="EJ31">
        <v>0</v>
      </c>
      <c r="EK31">
        <v>0</v>
      </c>
      <c r="EL31">
        <v>0</v>
      </c>
      <c r="EM31">
        <v>0</v>
      </c>
      <c r="EN31">
        <v>0</v>
      </c>
      <c r="EO31">
        <v>0</v>
      </c>
      <c r="EP31">
        <v>0</v>
      </c>
      <c r="EQ31">
        <v>0</v>
      </c>
      <c r="ER31">
        <v>0</v>
      </c>
      <c r="ES31">
        <v>0</v>
      </c>
      <c r="ET31">
        <v>0</v>
      </c>
      <c r="EU31">
        <v>0</v>
      </c>
      <c r="EV31">
        <v>0</v>
      </c>
      <c r="EW31">
        <v>0</v>
      </c>
      <c r="EX31">
        <v>0</v>
      </c>
      <c r="EY31">
        <v>1</v>
      </c>
      <c r="EZ31">
        <v>0</v>
      </c>
      <c r="FA31">
        <v>0</v>
      </c>
      <c r="FB31">
        <v>0</v>
      </c>
      <c r="FC31">
        <v>0</v>
      </c>
      <c r="FD31">
        <v>0</v>
      </c>
      <c r="FE31">
        <v>0</v>
      </c>
      <c r="FF31" t="s">
        <v>300</v>
      </c>
      <c r="FG31">
        <v>1</v>
      </c>
      <c r="FH31">
        <v>0</v>
      </c>
      <c r="FI31">
        <v>0</v>
      </c>
      <c r="FJ31">
        <v>0</v>
      </c>
      <c r="FK31">
        <v>0</v>
      </c>
      <c r="FL31">
        <v>0</v>
      </c>
      <c r="FM31">
        <v>0</v>
      </c>
      <c r="FN31">
        <v>0</v>
      </c>
      <c r="FO31">
        <v>0</v>
      </c>
      <c r="FP31">
        <v>0</v>
      </c>
      <c r="FQ31">
        <v>0</v>
      </c>
      <c r="FR31">
        <v>0</v>
      </c>
      <c r="FS31">
        <v>0</v>
      </c>
      <c r="FT31">
        <v>0</v>
      </c>
      <c r="FU31">
        <v>0</v>
      </c>
      <c r="FV31">
        <v>0</v>
      </c>
      <c r="FW31">
        <v>0</v>
      </c>
      <c r="FX31">
        <v>0</v>
      </c>
      <c r="FY31">
        <v>0</v>
      </c>
      <c r="GJ31" t="s">
        <v>393</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1</v>
      </c>
      <c r="IG31">
        <v>1</v>
      </c>
      <c r="IH31">
        <v>1</v>
      </c>
      <c r="II31">
        <v>1</v>
      </c>
      <c r="IJ31">
        <v>0</v>
      </c>
      <c r="IK31">
        <v>0</v>
      </c>
      <c r="IL31">
        <v>0</v>
      </c>
      <c r="IM31">
        <v>0</v>
      </c>
      <c r="IN31">
        <v>0</v>
      </c>
      <c r="IO31">
        <v>0</v>
      </c>
      <c r="IP31">
        <v>0</v>
      </c>
      <c r="IQ31">
        <v>0</v>
      </c>
      <c r="IS31">
        <v>1</v>
      </c>
      <c r="IT31">
        <v>1</v>
      </c>
      <c r="IU31">
        <v>0</v>
      </c>
      <c r="IV31">
        <v>0</v>
      </c>
      <c r="IW31">
        <v>0</v>
      </c>
    </row>
    <row r="32" spans="1:258" x14ac:dyDescent="0.35">
      <c r="A32">
        <v>405197</v>
      </c>
      <c r="C32">
        <v>1</v>
      </c>
      <c r="D32" t="s">
        <v>394</v>
      </c>
      <c r="E32" t="s">
        <v>395</v>
      </c>
      <c r="F32" t="s">
        <v>396</v>
      </c>
      <c r="G32">
        <v>1</v>
      </c>
      <c r="I32">
        <v>1</v>
      </c>
      <c r="J32">
        <v>0</v>
      </c>
      <c r="K32">
        <v>0</v>
      </c>
      <c r="L32">
        <v>0</v>
      </c>
      <c r="M32">
        <v>0</v>
      </c>
      <c r="N32">
        <v>0</v>
      </c>
      <c r="O32">
        <v>0</v>
      </c>
      <c r="P32">
        <v>1</v>
      </c>
      <c r="Q32">
        <v>0</v>
      </c>
      <c r="R32">
        <v>1</v>
      </c>
      <c r="T32">
        <v>1</v>
      </c>
      <c r="U32">
        <v>0</v>
      </c>
      <c r="V32">
        <v>0</v>
      </c>
      <c r="W32">
        <v>9</v>
      </c>
      <c r="Z32">
        <v>9</v>
      </c>
      <c r="AC32">
        <v>1</v>
      </c>
      <c r="AD32">
        <v>1</v>
      </c>
      <c r="AE32">
        <v>0</v>
      </c>
      <c r="AF32">
        <v>0</v>
      </c>
      <c r="AG32">
        <v>0</v>
      </c>
      <c r="AH32">
        <v>0</v>
      </c>
      <c r="AJ32">
        <v>2</v>
      </c>
      <c r="AL32">
        <v>1</v>
      </c>
      <c r="AN32">
        <v>1</v>
      </c>
      <c r="AO32">
        <v>1</v>
      </c>
      <c r="AP32">
        <v>4</v>
      </c>
      <c r="AQ32">
        <v>1</v>
      </c>
      <c r="AR32">
        <v>4</v>
      </c>
      <c r="AS32">
        <v>2</v>
      </c>
      <c r="AT32">
        <v>1</v>
      </c>
      <c r="AU32">
        <v>1</v>
      </c>
      <c r="AV32">
        <v>1</v>
      </c>
      <c r="AW32">
        <v>0</v>
      </c>
      <c r="AX32">
        <v>0</v>
      </c>
      <c r="AY32">
        <v>0</v>
      </c>
      <c r="AZ32">
        <v>0</v>
      </c>
      <c r="BA32">
        <v>0</v>
      </c>
      <c r="BC32">
        <v>1</v>
      </c>
      <c r="BD32">
        <v>0</v>
      </c>
      <c r="BE32">
        <v>1</v>
      </c>
      <c r="BF32">
        <v>0</v>
      </c>
      <c r="BG32">
        <v>1</v>
      </c>
      <c r="BH32">
        <v>0</v>
      </c>
      <c r="BI32">
        <v>0</v>
      </c>
      <c r="BJ32">
        <v>0</v>
      </c>
      <c r="BK32">
        <v>1</v>
      </c>
      <c r="BL32">
        <v>1</v>
      </c>
      <c r="BM32">
        <v>1</v>
      </c>
      <c r="BN32">
        <v>1</v>
      </c>
      <c r="BO32">
        <v>1</v>
      </c>
      <c r="BP32">
        <v>1</v>
      </c>
      <c r="BQ32">
        <v>0</v>
      </c>
      <c r="BR32">
        <v>0</v>
      </c>
      <c r="BS32">
        <v>0</v>
      </c>
      <c r="BU32">
        <v>3</v>
      </c>
      <c r="BV32">
        <v>4</v>
      </c>
      <c r="BX32">
        <v>4</v>
      </c>
      <c r="BY32">
        <v>3</v>
      </c>
      <c r="DI32">
        <v>1</v>
      </c>
      <c r="DJ32">
        <v>0</v>
      </c>
      <c r="DK32">
        <v>0</v>
      </c>
      <c r="DL32">
        <v>0</v>
      </c>
      <c r="DM32">
        <v>1</v>
      </c>
      <c r="DN32">
        <v>1</v>
      </c>
      <c r="DO32">
        <v>0</v>
      </c>
      <c r="DP32">
        <v>0</v>
      </c>
      <c r="DQ32">
        <v>0</v>
      </c>
      <c r="DR32">
        <v>0</v>
      </c>
      <c r="DT32">
        <v>0</v>
      </c>
      <c r="DU32">
        <v>0</v>
      </c>
      <c r="DV32">
        <v>0</v>
      </c>
      <c r="DW32">
        <v>1</v>
      </c>
      <c r="DX32">
        <v>0</v>
      </c>
      <c r="DY32">
        <v>0</v>
      </c>
      <c r="DZ32">
        <v>0</v>
      </c>
      <c r="EA32">
        <v>1</v>
      </c>
      <c r="EB32">
        <v>0</v>
      </c>
      <c r="EC32">
        <v>0</v>
      </c>
      <c r="ED32">
        <v>1</v>
      </c>
      <c r="EE32">
        <v>0</v>
      </c>
      <c r="EF32">
        <v>0</v>
      </c>
      <c r="IG32">
        <v>1</v>
      </c>
      <c r="IH32">
        <v>0</v>
      </c>
      <c r="II32">
        <v>0</v>
      </c>
      <c r="IJ32">
        <v>0</v>
      </c>
      <c r="IK32">
        <v>0</v>
      </c>
      <c r="IL32">
        <v>1</v>
      </c>
      <c r="IM32">
        <v>1</v>
      </c>
      <c r="IN32">
        <v>0</v>
      </c>
      <c r="IO32">
        <v>0</v>
      </c>
      <c r="IP32">
        <v>0</v>
      </c>
      <c r="IQ32">
        <v>0</v>
      </c>
      <c r="IS32">
        <v>2</v>
      </c>
    </row>
    <row r="33" spans="1:258" x14ac:dyDescent="0.35">
      <c r="A33">
        <v>370252</v>
      </c>
      <c r="C33">
        <v>1</v>
      </c>
      <c r="D33" t="s">
        <v>397</v>
      </c>
      <c r="E33" t="s">
        <v>398</v>
      </c>
      <c r="F33" t="s">
        <v>396</v>
      </c>
      <c r="G33">
        <v>3</v>
      </c>
      <c r="I33">
        <v>0</v>
      </c>
      <c r="J33">
        <v>0</v>
      </c>
      <c r="K33">
        <v>1</v>
      </c>
      <c r="L33">
        <v>0</v>
      </c>
      <c r="M33">
        <v>0</v>
      </c>
      <c r="N33">
        <v>1</v>
      </c>
      <c r="O33">
        <v>0</v>
      </c>
      <c r="P33">
        <v>0</v>
      </c>
      <c r="Q33">
        <v>0</v>
      </c>
      <c r="R33">
        <v>1</v>
      </c>
      <c r="T33">
        <v>1</v>
      </c>
      <c r="U33">
        <v>1</v>
      </c>
      <c r="V33">
        <v>0</v>
      </c>
      <c r="W33">
        <v>3</v>
      </c>
      <c r="X33">
        <v>7</v>
      </c>
      <c r="Z33">
        <v>3</v>
      </c>
      <c r="AA33">
        <v>7</v>
      </c>
      <c r="AC33">
        <v>1</v>
      </c>
      <c r="AD33">
        <v>1</v>
      </c>
      <c r="AE33">
        <v>0</v>
      </c>
      <c r="AF33">
        <v>0</v>
      </c>
      <c r="AG33">
        <v>0</v>
      </c>
      <c r="AH33">
        <v>0</v>
      </c>
      <c r="AJ33">
        <v>1</v>
      </c>
      <c r="AL33">
        <v>1</v>
      </c>
      <c r="AN33">
        <v>1</v>
      </c>
      <c r="AO33">
        <v>1</v>
      </c>
      <c r="AP33">
        <v>4</v>
      </c>
      <c r="AQ33">
        <v>1</v>
      </c>
      <c r="AR33">
        <v>5</v>
      </c>
      <c r="AS33">
        <v>1</v>
      </c>
      <c r="AT33">
        <v>1</v>
      </c>
      <c r="AU33">
        <v>2</v>
      </c>
      <c r="BC33">
        <v>1</v>
      </c>
      <c r="BD33">
        <v>1</v>
      </c>
      <c r="BE33">
        <v>1</v>
      </c>
      <c r="BF33">
        <v>0</v>
      </c>
      <c r="BG33">
        <v>1</v>
      </c>
      <c r="BH33">
        <v>1</v>
      </c>
      <c r="BI33">
        <v>0</v>
      </c>
      <c r="BJ33">
        <v>0</v>
      </c>
      <c r="BK33">
        <v>1</v>
      </c>
      <c r="BL33">
        <v>0</v>
      </c>
      <c r="BM33">
        <v>1</v>
      </c>
      <c r="BN33">
        <v>1</v>
      </c>
      <c r="BO33">
        <v>1</v>
      </c>
      <c r="BP33">
        <v>1</v>
      </c>
      <c r="BQ33">
        <v>0</v>
      </c>
      <c r="BR33">
        <v>0</v>
      </c>
      <c r="BS33">
        <v>0</v>
      </c>
      <c r="BU33">
        <v>2</v>
      </c>
      <c r="BV33">
        <v>4</v>
      </c>
      <c r="BX33">
        <v>5</v>
      </c>
      <c r="BY33">
        <v>5</v>
      </c>
      <c r="DI33">
        <v>0</v>
      </c>
      <c r="DJ33">
        <v>0</v>
      </c>
      <c r="DK33">
        <v>0</v>
      </c>
      <c r="DL33">
        <v>0</v>
      </c>
      <c r="DM33">
        <v>0</v>
      </c>
      <c r="DN33">
        <v>0</v>
      </c>
      <c r="DO33">
        <v>0</v>
      </c>
      <c r="DP33">
        <v>0</v>
      </c>
      <c r="DQ33">
        <v>1</v>
      </c>
      <c r="DR33">
        <v>0</v>
      </c>
      <c r="DS33" t="s">
        <v>399</v>
      </c>
      <c r="DT33">
        <v>0</v>
      </c>
      <c r="DU33">
        <v>0</v>
      </c>
      <c r="DV33">
        <v>0</v>
      </c>
      <c r="DW33">
        <v>0</v>
      </c>
      <c r="DX33">
        <v>0</v>
      </c>
      <c r="DY33">
        <v>0</v>
      </c>
      <c r="DZ33">
        <v>0</v>
      </c>
      <c r="EA33">
        <v>0</v>
      </c>
      <c r="EB33">
        <v>0</v>
      </c>
      <c r="EC33">
        <v>1</v>
      </c>
      <c r="ED33">
        <v>1</v>
      </c>
      <c r="EE33">
        <v>1</v>
      </c>
      <c r="EF33">
        <v>0</v>
      </c>
      <c r="GJ33" t="s">
        <v>400</v>
      </c>
      <c r="GK33">
        <v>1</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t="s">
        <v>401</v>
      </c>
      <c r="IF33">
        <v>2</v>
      </c>
      <c r="IG33">
        <v>1</v>
      </c>
      <c r="IH33">
        <v>1</v>
      </c>
      <c r="II33">
        <v>0</v>
      </c>
      <c r="IJ33">
        <v>0</v>
      </c>
      <c r="IK33">
        <v>1</v>
      </c>
      <c r="IL33">
        <v>0</v>
      </c>
      <c r="IM33">
        <v>0</v>
      </c>
      <c r="IN33">
        <v>0</v>
      </c>
      <c r="IO33">
        <v>0</v>
      </c>
      <c r="IP33">
        <v>0</v>
      </c>
      <c r="IQ33">
        <v>0</v>
      </c>
      <c r="IS33">
        <v>1</v>
      </c>
      <c r="IT33">
        <v>0</v>
      </c>
      <c r="IU33">
        <v>0</v>
      </c>
      <c r="IV33">
        <v>0</v>
      </c>
      <c r="IW33">
        <v>1</v>
      </c>
      <c r="IX33" t="s">
        <v>402</v>
      </c>
    </row>
    <row r="34" spans="1:258" x14ac:dyDescent="0.35">
      <c r="A34">
        <v>374972</v>
      </c>
      <c r="C34">
        <v>1</v>
      </c>
      <c r="D34" t="s">
        <v>403</v>
      </c>
      <c r="E34" t="s">
        <v>404</v>
      </c>
      <c r="F34" t="s">
        <v>396</v>
      </c>
      <c r="G34">
        <v>6</v>
      </c>
      <c r="I34">
        <v>0</v>
      </c>
      <c r="J34">
        <v>0</v>
      </c>
      <c r="K34">
        <v>0</v>
      </c>
      <c r="L34">
        <v>0</v>
      </c>
      <c r="M34">
        <v>0</v>
      </c>
      <c r="N34">
        <v>1</v>
      </c>
      <c r="O34">
        <v>0</v>
      </c>
      <c r="P34">
        <v>1</v>
      </c>
      <c r="Q34">
        <v>1</v>
      </c>
      <c r="R34">
        <v>1</v>
      </c>
      <c r="T34">
        <v>1</v>
      </c>
      <c r="U34">
        <v>1</v>
      </c>
      <c r="V34">
        <v>0</v>
      </c>
      <c r="W34">
        <v>3</v>
      </c>
      <c r="X34">
        <v>9</v>
      </c>
      <c r="Z34">
        <v>3</v>
      </c>
      <c r="AA34">
        <v>9</v>
      </c>
      <c r="AC34">
        <v>1</v>
      </c>
      <c r="AD34">
        <v>1</v>
      </c>
      <c r="AE34">
        <v>0</v>
      </c>
      <c r="AF34">
        <v>0</v>
      </c>
      <c r="AG34">
        <v>0</v>
      </c>
      <c r="AH34">
        <v>0</v>
      </c>
      <c r="AJ34">
        <v>2</v>
      </c>
      <c r="AL34">
        <v>1</v>
      </c>
      <c r="AN34">
        <v>1</v>
      </c>
      <c r="AO34">
        <v>1</v>
      </c>
      <c r="AP34">
        <v>4</v>
      </c>
      <c r="AQ34">
        <v>2</v>
      </c>
      <c r="AS34">
        <v>2</v>
      </c>
      <c r="AT34">
        <v>1</v>
      </c>
      <c r="AU34">
        <v>1</v>
      </c>
      <c r="AV34">
        <v>1</v>
      </c>
      <c r="AW34">
        <v>0</v>
      </c>
      <c r="AX34">
        <v>0</v>
      </c>
      <c r="AY34">
        <v>0</v>
      </c>
      <c r="AZ34">
        <v>0</v>
      </c>
      <c r="BA34">
        <v>0</v>
      </c>
      <c r="BC34">
        <v>0</v>
      </c>
      <c r="BD34">
        <v>0</v>
      </c>
      <c r="BE34">
        <v>1</v>
      </c>
      <c r="BF34">
        <v>0</v>
      </c>
      <c r="BG34">
        <v>1</v>
      </c>
      <c r="BH34">
        <v>0</v>
      </c>
      <c r="BI34">
        <v>0</v>
      </c>
      <c r="BJ34">
        <v>0</v>
      </c>
      <c r="BK34">
        <v>1</v>
      </c>
      <c r="BL34">
        <v>0</v>
      </c>
      <c r="BM34">
        <v>0</v>
      </c>
      <c r="BN34">
        <v>1</v>
      </c>
      <c r="BO34">
        <v>0</v>
      </c>
      <c r="BP34">
        <v>0</v>
      </c>
      <c r="BQ34">
        <v>0</v>
      </c>
      <c r="BR34">
        <v>0</v>
      </c>
      <c r="BS34">
        <v>0</v>
      </c>
      <c r="BU34">
        <v>5</v>
      </c>
      <c r="BV34">
        <v>4</v>
      </c>
      <c r="BX34">
        <v>3</v>
      </c>
      <c r="BY34">
        <v>4</v>
      </c>
      <c r="DI34">
        <v>0</v>
      </c>
      <c r="DJ34">
        <v>0</v>
      </c>
      <c r="DK34">
        <v>0</v>
      </c>
      <c r="DL34">
        <v>1</v>
      </c>
      <c r="DM34">
        <v>1</v>
      </c>
      <c r="DN34">
        <v>0</v>
      </c>
      <c r="DO34">
        <v>0</v>
      </c>
      <c r="DP34">
        <v>0</v>
      </c>
      <c r="DQ34">
        <v>0</v>
      </c>
      <c r="DR34">
        <v>0</v>
      </c>
      <c r="DT34">
        <v>0</v>
      </c>
      <c r="DU34">
        <v>1</v>
      </c>
      <c r="DV34">
        <v>1</v>
      </c>
      <c r="DW34">
        <v>0</v>
      </c>
      <c r="DX34">
        <v>0</v>
      </c>
      <c r="DY34">
        <v>0</v>
      </c>
      <c r="DZ34">
        <v>0</v>
      </c>
      <c r="EA34">
        <v>0</v>
      </c>
      <c r="EB34">
        <v>0</v>
      </c>
      <c r="EC34">
        <v>1</v>
      </c>
      <c r="ED34">
        <v>0</v>
      </c>
      <c r="EE34">
        <v>1</v>
      </c>
      <c r="EF34">
        <v>0</v>
      </c>
      <c r="EI34" t="s">
        <v>274</v>
      </c>
      <c r="EJ34">
        <v>1</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t="s">
        <v>405</v>
      </c>
      <c r="FG34">
        <v>0</v>
      </c>
      <c r="FH34">
        <v>0</v>
      </c>
      <c r="FI34">
        <v>0</v>
      </c>
      <c r="FJ34">
        <v>0</v>
      </c>
      <c r="FK34">
        <v>0</v>
      </c>
      <c r="FL34">
        <v>0</v>
      </c>
      <c r="FM34">
        <v>0</v>
      </c>
      <c r="FN34">
        <v>0</v>
      </c>
      <c r="FO34">
        <v>0</v>
      </c>
      <c r="FP34">
        <v>0</v>
      </c>
      <c r="FQ34">
        <v>0</v>
      </c>
      <c r="FR34">
        <v>0</v>
      </c>
      <c r="FS34">
        <v>0</v>
      </c>
      <c r="FT34">
        <v>0</v>
      </c>
      <c r="FU34">
        <v>0</v>
      </c>
      <c r="FV34">
        <v>0</v>
      </c>
      <c r="FW34">
        <v>0</v>
      </c>
      <c r="FX34">
        <v>1</v>
      </c>
      <c r="FY34">
        <v>0</v>
      </c>
      <c r="GJ34" t="s">
        <v>406</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1</v>
      </c>
      <c r="IE34" t="s">
        <v>407</v>
      </c>
      <c r="IF34">
        <v>9</v>
      </c>
      <c r="IG34">
        <v>1</v>
      </c>
      <c r="IH34">
        <v>0</v>
      </c>
      <c r="II34">
        <v>1</v>
      </c>
      <c r="IJ34">
        <v>0</v>
      </c>
      <c r="IK34">
        <v>0</v>
      </c>
      <c r="IL34">
        <v>0</v>
      </c>
      <c r="IM34">
        <v>0</v>
      </c>
      <c r="IN34">
        <v>0</v>
      </c>
      <c r="IO34">
        <v>0</v>
      </c>
      <c r="IP34">
        <v>1</v>
      </c>
      <c r="IQ34">
        <v>0</v>
      </c>
      <c r="IR34" t="s">
        <v>408</v>
      </c>
      <c r="IS34">
        <v>1</v>
      </c>
      <c r="IT34">
        <v>1</v>
      </c>
      <c r="IU34">
        <v>1</v>
      </c>
      <c r="IV34">
        <v>0</v>
      </c>
      <c r="IW34">
        <v>0</v>
      </c>
    </row>
    <row r="35" spans="1:258" x14ac:dyDescent="0.35">
      <c r="A35">
        <v>405423</v>
      </c>
      <c r="C35">
        <v>1</v>
      </c>
      <c r="D35" t="s">
        <v>409</v>
      </c>
      <c r="E35" t="s">
        <v>410</v>
      </c>
      <c r="F35" t="s">
        <v>396</v>
      </c>
      <c r="G35">
        <v>13</v>
      </c>
      <c r="I35">
        <v>0</v>
      </c>
      <c r="J35">
        <v>0</v>
      </c>
      <c r="K35">
        <v>1</v>
      </c>
      <c r="L35">
        <v>0</v>
      </c>
      <c r="M35">
        <v>1</v>
      </c>
      <c r="N35">
        <v>0</v>
      </c>
      <c r="O35">
        <v>0</v>
      </c>
      <c r="P35">
        <v>0</v>
      </c>
      <c r="Q35">
        <v>0</v>
      </c>
      <c r="R35">
        <v>1</v>
      </c>
      <c r="T35">
        <v>1</v>
      </c>
      <c r="U35">
        <v>1</v>
      </c>
      <c r="V35">
        <v>1</v>
      </c>
      <c r="W35">
        <v>4</v>
      </c>
      <c r="X35">
        <v>10</v>
      </c>
      <c r="Y35">
        <v>25</v>
      </c>
      <c r="Z35">
        <v>4</v>
      </c>
      <c r="AA35">
        <v>10</v>
      </c>
      <c r="AB35">
        <v>25</v>
      </c>
      <c r="AC35">
        <v>1</v>
      </c>
      <c r="AD35">
        <v>1</v>
      </c>
      <c r="AE35">
        <v>0</v>
      </c>
      <c r="AF35">
        <v>0</v>
      </c>
      <c r="AG35">
        <v>0</v>
      </c>
      <c r="AH35">
        <v>0</v>
      </c>
      <c r="AJ35">
        <v>1</v>
      </c>
      <c r="AL35">
        <v>1</v>
      </c>
      <c r="AN35">
        <v>1</v>
      </c>
      <c r="AO35">
        <v>1</v>
      </c>
      <c r="AP35">
        <v>4</v>
      </c>
      <c r="AQ35">
        <v>1</v>
      </c>
      <c r="AR35">
        <v>5</v>
      </c>
      <c r="AS35">
        <v>1</v>
      </c>
      <c r="AT35">
        <v>1</v>
      </c>
      <c r="AU35">
        <v>2</v>
      </c>
      <c r="BC35">
        <v>0</v>
      </c>
      <c r="BD35">
        <v>0</v>
      </c>
      <c r="BE35">
        <v>0</v>
      </c>
      <c r="BF35">
        <v>0</v>
      </c>
      <c r="BG35">
        <v>0</v>
      </c>
      <c r="BH35">
        <v>0</v>
      </c>
      <c r="BI35">
        <v>0</v>
      </c>
      <c r="BJ35">
        <v>0</v>
      </c>
      <c r="BK35">
        <v>0</v>
      </c>
      <c r="BL35">
        <v>0</v>
      </c>
      <c r="BM35">
        <v>0</v>
      </c>
      <c r="BN35">
        <v>0</v>
      </c>
      <c r="BO35">
        <v>0</v>
      </c>
      <c r="BP35">
        <v>0</v>
      </c>
      <c r="BQ35">
        <v>0</v>
      </c>
      <c r="BR35">
        <v>1</v>
      </c>
      <c r="BS35">
        <v>0</v>
      </c>
      <c r="BU35">
        <v>16</v>
      </c>
      <c r="BV35">
        <v>4</v>
      </c>
      <c r="BX35">
        <v>5</v>
      </c>
      <c r="BY35">
        <v>5</v>
      </c>
      <c r="DI35">
        <v>1</v>
      </c>
      <c r="DJ35">
        <v>1</v>
      </c>
      <c r="DK35">
        <v>1</v>
      </c>
      <c r="DL35">
        <v>1</v>
      </c>
      <c r="DM35">
        <v>0</v>
      </c>
      <c r="DN35">
        <v>1</v>
      </c>
      <c r="DO35">
        <v>1</v>
      </c>
      <c r="DP35">
        <v>0</v>
      </c>
      <c r="DQ35">
        <v>0</v>
      </c>
      <c r="DR35">
        <v>0</v>
      </c>
      <c r="DT35">
        <v>0</v>
      </c>
      <c r="DU35">
        <v>0</v>
      </c>
      <c r="DV35">
        <v>0</v>
      </c>
      <c r="DW35">
        <v>1</v>
      </c>
      <c r="DX35">
        <v>0</v>
      </c>
      <c r="DY35">
        <v>0</v>
      </c>
      <c r="DZ35">
        <v>0</v>
      </c>
      <c r="EA35">
        <v>0</v>
      </c>
      <c r="EB35">
        <v>0</v>
      </c>
      <c r="EC35">
        <v>0</v>
      </c>
      <c r="ED35">
        <v>0</v>
      </c>
      <c r="EE35">
        <v>0</v>
      </c>
      <c r="EF35">
        <v>0</v>
      </c>
      <c r="IG35">
        <v>1</v>
      </c>
      <c r="IH35">
        <v>0</v>
      </c>
      <c r="II35">
        <v>1</v>
      </c>
      <c r="IJ35">
        <v>0</v>
      </c>
      <c r="IK35">
        <v>1</v>
      </c>
      <c r="IL35">
        <v>0</v>
      </c>
      <c r="IM35">
        <v>0</v>
      </c>
      <c r="IN35">
        <v>0</v>
      </c>
      <c r="IO35">
        <v>0</v>
      </c>
      <c r="IP35">
        <v>0</v>
      </c>
      <c r="IQ35">
        <v>0</v>
      </c>
      <c r="IS35">
        <v>2</v>
      </c>
    </row>
    <row r="36" spans="1:258" x14ac:dyDescent="0.35">
      <c r="A36">
        <v>393092</v>
      </c>
      <c r="C36">
        <v>1</v>
      </c>
      <c r="D36" t="s">
        <v>411</v>
      </c>
      <c r="E36" t="s">
        <v>412</v>
      </c>
      <c r="F36" t="s">
        <v>413</v>
      </c>
      <c r="G36">
        <v>4</v>
      </c>
      <c r="I36">
        <v>0</v>
      </c>
      <c r="J36">
        <v>0</v>
      </c>
      <c r="K36">
        <v>0</v>
      </c>
      <c r="L36">
        <v>0</v>
      </c>
      <c r="M36">
        <v>0</v>
      </c>
      <c r="N36">
        <v>0</v>
      </c>
      <c r="O36">
        <v>0</v>
      </c>
      <c r="P36">
        <v>1</v>
      </c>
      <c r="Q36">
        <v>0</v>
      </c>
      <c r="R36">
        <v>1</v>
      </c>
      <c r="T36">
        <v>1</v>
      </c>
      <c r="U36">
        <v>1</v>
      </c>
      <c r="V36">
        <v>0</v>
      </c>
      <c r="W36">
        <v>19</v>
      </c>
      <c r="X36">
        <v>20</v>
      </c>
      <c r="Z36">
        <v>19</v>
      </c>
      <c r="AA36">
        <v>20</v>
      </c>
      <c r="AC36">
        <v>1</v>
      </c>
      <c r="AD36">
        <v>1</v>
      </c>
      <c r="AE36">
        <v>0</v>
      </c>
      <c r="AF36">
        <v>0</v>
      </c>
      <c r="AG36">
        <v>0</v>
      </c>
      <c r="AH36">
        <v>0</v>
      </c>
      <c r="AJ36">
        <v>2</v>
      </c>
      <c r="AL36">
        <v>2</v>
      </c>
      <c r="AN36">
        <v>1</v>
      </c>
      <c r="AO36">
        <v>1</v>
      </c>
      <c r="AP36">
        <v>3</v>
      </c>
      <c r="AQ36">
        <v>1</v>
      </c>
      <c r="AR36">
        <v>2</v>
      </c>
      <c r="AS36">
        <v>1</v>
      </c>
      <c r="AT36">
        <v>1</v>
      </c>
      <c r="AU36">
        <v>1</v>
      </c>
      <c r="AV36">
        <v>0</v>
      </c>
      <c r="AW36">
        <v>0</v>
      </c>
      <c r="AX36">
        <v>0</v>
      </c>
      <c r="AY36">
        <v>1</v>
      </c>
      <c r="AZ36">
        <v>1</v>
      </c>
      <c r="BA36">
        <v>0</v>
      </c>
      <c r="BC36">
        <v>1</v>
      </c>
      <c r="BD36">
        <v>1</v>
      </c>
      <c r="BE36">
        <v>0</v>
      </c>
      <c r="BF36">
        <v>0</v>
      </c>
      <c r="BG36">
        <v>1</v>
      </c>
      <c r="BH36">
        <v>0</v>
      </c>
      <c r="BI36">
        <v>0</v>
      </c>
      <c r="BJ36">
        <v>0</v>
      </c>
      <c r="BK36">
        <v>0</v>
      </c>
      <c r="BL36">
        <v>0</v>
      </c>
      <c r="BM36">
        <v>0</v>
      </c>
      <c r="BN36">
        <v>0</v>
      </c>
      <c r="BO36">
        <v>0</v>
      </c>
      <c r="BP36">
        <v>1</v>
      </c>
      <c r="BQ36">
        <v>1</v>
      </c>
      <c r="BR36">
        <v>0</v>
      </c>
      <c r="BS36">
        <v>0</v>
      </c>
      <c r="BU36">
        <v>1</v>
      </c>
      <c r="BV36">
        <v>2</v>
      </c>
      <c r="BW36" t="s">
        <v>414</v>
      </c>
      <c r="BX36">
        <v>1</v>
      </c>
      <c r="BY36">
        <v>2</v>
      </c>
      <c r="DI36">
        <v>0</v>
      </c>
      <c r="DJ36">
        <v>0</v>
      </c>
      <c r="DK36">
        <v>1</v>
      </c>
      <c r="DL36">
        <v>0</v>
      </c>
      <c r="DM36">
        <v>0</v>
      </c>
      <c r="DN36">
        <v>0</v>
      </c>
      <c r="DO36">
        <v>0</v>
      </c>
      <c r="DP36">
        <v>1</v>
      </c>
      <c r="DQ36">
        <v>0</v>
      </c>
      <c r="DR36">
        <v>0</v>
      </c>
      <c r="DT36">
        <v>0</v>
      </c>
      <c r="DU36">
        <v>1</v>
      </c>
      <c r="DV36">
        <v>0</v>
      </c>
      <c r="DW36">
        <v>1</v>
      </c>
      <c r="DX36">
        <v>0</v>
      </c>
      <c r="DY36">
        <v>0</v>
      </c>
      <c r="DZ36">
        <v>1</v>
      </c>
      <c r="EA36">
        <v>0</v>
      </c>
      <c r="EB36">
        <v>0</v>
      </c>
      <c r="EC36">
        <v>0</v>
      </c>
      <c r="ED36">
        <v>1</v>
      </c>
      <c r="EE36">
        <v>0</v>
      </c>
      <c r="EF36">
        <v>0</v>
      </c>
      <c r="EI36" t="s">
        <v>415</v>
      </c>
      <c r="EJ36">
        <v>1</v>
      </c>
      <c r="EK36">
        <v>0</v>
      </c>
      <c r="EL36">
        <v>0</v>
      </c>
      <c r="EM36">
        <v>0</v>
      </c>
      <c r="EN36">
        <v>0</v>
      </c>
      <c r="EO36">
        <v>0</v>
      </c>
      <c r="EP36">
        <v>0</v>
      </c>
      <c r="EQ36">
        <v>1</v>
      </c>
      <c r="ER36">
        <v>0</v>
      </c>
      <c r="ES36">
        <v>0</v>
      </c>
      <c r="ET36">
        <v>0</v>
      </c>
      <c r="EU36">
        <v>0</v>
      </c>
      <c r="EV36">
        <v>0</v>
      </c>
      <c r="EW36">
        <v>0</v>
      </c>
      <c r="EX36">
        <v>0</v>
      </c>
      <c r="EY36">
        <v>0</v>
      </c>
      <c r="EZ36">
        <v>0</v>
      </c>
      <c r="FA36">
        <v>0</v>
      </c>
      <c r="FB36">
        <v>0</v>
      </c>
      <c r="FC36">
        <v>0</v>
      </c>
      <c r="FD36">
        <v>0</v>
      </c>
      <c r="FE36">
        <v>0</v>
      </c>
      <c r="FZ36" t="s">
        <v>416</v>
      </c>
      <c r="GA36">
        <v>1</v>
      </c>
      <c r="GB36">
        <v>0</v>
      </c>
      <c r="GC36">
        <v>0</v>
      </c>
      <c r="GD36">
        <v>0</v>
      </c>
      <c r="GE36">
        <v>0</v>
      </c>
      <c r="GF36">
        <v>0</v>
      </c>
      <c r="GG36">
        <v>0</v>
      </c>
      <c r="GH36">
        <v>0</v>
      </c>
      <c r="GI36">
        <v>0</v>
      </c>
      <c r="IG36">
        <v>1</v>
      </c>
      <c r="IH36">
        <v>0</v>
      </c>
      <c r="II36">
        <v>1</v>
      </c>
      <c r="IJ36">
        <v>0</v>
      </c>
      <c r="IK36">
        <v>0</v>
      </c>
      <c r="IL36">
        <v>0</v>
      </c>
      <c r="IM36">
        <v>1</v>
      </c>
      <c r="IN36">
        <v>0</v>
      </c>
      <c r="IO36">
        <v>0</v>
      </c>
      <c r="IP36">
        <v>0</v>
      </c>
      <c r="IQ36">
        <v>0</v>
      </c>
      <c r="IS36">
        <v>2</v>
      </c>
    </row>
    <row r="37" spans="1:258" x14ac:dyDescent="0.35">
      <c r="A37">
        <v>396962</v>
      </c>
      <c r="C37">
        <v>1</v>
      </c>
      <c r="D37" t="s">
        <v>417</v>
      </c>
      <c r="E37" t="s">
        <v>418</v>
      </c>
      <c r="F37" t="s">
        <v>419</v>
      </c>
      <c r="G37">
        <v>3</v>
      </c>
      <c r="I37">
        <v>1</v>
      </c>
      <c r="J37">
        <v>0</v>
      </c>
      <c r="K37">
        <v>0</v>
      </c>
      <c r="L37">
        <v>0</v>
      </c>
      <c r="M37">
        <v>0</v>
      </c>
      <c r="N37">
        <v>0</v>
      </c>
      <c r="O37">
        <v>0</v>
      </c>
      <c r="P37">
        <v>0</v>
      </c>
      <c r="Q37">
        <v>0</v>
      </c>
      <c r="R37">
        <v>1</v>
      </c>
      <c r="T37">
        <v>1</v>
      </c>
      <c r="U37">
        <v>0</v>
      </c>
      <c r="V37">
        <v>0</v>
      </c>
      <c r="W37">
        <v>49</v>
      </c>
      <c r="Z37">
        <v>49</v>
      </c>
      <c r="AC37">
        <v>0</v>
      </c>
      <c r="AD37">
        <v>0</v>
      </c>
      <c r="AE37">
        <v>0</v>
      </c>
      <c r="AF37">
        <v>1</v>
      </c>
      <c r="AG37">
        <v>0</v>
      </c>
      <c r="AH37">
        <v>0</v>
      </c>
      <c r="AJ37">
        <v>4</v>
      </c>
      <c r="AL37">
        <v>2</v>
      </c>
      <c r="AN37">
        <v>1</v>
      </c>
      <c r="AO37">
        <v>1</v>
      </c>
      <c r="AP37">
        <v>3</v>
      </c>
      <c r="AQ37">
        <v>2</v>
      </c>
      <c r="AS37">
        <v>2</v>
      </c>
      <c r="AT37">
        <v>1</v>
      </c>
      <c r="AU37">
        <v>1</v>
      </c>
      <c r="AV37">
        <v>1</v>
      </c>
      <c r="AW37">
        <v>0</v>
      </c>
      <c r="AX37">
        <v>0</v>
      </c>
      <c r="AY37">
        <v>0</v>
      </c>
      <c r="AZ37">
        <v>1</v>
      </c>
      <c r="BA37">
        <v>0</v>
      </c>
      <c r="BC37">
        <v>0</v>
      </c>
      <c r="BD37">
        <v>0</v>
      </c>
      <c r="BE37">
        <v>0</v>
      </c>
      <c r="BF37">
        <v>0</v>
      </c>
      <c r="BG37">
        <v>0</v>
      </c>
      <c r="BH37">
        <v>0</v>
      </c>
      <c r="BI37">
        <v>0</v>
      </c>
      <c r="BJ37">
        <v>0</v>
      </c>
      <c r="BK37">
        <v>1</v>
      </c>
      <c r="BL37">
        <v>0</v>
      </c>
      <c r="BM37">
        <v>0</v>
      </c>
      <c r="BN37">
        <v>1</v>
      </c>
      <c r="BO37">
        <v>0</v>
      </c>
      <c r="BP37">
        <v>0</v>
      </c>
      <c r="BQ37">
        <v>0</v>
      </c>
      <c r="BR37">
        <v>0</v>
      </c>
      <c r="BS37">
        <v>0</v>
      </c>
      <c r="BU37">
        <v>9</v>
      </c>
      <c r="BV37">
        <v>3</v>
      </c>
      <c r="BW37" t="s">
        <v>420</v>
      </c>
      <c r="BX37">
        <v>3</v>
      </c>
      <c r="BY37">
        <v>3</v>
      </c>
      <c r="DI37">
        <v>0</v>
      </c>
      <c r="DJ37">
        <v>0</v>
      </c>
      <c r="DK37">
        <v>1</v>
      </c>
      <c r="DL37">
        <v>1</v>
      </c>
      <c r="DM37">
        <v>0</v>
      </c>
      <c r="DN37">
        <v>1</v>
      </c>
      <c r="DO37">
        <v>0</v>
      </c>
      <c r="DP37">
        <v>0</v>
      </c>
      <c r="DQ37">
        <v>0</v>
      </c>
      <c r="DR37">
        <v>0</v>
      </c>
      <c r="DT37">
        <v>0</v>
      </c>
      <c r="DU37">
        <v>1</v>
      </c>
      <c r="DV37">
        <v>1</v>
      </c>
      <c r="DW37">
        <v>0</v>
      </c>
      <c r="DX37">
        <v>0</v>
      </c>
      <c r="DY37">
        <v>0</v>
      </c>
      <c r="DZ37">
        <v>0</v>
      </c>
      <c r="EA37">
        <v>0</v>
      </c>
      <c r="EB37">
        <v>0</v>
      </c>
      <c r="EC37">
        <v>0</v>
      </c>
      <c r="ED37">
        <v>0</v>
      </c>
      <c r="EE37">
        <v>0</v>
      </c>
      <c r="EF37">
        <v>0</v>
      </c>
      <c r="EI37" t="s">
        <v>421</v>
      </c>
      <c r="EJ37">
        <v>1</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t="s">
        <v>300</v>
      </c>
      <c r="FG37">
        <v>1</v>
      </c>
      <c r="FH37">
        <v>0</v>
      </c>
      <c r="FI37">
        <v>0</v>
      </c>
      <c r="FJ37">
        <v>0</v>
      </c>
      <c r="FK37">
        <v>0</v>
      </c>
      <c r="FL37">
        <v>0</v>
      </c>
      <c r="FM37">
        <v>0</v>
      </c>
      <c r="FN37">
        <v>0</v>
      </c>
      <c r="FO37">
        <v>0</v>
      </c>
      <c r="FP37">
        <v>0</v>
      </c>
      <c r="FQ37">
        <v>0</v>
      </c>
      <c r="FR37">
        <v>0</v>
      </c>
      <c r="FS37">
        <v>0</v>
      </c>
      <c r="FT37">
        <v>0</v>
      </c>
      <c r="FU37">
        <v>0</v>
      </c>
      <c r="FV37">
        <v>0</v>
      </c>
      <c r="FW37">
        <v>0</v>
      </c>
      <c r="FX37">
        <v>0</v>
      </c>
      <c r="FY37">
        <v>0</v>
      </c>
      <c r="IG37">
        <v>1</v>
      </c>
      <c r="IH37">
        <v>1</v>
      </c>
      <c r="II37">
        <v>1</v>
      </c>
      <c r="IJ37">
        <v>0</v>
      </c>
      <c r="IK37">
        <v>0</v>
      </c>
      <c r="IL37">
        <v>0</v>
      </c>
      <c r="IM37">
        <v>0</v>
      </c>
      <c r="IN37">
        <v>0</v>
      </c>
      <c r="IO37">
        <v>0</v>
      </c>
      <c r="IP37">
        <v>0</v>
      </c>
      <c r="IQ37">
        <v>0</v>
      </c>
      <c r="IS37">
        <v>2</v>
      </c>
    </row>
    <row r="38" spans="1:258" x14ac:dyDescent="0.35">
      <c r="A38">
        <v>393112</v>
      </c>
      <c r="C38">
        <v>1</v>
      </c>
      <c r="D38" t="s">
        <v>422</v>
      </c>
      <c r="E38" t="s">
        <v>423</v>
      </c>
      <c r="F38" t="s">
        <v>419</v>
      </c>
      <c r="G38">
        <v>3</v>
      </c>
      <c r="I38">
        <v>0</v>
      </c>
      <c r="J38">
        <v>0</v>
      </c>
      <c r="K38">
        <v>1</v>
      </c>
      <c r="L38">
        <v>0</v>
      </c>
      <c r="M38">
        <v>0</v>
      </c>
      <c r="N38">
        <v>0</v>
      </c>
      <c r="O38">
        <v>0</v>
      </c>
      <c r="P38">
        <v>0</v>
      </c>
      <c r="Q38">
        <v>0</v>
      </c>
      <c r="R38">
        <v>1</v>
      </c>
      <c r="T38">
        <v>1</v>
      </c>
      <c r="U38">
        <v>1</v>
      </c>
      <c r="V38">
        <v>0</v>
      </c>
      <c r="W38">
        <v>60</v>
      </c>
      <c r="X38">
        <v>44</v>
      </c>
      <c r="Z38">
        <v>60</v>
      </c>
      <c r="AA38">
        <v>44</v>
      </c>
      <c r="AC38">
        <v>1</v>
      </c>
      <c r="AD38">
        <v>1</v>
      </c>
      <c r="AE38">
        <v>0</v>
      </c>
      <c r="AF38">
        <v>0</v>
      </c>
      <c r="AG38">
        <v>0</v>
      </c>
      <c r="AH38">
        <v>0</v>
      </c>
      <c r="AJ38">
        <v>2</v>
      </c>
      <c r="AL38">
        <v>4</v>
      </c>
      <c r="AN38">
        <v>1</v>
      </c>
      <c r="AO38">
        <v>1</v>
      </c>
      <c r="AP38">
        <v>3</v>
      </c>
      <c r="AQ38">
        <v>2</v>
      </c>
      <c r="AS38">
        <v>2</v>
      </c>
      <c r="AT38">
        <v>1</v>
      </c>
      <c r="AU38">
        <v>1</v>
      </c>
      <c r="AV38">
        <v>1</v>
      </c>
      <c r="AW38">
        <v>0</v>
      </c>
      <c r="AX38">
        <v>0</v>
      </c>
      <c r="AY38">
        <v>0</v>
      </c>
      <c r="AZ38">
        <v>0</v>
      </c>
      <c r="BA38">
        <v>0</v>
      </c>
      <c r="BC38">
        <v>1</v>
      </c>
      <c r="BD38">
        <v>0</v>
      </c>
      <c r="BE38">
        <v>0</v>
      </c>
      <c r="BF38">
        <v>0</v>
      </c>
      <c r="BG38">
        <v>0</v>
      </c>
      <c r="BH38">
        <v>0</v>
      </c>
      <c r="BI38">
        <v>0</v>
      </c>
      <c r="BJ38">
        <v>0</v>
      </c>
      <c r="BK38">
        <v>0</v>
      </c>
      <c r="BL38">
        <v>0</v>
      </c>
      <c r="BM38">
        <v>0</v>
      </c>
      <c r="BN38">
        <v>0</v>
      </c>
      <c r="BO38">
        <v>0</v>
      </c>
      <c r="BP38">
        <v>0</v>
      </c>
      <c r="BQ38">
        <v>0</v>
      </c>
      <c r="BR38">
        <v>0</v>
      </c>
      <c r="BS38">
        <v>0</v>
      </c>
      <c r="BU38">
        <v>1</v>
      </c>
      <c r="BV38">
        <v>4</v>
      </c>
      <c r="BX38">
        <v>2</v>
      </c>
      <c r="BY38">
        <v>3</v>
      </c>
      <c r="DI38">
        <v>1</v>
      </c>
      <c r="DJ38">
        <v>0</v>
      </c>
      <c r="DK38">
        <v>1</v>
      </c>
      <c r="DL38">
        <v>0</v>
      </c>
      <c r="DM38">
        <v>1</v>
      </c>
      <c r="DN38">
        <v>0</v>
      </c>
      <c r="DO38">
        <v>0</v>
      </c>
      <c r="DP38">
        <v>0</v>
      </c>
      <c r="DQ38">
        <v>0</v>
      </c>
      <c r="DR38">
        <v>0</v>
      </c>
      <c r="DT38">
        <v>0</v>
      </c>
      <c r="DU38">
        <v>1</v>
      </c>
      <c r="DV38">
        <v>0</v>
      </c>
      <c r="DW38">
        <v>0</v>
      </c>
      <c r="DX38">
        <v>0</v>
      </c>
      <c r="DY38">
        <v>0</v>
      </c>
      <c r="DZ38">
        <v>0</v>
      </c>
      <c r="EA38">
        <v>0</v>
      </c>
      <c r="EB38">
        <v>0</v>
      </c>
      <c r="EC38">
        <v>1</v>
      </c>
      <c r="ED38">
        <v>1</v>
      </c>
      <c r="EE38">
        <v>0</v>
      </c>
      <c r="EF38">
        <v>0</v>
      </c>
      <c r="EI38" t="s">
        <v>424</v>
      </c>
      <c r="EJ38">
        <v>1</v>
      </c>
      <c r="EK38">
        <v>1</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GJ38" t="s">
        <v>425</v>
      </c>
      <c r="GK38">
        <v>1</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1</v>
      </c>
      <c r="HN38">
        <v>0</v>
      </c>
      <c r="HO38">
        <v>0</v>
      </c>
      <c r="HP38">
        <v>0</v>
      </c>
      <c r="HQ38">
        <v>0</v>
      </c>
      <c r="HR38">
        <v>0</v>
      </c>
      <c r="HS38">
        <v>0</v>
      </c>
      <c r="HT38">
        <v>0</v>
      </c>
      <c r="HU38">
        <v>0</v>
      </c>
      <c r="HV38">
        <v>0</v>
      </c>
      <c r="HW38">
        <v>0</v>
      </c>
      <c r="HX38">
        <v>0</v>
      </c>
      <c r="HY38">
        <v>0</v>
      </c>
      <c r="HZ38">
        <v>0</v>
      </c>
      <c r="IA38">
        <v>0</v>
      </c>
      <c r="IB38">
        <v>0</v>
      </c>
      <c r="IC38">
        <v>0</v>
      </c>
      <c r="ID38">
        <v>0</v>
      </c>
    </row>
    <row r="39" spans="1:258" x14ac:dyDescent="0.35">
      <c r="A39">
        <v>370521</v>
      </c>
      <c r="C39">
        <v>1</v>
      </c>
      <c r="D39" t="s">
        <v>426</v>
      </c>
      <c r="E39" t="s">
        <v>427</v>
      </c>
      <c r="F39" t="s">
        <v>428</v>
      </c>
      <c r="G39">
        <v>3</v>
      </c>
      <c r="I39">
        <v>0</v>
      </c>
      <c r="J39">
        <v>0</v>
      </c>
      <c r="K39">
        <v>1</v>
      </c>
      <c r="L39">
        <v>0</v>
      </c>
      <c r="M39">
        <v>0</v>
      </c>
      <c r="N39">
        <v>0</v>
      </c>
      <c r="O39">
        <v>0</v>
      </c>
      <c r="P39">
        <v>0</v>
      </c>
      <c r="Q39">
        <v>0</v>
      </c>
      <c r="R39">
        <v>2</v>
      </c>
      <c r="T39">
        <v>1</v>
      </c>
      <c r="U39">
        <v>1</v>
      </c>
      <c r="V39">
        <v>0</v>
      </c>
      <c r="W39">
        <v>3</v>
      </c>
      <c r="X39">
        <v>4</v>
      </c>
      <c r="Z39">
        <v>3</v>
      </c>
      <c r="AA39">
        <v>4</v>
      </c>
      <c r="AC39">
        <v>1</v>
      </c>
      <c r="AD39">
        <v>1</v>
      </c>
      <c r="AE39">
        <v>0</v>
      </c>
      <c r="AF39">
        <v>0</v>
      </c>
      <c r="AG39">
        <v>0</v>
      </c>
      <c r="AH39">
        <v>0</v>
      </c>
      <c r="AJ39">
        <v>1</v>
      </c>
      <c r="AL39">
        <v>4</v>
      </c>
      <c r="AN39">
        <v>1</v>
      </c>
      <c r="AO39">
        <v>1</v>
      </c>
      <c r="AP39">
        <v>4</v>
      </c>
      <c r="AQ39">
        <v>1</v>
      </c>
      <c r="AR39">
        <v>4</v>
      </c>
      <c r="AS39">
        <v>1</v>
      </c>
      <c r="AT39">
        <v>1</v>
      </c>
      <c r="AU39">
        <v>1</v>
      </c>
      <c r="AV39">
        <v>0</v>
      </c>
      <c r="AW39">
        <v>0</v>
      </c>
      <c r="AX39">
        <v>0</v>
      </c>
      <c r="AY39">
        <v>1</v>
      </c>
      <c r="AZ39">
        <v>0</v>
      </c>
      <c r="BA39">
        <v>0</v>
      </c>
      <c r="BC39">
        <v>1</v>
      </c>
      <c r="BD39">
        <v>0</v>
      </c>
      <c r="BE39">
        <v>0</v>
      </c>
      <c r="BF39">
        <v>0</v>
      </c>
      <c r="BG39">
        <v>1</v>
      </c>
      <c r="BH39">
        <v>0</v>
      </c>
      <c r="BI39">
        <v>0</v>
      </c>
      <c r="BJ39">
        <v>0</v>
      </c>
      <c r="BK39">
        <v>0</v>
      </c>
      <c r="BL39">
        <v>0</v>
      </c>
      <c r="BM39">
        <v>0</v>
      </c>
      <c r="BN39">
        <v>0</v>
      </c>
      <c r="BO39">
        <v>0</v>
      </c>
      <c r="BP39">
        <v>0</v>
      </c>
      <c r="BQ39">
        <v>0</v>
      </c>
      <c r="BR39">
        <v>0</v>
      </c>
      <c r="BS39">
        <v>1</v>
      </c>
      <c r="BT39" t="s">
        <v>429</v>
      </c>
      <c r="BU39">
        <v>17</v>
      </c>
      <c r="BV39">
        <v>4</v>
      </c>
      <c r="BX39">
        <v>3</v>
      </c>
      <c r="BY39">
        <v>4</v>
      </c>
      <c r="DI39">
        <v>0</v>
      </c>
      <c r="DJ39">
        <v>0</v>
      </c>
      <c r="DK39">
        <v>1</v>
      </c>
      <c r="DL39">
        <v>0</v>
      </c>
      <c r="DM39">
        <v>0</v>
      </c>
      <c r="DN39">
        <v>0</v>
      </c>
      <c r="DO39">
        <v>0</v>
      </c>
      <c r="DP39">
        <v>0</v>
      </c>
      <c r="DQ39">
        <v>0</v>
      </c>
      <c r="DR39">
        <v>0</v>
      </c>
      <c r="DT39">
        <v>0</v>
      </c>
      <c r="DU39">
        <v>1</v>
      </c>
      <c r="DV39">
        <v>0</v>
      </c>
      <c r="DW39">
        <v>0</v>
      </c>
      <c r="DX39">
        <v>0</v>
      </c>
      <c r="DY39">
        <v>0</v>
      </c>
      <c r="DZ39">
        <v>0</v>
      </c>
      <c r="EA39">
        <v>0</v>
      </c>
      <c r="EB39">
        <v>0</v>
      </c>
      <c r="EC39">
        <v>0</v>
      </c>
      <c r="ED39">
        <v>0</v>
      </c>
      <c r="EE39">
        <v>0</v>
      </c>
      <c r="EF39">
        <v>0</v>
      </c>
      <c r="EI39" t="s">
        <v>430</v>
      </c>
      <c r="EJ39">
        <v>1</v>
      </c>
      <c r="EK39">
        <v>1</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IG39">
        <v>1</v>
      </c>
      <c r="IH39">
        <v>1</v>
      </c>
      <c r="II39">
        <v>1</v>
      </c>
      <c r="IJ39">
        <v>0</v>
      </c>
      <c r="IK39">
        <v>0</v>
      </c>
      <c r="IL39">
        <v>0</v>
      </c>
      <c r="IM39">
        <v>0</v>
      </c>
      <c r="IN39">
        <v>0</v>
      </c>
      <c r="IO39">
        <v>0</v>
      </c>
      <c r="IP39">
        <v>0</v>
      </c>
      <c r="IQ39">
        <v>0</v>
      </c>
      <c r="IS39">
        <v>2</v>
      </c>
    </row>
    <row r="40" spans="1:258" x14ac:dyDescent="0.35">
      <c r="A40">
        <v>376345</v>
      </c>
      <c r="C40">
        <v>1</v>
      </c>
      <c r="D40" t="s">
        <v>431</v>
      </c>
      <c r="E40" t="s">
        <v>432</v>
      </c>
      <c r="F40" t="s">
        <v>433</v>
      </c>
      <c r="G40">
        <v>3</v>
      </c>
      <c r="I40">
        <v>0</v>
      </c>
      <c r="J40">
        <v>1</v>
      </c>
      <c r="K40">
        <v>1</v>
      </c>
      <c r="L40">
        <v>0</v>
      </c>
      <c r="M40">
        <v>0</v>
      </c>
      <c r="N40">
        <v>0</v>
      </c>
      <c r="O40">
        <v>0</v>
      </c>
      <c r="P40">
        <v>0</v>
      </c>
      <c r="Q40">
        <v>0</v>
      </c>
      <c r="R40">
        <v>1</v>
      </c>
      <c r="T40">
        <v>0</v>
      </c>
      <c r="U40">
        <v>1</v>
      </c>
      <c r="V40">
        <v>1</v>
      </c>
      <c r="X40">
        <v>12</v>
      </c>
      <c r="Y40">
        <v>3</v>
      </c>
      <c r="AA40">
        <v>12</v>
      </c>
      <c r="AB40">
        <v>3</v>
      </c>
      <c r="AC40">
        <v>1</v>
      </c>
      <c r="AD40">
        <v>0</v>
      </c>
      <c r="AE40">
        <v>0</v>
      </c>
      <c r="AF40">
        <v>0</v>
      </c>
      <c r="AG40">
        <v>0</v>
      </c>
      <c r="AH40">
        <v>0</v>
      </c>
      <c r="AJ40">
        <v>1</v>
      </c>
      <c r="AL40">
        <v>1</v>
      </c>
      <c r="AN40">
        <v>1</v>
      </c>
      <c r="AO40">
        <v>3</v>
      </c>
      <c r="AP40">
        <v>5</v>
      </c>
      <c r="AQ40">
        <v>2</v>
      </c>
      <c r="AS40">
        <v>2</v>
      </c>
      <c r="AT40">
        <v>3</v>
      </c>
      <c r="AU40">
        <v>2</v>
      </c>
      <c r="BC40">
        <v>0</v>
      </c>
      <c r="BD40">
        <v>0</v>
      </c>
      <c r="BE40">
        <v>0</v>
      </c>
      <c r="BF40">
        <v>0</v>
      </c>
      <c r="BG40">
        <v>0</v>
      </c>
      <c r="BH40">
        <v>0</v>
      </c>
      <c r="BI40">
        <v>0</v>
      </c>
      <c r="BJ40">
        <v>0</v>
      </c>
      <c r="BK40">
        <v>0</v>
      </c>
      <c r="BL40">
        <v>0</v>
      </c>
      <c r="BM40">
        <v>0</v>
      </c>
      <c r="BN40">
        <v>1</v>
      </c>
      <c r="BO40">
        <v>0</v>
      </c>
      <c r="BP40">
        <v>0</v>
      </c>
      <c r="BQ40">
        <v>0</v>
      </c>
      <c r="BR40">
        <v>1</v>
      </c>
      <c r="BS40">
        <v>0</v>
      </c>
      <c r="BU40">
        <v>16</v>
      </c>
      <c r="BV40">
        <v>4</v>
      </c>
      <c r="BX40">
        <v>5</v>
      </c>
      <c r="BY40">
        <v>5</v>
      </c>
      <c r="DI40">
        <v>0</v>
      </c>
      <c r="DJ40">
        <v>0</v>
      </c>
      <c r="DK40">
        <v>0</v>
      </c>
      <c r="DL40">
        <v>0</v>
      </c>
      <c r="DM40">
        <v>0</v>
      </c>
      <c r="DN40">
        <v>1</v>
      </c>
      <c r="DO40">
        <v>0</v>
      </c>
      <c r="DP40">
        <v>0</v>
      </c>
      <c r="DQ40">
        <v>0</v>
      </c>
      <c r="DR40">
        <v>0</v>
      </c>
      <c r="DT40">
        <v>0</v>
      </c>
      <c r="DU40">
        <v>0</v>
      </c>
      <c r="DV40">
        <v>1</v>
      </c>
      <c r="DW40">
        <v>1</v>
      </c>
      <c r="DX40">
        <v>0</v>
      </c>
      <c r="DY40">
        <v>0</v>
      </c>
      <c r="DZ40">
        <v>0</v>
      </c>
      <c r="EA40">
        <v>0</v>
      </c>
      <c r="EB40">
        <v>0</v>
      </c>
      <c r="EC40">
        <v>0</v>
      </c>
      <c r="ED40">
        <v>1</v>
      </c>
      <c r="EE40">
        <v>0</v>
      </c>
      <c r="EF40">
        <v>0</v>
      </c>
      <c r="FF40" t="s">
        <v>434</v>
      </c>
      <c r="FG40">
        <v>1</v>
      </c>
      <c r="FH40">
        <v>0</v>
      </c>
      <c r="FI40">
        <v>0</v>
      </c>
      <c r="FJ40">
        <v>0</v>
      </c>
      <c r="FK40">
        <v>0</v>
      </c>
      <c r="FL40">
        <v>0</v>
      </c>
      <c r="FM40">
        <v>0</v>
      </c>
      <c r="FN40">
        <v>0</v>
      </c>
      <c r="FO40">
        <v>0</v>
      </c>
      <c r="FP40">
        <v>0</v>
      </c>
      <c r="FQ40">
        <v>0</v>
      </c>
      <c r="FR40">
        <v>0</v>
      </c>
      <c r="FS40">
        <v>0</v>
      </c>
      <c r="FT40">
        <v>0</v>
      </c>
      <c r="FU40">
        <v>0</v>
      </c>
      <c r="FV40">
        <v>0</v>
      </c>
      <c r="FW40">
        <v>0</v>
      </c>
      <c r="FX40">
        <v>0</v>
      </c>
      <c r="FY40">
        <v>0</v>
      </c>
      <c r="IG40">
        <v>1</v>
      </c>
      <c r="IH40">
        <v>0</v>
      </c>
      <c r="II40">
        <v>0</v>
      </c>
      <c r="IJ40">
        <v>0</v>
      </c>
      <c r="IK40">
        <v>0</v>
      </c>
      <c r="IL40">
        <v>0</v>
      </c>
      <c r="IM40">
        <v>0</v>
      </c>
      <c r="IN40">
        <v>0</v>
      </c>
      <c r="IO40">
        <v>0</v>
      </c>
      <c r="IP40">
        <v>0</v>
      </c>
      <c r="IQ40">
        <v>0</v>
      </c>
      <c r="IS40">
        <v>2</v>
      </c>
    </row>
    <row r="41" spans="1:258" x14ac:dyDescent="0.35">
      <c r="A41">
        <v>405209</v>
      </c>
      <c r="C41">
        <v>1</v>
      </c>
      <c r="D41" t="s">
        <v>435</v>
      </c>
      <c r="E41" t="s">
        <v>436</v>
      </c>
      <c r="F41" t="s">
        <v>437</v>
      </c>
      <c r="G41">
        <v>7</v>
      </c>
      <c r="I41">
        <v>1</v>
      </c>
      <c r="J41">
        <v>0</v>
      </c>
      <c r="K41">
        <v>0</v>
      </c>
      <c r="L41">
        <v>0</v>
      </c>
      <c r="M41">
        <v>0</v>
      </c>
      <c r="N41">
        <v>0</v>
      </c>
      <c r="O41">
        <v>0</v>
      </c>
      <c r="P41">
        <v>0</v>
      </c>
      <c r="Q41">
        <v>0</v>
      </c>
      <c r="R41">
        <v>1</v>
      </c>
      <c r="T41">
        <v>0</v>
      </c>
      <c r="U41">
        <v>1</v>
      </c>
      <c r="V41">
        <v>0</v>
      </c>
      <c r="X41">
        <v>400</v>
      </c>
      <c r="AA41">
        <v>400</v>
      </c>
      <c r="AC41">
        <v>1</v>
      </c>
      <c r="AD41">
        <v>0</v>
      </c>
      <c r="AE41">
        <v>0</v>
      </c>
      <c r="AF41">
        <v>0</v>
      </c>
      <c r="AG41">
        <v>0</v>
      </c>
      <c r="AH41">
        <v>0</v>
      </c>
      <c r="AJ41">
        <v>1</v>
      </c>
      <c r="AL41">
        <v>1</v>
      </c>
      <c r="AN41">
        <v>1</v>
      </c>
      <c r="AO41">
        <v>3</v>
      </c>
      <c r="AP41">
        <v>5</v>
      </c>
      <c r="AQ41">
        <v>2</v>
      </c>
      <c r="AS41">
        <v>2</v>
      </c>
      <c r="AT41">
        <v>1</v>
      </c>
      <c r="AU41">
        <v>2</v>
      </c>
      <c r="BC41">
        <v>1</v>
      </c>
      <c r="BD41">
        <v>0</v>
      </c>
      <c r="BE41">
        <v>0</v>
      </c>
      <c r="BF41">
        <v>0</v>
      </c>
      <c r="BG41">
        <v>0</v>
      </c>
      <c r="BH41">
        <v>0</v>
      </c>
      <c r="BI41">
        <v>0</v>
      </c>
      <c r="BJ41">
        <v>0</v>
      </c>
      <c r="BK41">
        <v>0</v>
      </c>
      <c r="BL41">
        <v>0</v>
      </c>
      <c r="BM41">
        <v>0</v>
      </c>
      <c r="BN41">
        <v>0</v>
      </c>
      <c r="BO41">
        <v>0</v>
      </c>
      <c r="BP41">
        <v>0</v>
      </c>
      <c r="BQ41">
        <v>0</v>
      </c>
      <c r="BR41">
        <v>0</v>
      </c>
      <c r="BS41">
        <v>0</v>
      </c>
      <c r="BU41">
        <v>1</v>
      </c>
      <c r="BV41">
        <v>4</v>
      </c>
      <c r="BX41">
        <v>2</v>
      </c>
      <c r="BY41">
        <v>1</v>
      </c>
      <c r="DI41">
        <v>1</v>
      </c>
      <c r="DJ41">
        <v>1</v>
      </c>
      <c r="DK41">
        <v>0</v>
      </c>
      <c r="DL41">
        <v>0</v>
      </c>
      <c r="DM41">
        <v>0</v>
      </c>
      <c r="DN41">
        <v>1</v>
      </c>
      <c r="DO41">
        <v>0</v>
      </c>
      <c r="DP41">
        <v>0</v>
      </c>
      <c r="DQ41">
        <v>0</v>
      </c>
      <c r="DR41">
        <v>0</v>
      </c>
      <c r="DT41">
        <v>0</v>
      </c>
      <c r="DU41">
        <v>1</v>
      </c>
      <c r="DV41">
        <v>0</v>
      </c>
      <c r="DW41">
        <v>1</v>
      </c>
      <c r="DX41">
        <v>0</v>
      </c>
      <c r="DY41">
        <v>0</v>
      </c>
      <c r="DZ41">
        <v>0</v>
      </c>
      <c r="EA41">
        <v>0</v>
      </c>
      <c r="EB41">
        <v>0</v>
      </c>
      <c r="EC41">
        <v>0</v>
      </c>
      <c r="ED41">
        <v>0</v>
      </c>
      <c r="EE41">
        <v>0</v>
      </c>
      <c r="EF41">
        <v>0</v>
      </c>
      <c r="EI41" t="s">
        <v>438</v>
      </c>
      <c r="EJ41">
        <v>1</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IG41">
        <v>0</v>
      </c>
      <c r="IH41">
        <v>0</v>
      </c>
      <c r="II41">
        <v>1</v>
      </c>
      <c r="IJ41">
        <v>0</v>
      </c>
      <c r="IK41">
        <v>1</v>
      </c>
      <c r="IL41">
        <v>0</v>
      </c>
      <c r="IM41">
        <v>0</v>
      </c>
      <c r="IN41">
        <v>0</v>
      </c>
      <c r="IO41">
        <v>1</v>
      </c>
      <c r="IP41">
        <v>0</v>
      </c>
      <c r="IQ41">
        <v>0</v>
      </c>
      <c r="IS41">
        <v>2</v>
      </c>
    </row>
    <row r="42" spans="1:258" x14ac:dyDescent="0.35">
      <c r="A42">
        <v>370103</v>
      </c>
      <c r="C42">
        <v>1</v>
      </c>
      <c r="D42" t="s">
        <v>439</v>
      </c>
      <c r="E42" t="s">
        <v>440</v>
      </c>
      <c r="F42" t="s">
        <v>441</v>
      </c>
      <c r="G42">
        <v>4</v>
      </c>
      <c r="I42">
        <v>0</v>
      </c>
      <c r="J42">
        <v>0</v>
      </c>
      <c r="K42">
        <v>1</v>
      </c>
      <c r="L42">
        <v>1</v>
      </c>
      <c r="M42">
        <v>0</v>
      </c>
      <c r="N42">
        <v>0</v>
      </c>
      <c r="O42">
        <v>0</v>
      </c>
      <c r="P42">
        <v>0</v>
      </c>
      <c r="Q42">
        <v>0</v>
      </c>
      <c r="R42">
        <v>1</v>
      </c>
      <c r="T42">
        <v>1</v>
      </c>
      <c r="U42">
        <v>0</v>
      </c>
      <c r="V42">
        <v>0</v>
      </c>
      <c r="W42">
        <v>0</v>
      </c>
      <c r="AC42">
        <v>1</v>
      </c>
      <c r="AD42">
        <v>0</v>
      </c>
      <c r="AE42">
        <v>0</v>
      </c>
      <c r="AF42">
        <v>0</v>
      </c>
      <c r="AG42">
        <v>0</v>
      </c>
      <c r="AH42">
        <v>0</v>
      </c>
      <c r="AJ42">
        <v>1</v>
      </c>
      <c r="AL42">
        <v>1</v>
      </c>
      <c r="AN42">
        <v>1</v>
      </c>
      <c r="AO42">
        <v>1</v>
      </c>
      <c r="AP42">
        <v>4</v>
      </c>
      <c r="AQ42">
        <v>1</v>
      </c>
      <c r="AR42">
        <v>4</v>
      </c>
      <c r="AS42">
        <v>1</v>
      </c>
      <c r="AT42">
        <v>1</v>
      </c>
      <c r="AU42">
        <v>1</v>
      </c>
      <c r="AV42">
        <v>1</v>
      </c>
      <c r="AW42">
        <v>0</v>
      </c>
      <c r="AX42">
        <v>0</v>
      </c>
      <c r="AY42">
        <v>0</v>
      </c>
      <c r="AZ42">
        <v>0</v>
      </c>
      <c r="BA42">
        <v>0</v>
      </c>
      <c r="BC42">
        <v>1</v>
      </c>
      <c r="BD42">
        <v>0</v>
      </c>
      <c r="BE42">
        <v>1</v>
      </c>
      <c r="BF42">
        <v>0</v>
      </c>
      <c r="BG42">
        <v>0</v>
      </c>
      <c r="BH42">
        <v>0</v>
      </c>
      <c r="BI42">
        <v>1</v>
      </c>
      <c r="BJ42">
        <v>0</v>
      </c>
      <c r="BK42">
        <v>0</v>
      </c>
      <c r="BL42">
        <v>0</v>
      </c>
      <c r="BM42">
        <v>0</v>
      </c>
      <c r="BN42">
        <v>0</v>
      </c>
      <c r="BO42">
        <v>0</v>
      </c>
      <c r="BP42">
        <v>0</v>
      </c>
      <c r="BQ42">
        <v>0</v>
      </c>
      <c r="BR42">
        <v>0</v>
      </c>
      <c r="BS42">
        <v>0</v>
      </c>
      <c r="BU42">
        <v>3</v>
      </c>
      <c r="BV42">
        <v>4</v>
      </c>
      <c r="BX42">
        <v>5</v>
      </c>
      <c r="BY42">
        <v>5</v>
      </c>
      <c r="DI42">
        <v>0</v>
      </c>
      <c r="DJ42">
        <v>0</v>
      </c>
      <c r="DK42">
        <v>0</v>
      </c>
      <c r="DL42">
        <v>1</v>
      </c>
      <c r="DM42">
        <v>0</v>
      </c>
      <c r="DN42">
        <v>0</v>
      </c>
      <c r="DO42">
        <v>0</v>
      </c>
      <c r="DP42">
        <v>0</v>
      </c>
      <c r="DQ42">
        <v>0</v>
      </c>
      <c r="DR42">
        <v>0</v>
      </c>
      <c r="DT42">
        <v>0</v>
      </c>
      <c r="DU42">
        <v>1</v>
      </c>
      <c r="DV42">
        <v>0</v>
      </c>
      <c r="DW42">
        <v>0</v>
      </c>
      <c r="DX42">
        <v>1</v>
      </c>
      <c r="DY42">
        <v>0</v>
      </c>
      <c r="DZ42">
        <v>0</v>
      </c>
      <c r="EA42">
        <v>0</v>
      </c>
      <c r="EB42">
        <v>0</v>
      </c>
      <c r="EC42">
        <v>0</v>
      </c>
      <c r="ED42">
        <v>1</v>
      </c>
      <c r="EE42">
        <v>0</v>
      </c>
      <c r="EF42">
        <v>0</v>
      </c>
      <c r="EI42" t="s">
        <v>442</v>
      </c>
      <c r="EJ42">
        <v>1</v>
      </c>
      <c r="EK42">
        <v>1</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IG42">
        <v>1</v>
      </c>
      <c r="IH42">
        <v>1</v>
      </c>
      <c r="II42">
        <v>0</v>
      </c>
      <c r="IJ42">
        <v>0</v>
      </c>
      <c r="IK42">
        <v>0</v>
      </c>
      <c r="IL42">
        <v>0</v>
      </c>
      <c r="IM42">
        <v>0</v>
      </c>
      <c r="IN42">
        <v>0</v>
      </c>
      <c r="IO42">
        <v>1</v>
      </c>
      <c r="IP42">
        <v>0</v>
      </c>
      <c r="IQ42">
        <v>0</v>
      </c>
      <c r="IS42">
        <v>1</v>
      </c>
      <c r="IT42">
        <v>1</v>
      </c>
      <c r="IU42">
        <v>1</v>
      </c>
      <c r="IV42">
        <v>0</v>
      </c>
      <c r="IW42">
        <v>0</v>
      </c>
    </row>
    <row r="43" spans="1:258" x14ac:dyDescent="0.35">
      <c r="A43">
        <v>375531</v>
      </c>
      <c r="C43">
        <v>1</v>
      </c>
      <c r="D43" t="s">
        <v>443</v>
      </c>
      <c r="E43" t="s">
        <v>444</v>
      </c>
      <c r="F43" t="s">
        <v>445</v>
      </c>
      <c r="G43">
        <v>4</v>
      </c>
      <c r="I43">
        <v>0</v>
      </c>
      <c r="J43">
        <v>1</v>
      </c>
      <c r="K43">
        <v>0</v>
      </c>
      <c r="L43">
        <v>0</v>
      </c>
      <c r="M43">
        <v>0</v>
      </c>
      <c r="N43">
        <v>0</v>
      </c>
      <c r="O43">
        <v>0</v>
      </c>
      <c r="P43">
        <v>0</v>
      </c>
      <c r="Q43">
        <v>0</v>
      </c>
      <c r="R43">
        <v>1</v>
      </c>
      <c r="T43">
        <v>1</v>
      </c>
      <c r="U43">
        <v>1</v>
      </c>
      <c r="V43">
        <v>0</v>
      </c>
      <c r="W43">
        <v>700</v>
      </c>
      <c r="X43">
        <v>800</v>
      </c>
      <c r="Z43">
        <v>700</v>
      </c>
      <c r="AA43">
        <v>800</v>
      </c>
      <c r="AC43">
        <v>1</v>
      </c>
      <c r="AD43">
        <v>0</v>
      </c>
      <c r="AE43">
        <v>0</v>
      </c>
      <c r="AF43">
        <v>0</v>
      </c>
      <c r="AG43">
        <v>0</v>
      </c>
      <c r="AH43">
        <v>0</v>
      </c>
      <c r="AJ43">
        <v>1</v>
      </c>
      <c r="AL43">
        <v>1</v>
      </c>
      <c r="AN43">
        <v>3</v>
      </c>
      <c r="AQ43">
        <v>1</v>
      </c>
      <c r="AR43">
        <v>6</v>
      </c>
      <c r="AS43">
        <v>2</v>
      </c>
      <c r="AT43">
        <v>1</v>
      </c>
      <c r="AU43">
        <v>1</v>
      </c>
      <c r="AV43">
        <v>1</v>
      </c>
      <c r="AW43">
        <v>1</v>
      </c>
      <c r="AX43">
        <v>0</v>
      </c>
      <c r="AY43">
        <v>0</v>
      </c>
      <c r="AZ43">
        <v>1</v>
      </c>
      <c r="BA43">
        <v>0</v>
      </c>
      <c r="BC43">
        <v>0</v>
      </c>
      <c r="BD43">
        <v>1</v>
      </c>
      <c r="BE43">
        <v>0</v>
      </c>
      <c r="BF43">
        <v>0</v>
      </c>
      <c r="BG43">
        <v>0</v>
      </c>
      <c r="BH43">
        <v>0</v>
      </c>
      <c r="BI43">
        <v>0</v>
      </c>
      <c r="BJ43">
        <v>0</v>
      </c>
      <c r="BK43">
        <v>0</v>
      </c>
      <c r="BL43">
        <v>0</v>
      </c>
      <c r="BM43">
        <v>0</v>
      </c>
      <c r="BN43">
        <v>0</v>
      </c>
      <c r="BO43">
        <v>0</v>
      </c>
      <c r="BP43">
        <v>0</v>
      </c>
      <c r="BQ43">
        <v>0</v>
      </c>
      <c r="BR43">
        <v>0</v>
      </c>
      <c r="BS43">
        <v>0</v>
      </c>
      <c r="BU43">
        <v>2</v>
      </c>
      <c r="BV43">
        <v>4</v>
      </c>
      <c r="BX43">
        <v>6</v>
      </c>
      <c r="BY43">
        <v>6</v>
      </c>
      <c r="DI43">
        <v>0</v>
      </c>
      <c r="DJ43">
        <v>0</v>
      </c>
      <c r="DK43">
        <v>1</v>
      </c>
      <c r="DL43">
        <v>0</v>
      </c>
      <c r="DM43">
        <v>0</v>
      </c>
      <c r="DN43">
        <v>0</v>
      </c>
      <c r="DO43">
        <v>0</v>
      </c>
      <c r="DP43">
        <v>0</v>
      </c>
      <c r="DQ43">
        <v>0</v>
      </c>
      <c r="DR43">
        <v>0</v>
      </c>
      <c r="DT43">
        <v>0</v>
      </c>
      <c r="DU43">
        <v>1</v>
      </c>
      <c r="DV43">
        <v>0</v>
      </c>
      <c r="DW43">
        <v>0</v>
      </c>
      <c r="DX43">
        <v>0</v>
      </c>
      <c r="DY43">
        <v>0</v>
      </c>
      <c r="DZ43">
        <v>0</v>
      </c>
      <c r="EA43">
        <v>0</v>
      </c>
      <c r="EB43">
        <v>0</v>
      </c>
      <c r="EC43">
        <v>0</v>
      </c>
      <c r="ED43">
        <v>0</v>
      </c>
      <c r="EE43">
        <v>0</v>
      </c>
      <c r="EF43">
        <v>0</v>
      </c>
      <c r="EI43" t="s">
        <v>274</v>
      </c>
      <c r="EJ43">
        <v>1</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IG43">
        <v>0</v>
      </c>
      <c r="IH43">
        <v>0</v>
      </c>
      <c r="II43">
        <v>1</v>
      </c>
      <c r="IJ43">
        <v>0</v>
      </c>
      <c r="IK43">
        <v>0</v>
      </c>
      <c r="IL43">
        <v>0</v>
      </c>
      <c r="IM43">
        <v>0</v>
      </c>
      <c r="IN43">
        <v>0</v>
      </c>
      <c r="IO43">
        <v>1</v>
      </c>
      <c r="IP43">
        <v>0</v>
      </c>
      <c r="IQ43">
        <v>0</v>
      </c>
      <c r="IS43">
        <v>2</v>
      </c>
    </row>
    <row r="44" spans="1:258" x14ac:dyDescent="0.35">
      <c r="A44">
        <v>405336</v>
      </c>
      <c r="C44">
        <v>1</v>
      </c>
      <c r="D44" t="s">
        <v>446</v>
      </c>
      <c r="E44" t="s">
        <v>447</v>
      </c>
      <c r="F44" t="s">
        <v>445</v>
      </c>
      <c r="G44">
        <v>15</v>
      </c>
      <c r="H44" t="s">
        <v>448</v>
      </c>
      <c r="I44">
        <v>1</v>
      </c>
      <c r="J44">
        <v>0</v>
      </c>
      <c r="K44">
        <v>1</v>
      </c>
      <c r="L44">
        <v>1</v>
      </c>
      <c r="M44">
        <v>0</v>
      </c>
      <c r="N44">
        <v>0</v>
      </c>
      <c r="O44">
        <v>0</v>
      </c>
      <c r="P44">
        <v>0</v>
      </c>
      <c r="Q44">
        <v>0</v>
      </c>
      <c r="R44">
        <v>1</v>
      </c>
      <c r="T44">
        <v>1</v>
      </c>
      <c r="U44">
        <v>1</v>
      </c>
      <c r="V44">
        <v>1</v>
      </c>
      <c r="W44">
        <v>3</v>
      </c>
      <c r="X44">
        <v>75</v>
      </c>
      <c r="Y44">
        <v>25</v>
      </c>
      <c r="Z44">
        <v>3</v>
      </c>
      <c r="AA44">
        <v>75</v>
      </c>
      <c r="AB44">
        <v>25</v>
      </c>
      <c r="AC44">
        <v>1</v>
      </c>
      <c r="AD44">
        <v>1</v>
      </c>
      <c r="AE44">
        <v>0</v>
      </c>
      <c r="AF44">
        <v>0</v>
      </c>
      <c r="AG44">
        <v>0</v>
      </c>
      <c r="AH44">
        <v>0</v>
      </c>
      <c r="AJ44">
        <v>1</v>
      </c>
      <c r="AL44">
        <v>1</v>
      </c>
      <c r="AN44">
        <v>3</v>
      </c>
      <c r="AQ44">
        <v>1</v>
      </c>
      <c r="AR44">
        <v>5</v>
      </c>
      <c r="AS44">
        <v>1</v>
      </c>
      <c r="AT44">
        <v>1</v>
      </c>
      <c r="AU44">
        <v>1</v>
      </c>
      <c r="AV44">
        <v>1</v>
      </c>
      <c r="AW44">
        <v>0</v>
      </c>
      <c r="AX44">
        <v>0</v>
      </c>
      <c r="AY44">
        <v>0</v>
      </c>
      <c r="AZ44">
        <v>0</v>
      </c>
      <c r="BA44">
        <v>0</v>
      </c>
      <c r="BC44">
        <v>0</v>
      </c>
      <c r="BD44">
        <v>0</v>
      </c>
      <c r="BE44">
        <v>1</v>
      </c>
      <c r="BF44">
        <v>0</v>
      </c>
      <c r="BG44">
        <v>0</v>
      </c>
      <c r="BH44">
        <v>0</v>
      </c>
      <c r="BI44">
        <v>0</v>
      </c>
      <c r="BJ44">
        <v>0</v>
      </c>
      <c r="BK44">
        <v>0</v>
      </c>
      <c r="BL44">
        <v>0</v>
      </c>
      <c r="BM44">
        <v>0</v>
      </c>
      <c r="BN44">
        <v>0</v>
      </c>
      <c r="BO44">
        <v>0</v>
      </c>
      <c r="BP44">
        <v>1</v>
      </c>
      <c r="BQ44">
        <v>0</v>
      </c>
      <c r="BR44">
        <v>0</v>
      </c>
      <c r="BS44">
        <v>0</v>
      </c>
      <c r="BU44">
        <v>3</v>
      </c>
      <c r="BV44">
        <v>4</v>
      </c>
      <c r="BX44">
        <v>4</v>
      </c>
      <c r="BY44">
        <v>4</v>
      </c>
      <c r="DI44">
        <v>0</v>
      </c>
      <c r="DJ44">
        <v>0</v>
      </c>
      <c r="DK44">
        <v>0</v>
      </c>
      <c r="DL44">
        <v>0</v>
      </c>
      <c r="DM44">
        <v>0</v>
      </c>
      <c r="DN44">
        <v>0</v>
      </c>
      <c r="DO44">
        <v>0</v>
      </c>
      <c r="DP44">
        <v>1</v>
      </c>
      <c r="DQ44">
        <v>1</v>
      </c>
      <c r="DR44">
        <v>0</v>
      </c>
      <c r="DS44" t="s">
        <v>449</v>
      </c>
      <c r="DT44">
        <v>0</v>
      </c>
      <c r="DU44">
        <v>0</v>
      </c>
      <c r="DV44">
        <v>0</v>
      </c>
      <c r="DW44">
        <v>0</v>
      </c>
      <c r="DX44">
        <v>1</v>
      </c>
      <c r="DY44">
        <v>0</v>
      </c>
      <c r="DZ44">
        <v>0</v>
      </c>
      <c r="EA44">
        <v>0</v>
      </c>
      <c r="EB44">
        <v>0</v>
      </c>
      <c r="EC44">
        <v>1</v>
      </c>
      <c r="ED44">
        <v>1</v>
      </c>
      <c r="EE44">
        <v>0</v>
      </c>
      <c r="EF44">
        <v>0</v>
      </c>
      <c r="GJ44" t="s">
        <v>450</v>
      </c>
      <c r="GK44">
        <v>0</v>
      </c>
      <c r="GL44">
        <v>0</v>
      </c>
      <c r="GM44">
        <v>0</v>
      </c>
      <c r="GN44">
        <v>0</v>
      </c>
      <c r="GO44">
        <v>0</v>
      </c>
      <c r="GP44">
        <v>0</v>
      </c>
      <c r="GQ44">
        <v>1</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G44">
        <v>0</v>
      </c>
      <c r="IH44">
        <v>0</v>
      </c>
      <c r="II44">
        <v>1</v>
      </c>
      <c r="IJ44">
        <v>0</v>
      </c>
      <c r="IK44">
        <v>0</v>
      </c>
      <c r="IL44">
        <v>0</v>
      </c>
      <c r="IM44">
        <v>0</v>
      </c>
      <c r="IN44">
        <v>0</v>
      </c>
      <c r="IO44">
        <v>0</v>
      </c>
      <c r="IP44">
        <v>0</v>
      </c>
      <c r="IQ44">
        <v>0</v>
      </c>
      <c r="IS44">
        <v>2</v>
      </c>
    </row>
    <row r="45" spans="1:258" x14ac:dyDescent="0.35">
      <c r="A45">
        <v>405537</v>
      </c>
      <c r="C45">
        <v>1</v>
      </c>
      <c r="D45" t="s">
        <v>451</v>
      </c>
      <c r="E45" t="s">
        <v>452</v>
      </c>
      <c r="F45" t="s">
        <v>453</v>
      </c>
      <c r="G45">
        <v>3</v>
      </c>
      <c r="I45">
        <v>0</v>
      </c>
      <c r="J45">
        <v>0</v>
      </c>
      <c r="K45">
        <v>1</v>
      </c>
      <c r="L45">
        <v>0</v>
      </c>
      <c r="M45">
        <v>0</v>
      </c>
      <c r="N45">
        <v>0</v>
      </c>
      <c r="O45">
        <v>0</v>
      </c>
      <c r="P45">
        <v>0</v>
      </c>
      <c r="Q45">
        <v>0</v>
      </c>
      <c r="R45">
        <v>1</v>
      </c>
      <c r="T45">
        <v>1</v>
      </c>
      <c r="U45">
        <v>1</v>
      </c>
      <c r="V45">
        <v>0</v>
      </c>
      <c r="W45">
        <v>18</v>
      </c>
      <c r="X45">
        <v>55</v>
      </c>
      <c r="Z45">
        <v>18</v>
      </c>
      <c r="AA45">
        <v>55</v>
      </c>
      <c r="AC45">
        <v>1</v>
      </c>
      <c r="AD45">
        <v>1</v>
      </c>
      <c r="AE45">
        <v>0</v>
      </c>
      <c r="AF45">
        <v>0</v>
      </c>
      <c r="AG45">
        <v>0</v>
      </c>
      <c r="AH45">
        <v>0</v>
      </c>
      <c r="AJ45">
        <v>1</v>
      </c>
      <c r="AL45">
        <v>1</v>
      </c>
      <c r="AN45">
        <v>1</v>
      </c>
      <c r="AO45">
        <v>1</v>
      </c>
      <c r="AP45">
        <v>3</v>
      </c>
      <c r="AQ45">
        <v>1</v>
      </c>
      <c r="AR45">
        <v>4</v>
      </c>
      <c r="AS45">
        <v>2</v>
      </c>
      <c r="AT45">
        <v>1</v>
      </c>
      <c r="AU45">
        <v>2</v>
      </c>
      <c r="BC45">
        <v>0</v>
      </c>
      <c r="BD45">
        <v>0</v>
      </c>
      <c r="BE45">
        <v>0</v>
      </c>
      <c r="BF45">
        <v>0</v>
      </c>
      <c r="BG45">
        <v>1</v>
      </c>
      <c r="BH45">
        <v>1</v>
      </c>
      <c r="BI45">
        <v>0</v>
      </c>
      <c r="BJ45">
        <v>0</v>
      </c>
      <c r="BK45">
        <v>0</v>
      </c>
      <c r="BL45">
        <v>0</v>
      </c>
      <c r="BM45">
        <v>0</v>
      </c>
      <c r="BN45">
        <v>0</v>
      </c>
      <c r="BO45">
        <v>0</v>
      </c>
      <c r="BP45">
        <v>1</v>
      </c>
      <c r="BQ45">
        <v>0</v>
      </c>
      <c r="BR45">
        <v>0</v>
      </c>
      <c r="BS45">
        <v>0</v>
      </c>
    </row>
    <row r="46" spans="1:258" x14ac:dyDescent="0.35">
      <c r="A46">
        <v>370275</v>
      </c>
      <c r="C46">
        <v>1</v>
      </c>
      <c r="D46" t="s">
        <v>454</v>
      </c>
      <c r="E46" t="s">
        <v>455</v>
      </c>
      <c r="F46" t="s">
        <v>453</v>
      </c>
      <c r="G46">
        <v>10</v>
      </c>
      <c r="I46">
        <v>1</v>
      </c>
      <c r="J46">
        <v>1</v>
      </c>
      <c r="K46">
        <v>1</v>
      </c>
      <c r="L46">
        <v>0</v>
      </c>
      <c r="M46">
        <v>0</v>
      </c>
      <c r="N46">
        <v>0</v>
      </c>
      <c r="O46">
        <v>0</v>
      </c>
      <c r="P46">
        <v>0</v>
      </c>
      <c r="Q46">
        <v>0</v>
      </c>
      <c r="R46">
        <v>1</v>
      </c>
      <c r="T46">
        <v>1</v>
      </c>
      <c r="U46">
        <v>1</v>
      </c>
      <c r="V46">
        <v>0</v>
      </c>
      <c r="W46">
        <v>24</v>
      </c>
      <c r="X46">
        <v>72</v>
      </c>
      <c r="Z46">
        <v>24</v>
      </c>
      <c r="AA46">
        <v>72</v>
      </c>
      <c r="AC46">
        <v>1</v>
      </c>
      <c r="AD46">
        <v>0</v>
      </c>
      <c r="AE46">
        <v>0</v>
      </c>
      <c r="AF46">
        <v>1</v>
      </c>
      <c r="AG46">
        <v>0</v>
      </c>
      <c r="AH46">
        <v>0</v>
      </c>
      <c r="AJ46">
        <v>1</v>
      </c>
      <c r="AL46">
        <v>3</v>
      </c>
      <c r="AN46">
        <v>1</v>
      </c>
      <c r="AO46">
        <v>3</v>
      </c>
      <c r="AP46">
        <v>5</v>
      </c>
      <c r="AQ46">
        <v>2</v>
      </c>
      <c r="AS46">
        <v>2</v>
      </c>
      <c r="AT46">
        <v>3</v>
      </c>
      <c r="AU46">
        <v>2</v>
      </c>
      <c r="BC46">
        <v>0</v>
      </c>
      <c r="BD46">
        <v>0</v>
      </c>
      <c r="BE46">
        <v>0</v>
      </c>
      <c r="BF46">
        <v>0</v>
      </c>
      <c r="BG46">
        <v>0</v>
      </c>
      <c r="BH46">
        <v>0</v>
      </c>
      <c r="BI46">
        <v>0</v>
      </c>
      <c r="BJ46">
        <v>0</v>
      </c>
      <c r="BK46">
        <v>0</v>
      </c>
      <c r="BL46">
        <v>0</v>
      </c>
      <c r="BM46">
        <v>0</v>
      </c>
      <c r="BN46">
        <v>1</v>
      </c>
      <c r="BO46">
        <v>0</v>
      </c>
      <c r="BP46">
        <v>0</v>
      </c>
      <c r="BQ46">
        <v>0</v>
      </c>
      <c r="BR46">
        <v>0</v>
      </c>
      <c r="BS46">
        <v>0</v>
      </c>
      <c r="BU46">
        <v>16</v>
      </c>
      <c r="BV46">
        <v>3</v>
      </c>
      <c r="BW46" t="s">
        <v>357</v>
      </c>
      <c r="BX46">
        <v>6</v>
      </c>
      <c r="BY46">
        <v>4</v>
      </c>
      <c r="DI46">
        <v>1</v>
      </c>
      <c r="DJ46">
        <v>0</v>
      </c>
      <c r="DK46">
        <v>0</v>
      </c>
      <c r="DL46">
        <v>0</v>
      </c>
      <c r="DM46">
        <v>0</v>
      </c>
      <c r="DN46">
        <v>0</v>
      </c>
      <c r="DO46">
        <v>0</v>
      </c>
      <c r="DP46">
        <v>0</v>
      </c>
      <c r="DQ46">
        <v>0</v>
      </c>
      <c r="DR46">
        <v>0</v>
      </c>
      <c r="DT46">
        <v>0</v>
      </c>
      <c r="DU46">
        <v>0</v>
      </c>
      <c r="DV46">
        <v>0</v>
      </c>
      <c r="DW46">
        <v>0</v>
      </c>
      <c r="DX46">
        <v>0</v>
      </c>
      <c r="DY46">
        <v>0</v>
      </c>
      <c r="DZ46">
        <v>0</v>
      </c>
      <c r="EA46">
        <v>0</v>
      </c>
      <c r="EB46">
        <v>0</v>
      </c>
      <c r="EC46">
        <v>0</v>
      </c>
      <c r="ED46">
        <v>1</v>
      </c>
      <c r="EE46">
        <v>0</v>
      </c>
      <c r="EF46">
        <v>0</v>
      </c>
      <c r="IG46">
        <v>0</v>
      </c>
      <c r="IH46">
        <v>0</v>
      </c>
      <c r="II46">
        <v>1</v>
      </c>
      <c r="IJ46">
        <v>0</v>
      </c>
      <c r="IK46">
        <v>0</v>
      </c>
      <c r="IL46">
        <v>1</v>
      </c>
      <c r="IM46">
        <v>0</v>
      </c>
      <c r="IN46">
        <v>0</v>
      </c>
      <c r="IO46">
        <v>0</v>
      </c>
      <c r="IP46">
        <v>0</v>
      </c>
      <c r="IQ46">
        <v>0</v>
      </c>
      <c r="IS46">
        <v>1</v>
      </c>
      <c r="IT46">
        <v>1</v>
      </c>
      <c r="IU46">
        <v>0</v>
      </c>
      <c r="IV46">
        <v>0</v>
      </c>
      <c r="IW46">
        <v>0</v>
      </c>
    </row>
    <row r="47" spans="1:258" x14ac:dyDescent="0.35">
      <c r="A47">
        <v>396940</v>
      </c>
      <c r="C47">
        <v>1</v>
      </c>
      <c r="D47" t="s">
        <v>456</v>
      </c>
      <c r="E47" t="s">
        <v>457</v>
      </c>
      <c r="F47" t="s">
        <v>453</v>
      </c>
      <c r="G47">
        <v>8</v>
      </c>
      <c r="I47">
        <v>0</v>
      </c>
      <c r="J47">
        <v>0</v>
      </c>
      <c r="K47">
        <v>1</v>
      </c>
      <c r="L47">
        <v>0</v>
      </c>
      <c r="M47">
        <v>0</v>
      </c>
      <c r="N47">
        <v>0</v>
      </c>
      <c r="O47">
        <v>0</v>
      </c>
      <c r="P47">
        <v>0</v>
      </c>
      <c r="Q47">
        <v>0</v>
      </c>
      <c r="R47">
        <v>1</v>
      </c>
      <c r="T47">
        <v>1</v>
      </c>
      <c r="U47">
        <v>0</v>
      </c>
      <c r="V47">
        <v>0</v>
      </c>
      <c r="W47">
        <v>10</v>
      </c>
      <c r="Z47">
        <v>10</v>
      </c>
      <c r="AC47">
        <v>1</v>
      </c>
      <c r="AD47">
        <v>1</v>
      </c>
      <c r="AE47">
        <v>0</v>
      </c>
      <c r="AF47">
        <v>0</v>
      </c>
      <c r="AG47">
        <v>0</v>
      </c>
      <c r="AH47">
        <v>0</v>
      </c>
      <c r="AJ47">
        <v>2</v>
      </c>
      <c r="AL47">
        <v>1</v>
      </c>
      <c r="AN47">
        <v>1</v>
      </c>
      <c r="AO47">
        <v>1</v>
      </c>
      <c r="AP47">
        <v>5</v>
      </c>
      <c r="AQ47">
        <v>2</v>
      </c>
      <c r="AS47">
        <v>1</v>
      </c>
      <c r="AT47">
        <v>1</v>
      </c>
      <c r="AU47">
        <v>1</v>
      </c>
      <c r="AV47">
        <v>1</v>
      </c>
      <c r="AW47">
        <v>0</v>
      </c>
      <c r="AX47">
        <v>0</v>
      </c>
      <c r="AY47">
        <v>0</v>
      </c>
      <c r="AZ47">
        <v>1</v>
      </c>
      <c r="BA47">
        <v>0</v>
      </c>
      <c r="BC47">
        <v>1</v>
      </c>
      <c r="BD47">
        <v>0</v>
      </c>
      <c r="BE47">
        <v>0</v>
      </c>
      <c r="BF47">
        <v>0</v>
      </c>
      <c r="BG47">
        <v>0</v>
      </c>
      <c r="BH47">
        <v>0</v>
      </c>
      <c r="BI47">
        <v>0</v>
      </c>
      <c r="BJ47">
        <v>0</v>
      </c>
      <c r="BK47">
        <v>1</v>
      </c>
      <c r="BL47">
        <v>0</v>
      </c>
      <c r="BM47">
        <v>0</v>
      </c>
      <c r="BN47">
        <v>0</v>
      </c>
      <c r="BO47">
        <v>0</v>
      </c>
      <c r="BP47">
        <v>0</v>
      </c>
      <c r="BQ47">
        <v>1</v>
      </c>
      <c r="BR47">
        <v>0</v>
      </c>
      <c r="BS47">
        <v>0</v>
      </c>
      <c r="BU47">
        <v>17</v>
      </c>
      <c r="BV47">
        <v>4</v>
      </c>
      <c r="BX47">
        <v>3</v>
      </c>
    </row>
    <row r="48" spans="1:258" x14ac:dyDescent="0.35">
      <c r="A48">
        <v>373188</v>
      </c>
      <c r="C48">
        <v>1</v>
      </c>
      <c r="D48" t="s">
        <v>458</v>
      </c>
      <c r="E48" t="s">
        <v>444</v>
      </c>
      <c r="F48" t="s">
        <v>453</v>
      </c>
      <c r="G48">
        <v>6</v>
      </c>
      <c r="I48">
        <v>1</v>
      </c>
      <c r="J48">
        <v>0</v>
      </c>
      <c r="K48">
        <v>1</v>
      </c>
      <c r="L48">
        <v>0</v>
      </c>
      <c r="M48">
        <v>0</v>
      </c>
      <c r="N48">
        <v>0</v>
      </c>
      <c r="O48">
        <v>0</v>
      </c>
      <c r="P48">
        <v>0</v>
      </c>
      <c r="Q48">
        <v>0</v>
      </c>
      <c r="R48">
        <v>1</v>
      </c>
      <c r="T48">
        <v>0</v>
      </c>
      <c r="U48">
        <v>1</v>
      </c>
      <c r="V48">
        <v>0</v>
      </c>
      <c r="X48">
        <v>1980</v>
      </c>
      <c r="AA48">
        <v>1980</v>
      </c>
      <c r="AC48">
        <v>1</v>
      </c>
      <c r="AD48">
        <v>0</v>
      </c>
      <c r="AE48">
        <v>0</v>
      </c>
      <c r="AF48">
        <v>0</v>
      </c>
      <c r="AG48">
        <v>0</v>
      </c>
      <c r="AH48">
        <v>0</v>
      </c>
      <c r="AJ48">
        <v>1</v>
      </c>
      <c r="AL48">
        <v>1</v>
      </c>
      <c r="AN48">
        <v>1</v>
      </c>
      <c r="AO48">
        <v>1</v>
      </c>
      <c r="AP48">
        <v>5</v>
      </c>
      <c r="AQ48">
        <v>1</v>
      </c>
      <c r="AR48">
        <v>6</v>
      </c>
      <c r="AS48">
        <v>2</v>
      </c>
      <c r="AT48">
        <v>1</v>
      </c>
      <c r="AU48">
        <v>1</v>
      </c>
      <c r="AV48">
        <v>0</v>
      </c>
      <c r="AW48">
        <v>0</v>
      </c>
      <c r="AX48">
        <v>0</v>
      </c>
      <c r="AY48">
        <v>0</v>
      </c>
      <c r="AZ48">
        <v>1</v>
      </c>
      <c r="BA48">
        <v>0</v>
      </c>
      <c r="BC48">
        <v>0</v>
      </c>
      <c r="BD48">
        <v>0</v>
      </c>
      <c r="BE48">
        <v>1</v>
      </c>
      <c r="BF48">
        <v>0</v>
      </c>
      <c r="BG48">
        <v>0</v>
      </c>
      <c r="BH48">
        <v>0</v>
      </c>
      <c r="BI48">
        <v>0</v>
      </c>
      <c r="BJ48">
        <v>0</v>
      </c>
      <c r="BK48">
        <v>1</v>
      </c>
      <c r="BL48">
        <v>0</v>
      </c>
      <c r="BM48">
        <v>1</v>
      </c>
      <c r="BN48">
        <v>0</v>
      </c>
      <c r="BO48">
        <v>0</v>
      </c>
      <c r="BP48">
        <v>1</v>
      </c>
      <c r="BQ48">
        <v>0</v>
      </c>
      <c r="BR48">
        <v>0</v>
      </c>
      <c r="BS48">
        <v>0</v>
      </c>
      <c r="BU48">
        <v>14</v>
      </c>
      <c r="BV48">
        <v>4</v>
      </c>
      <c r="BX48">
        <v>6</v>
      </c>
      <c r="BY48">
        <v>6</v>
      </c>
      <c r="DI48">
        <v>0</v>
      </c>
      <c r="DJ48">
        <v>0</v>
      </c>
      <c r="DK48">
        <v>0</v>
      </c>
      <c r="DL48">
        <v>0</v>
      </c>
      <c r="DM48">
        <v>0</v>
      </c>
      <c r="DN48">
        <v>0</v>
      </c>
      <c r="DO48">
        <v>0</v>
      </c>
      <c r="DP48">
        <v>0</v>
      </c>
      <c r="DQ48">
        <v>0</v>
      </c>
      <c r="DR48">
        <v>1</v>
      </c>
      <c r="DT48">
        <v>0</v>
      </c>
      <c r="DU48">
        <v>0</v>
      </c>
      <c r="DV48">
        <v>0</v>
      </c>
      <c r="DW48">
        <v>0</v>
      </c>
      <c r="DX48">
        <v>0</v>
      </c>
      <c r="DY48">
        <v>0</v>
      </c>
      <c r="DZ48">
        <v>0</v>
      </c>
      <c r="EA48">
        <v>0</v>
      </c>
      <c r="EB48">
        <v>0</v>
      </c>
      <c r="EC48">
        <v>0</v>
      </c>
      <c r="ED48">
        <v>1</v>
      </c>
      <c r="EE48">
        <v>0</v>
      </c>
      <c r="EF48">
        <v>0</v>
      </c>
      <c r="IG48">
        <v>0</v>
      </c>
      <c r="IH48">
        <v>0</v>
      </c>
      <c r="II48">
        <v>0</v>
      </c>
      <c r="IJ48">
        <v>0</v>
      </c>
      <c r="IK48">
        <v>0</v>
      </c>
      <c r="IL48">
        <v>0</v>
      </c>
      <c r="IM48">
        <v>0</v>
      </c>
      <c r="IN48">
        <v>0</v>
      </c>
      <c r="IO48">
        <v>0</v>
      </c>
      <c r="IP48">
        <v>0</v>
      </c>
      <c r="IQ48">
        <v>1</v>
      </c>
      <c r="IS48">
        <v>2</v>
      </c>
    </row>
    <row r="49" spans="1:258" x14ac:dyDescent="0.35">
      <c r="A49">
        <v>376471</v>
      </c>
      <c r="C49">
        <v>1</v>
      </c>
      <c r="D49" t="s">
        <v>459</v>
      </c>
      <c r="E49" t="s">
        <v>460</v>
      </c>
      <c r="F49" t="s">
        <v>453</v>
      </c>
      <c r="G49">
        <v>15</v>
      </c>
      <c r="H49" t="s">
        <v>461</v>
      </c>
      <c r="I49">
        <v>1</v>
      </c>
      <c r="J49">
        <v>0</v>
      </c>
      <c r="K49">
        <v>1</v>
      </c>
      <c r="L49">
        <v>0</v>
      </c>
      <c r="M49">
        <v>0</v>
      </c>
      <c r="N49">
        <v>0</v>
      </c>
      <c r="O49">
        <v>0</v>
      </c>
      <c r="P49">
        <v>0</v>
      </c>
      <c r="Q49">
        <v>1</v>
      </c>
      <c r="R49">
        <v>1</v>
      </c>
      <c r="T49">
        <v>1</v>
      </c>
      <c r="U49">
        <v>1</v>
      </c>
      <c r="V49">
        <v>1</v>
      </c>
      <c r="W49">
        <v>4</v>
      </c>
      <c r="X49">
        <v>47</v>
      </c>
      <c r="Y49">
        <v>7</v>
      </c>
      <c r="Z49">
        <v>4</v>
      </c>
      <c r="AA49">
        <v>47</v>
      </c>
      <c r="AB49">
        <v>7</v>
      </c>
      <c r="AC49">
        <v>1</v>
      </c>
      <c r="AD49">
        <v>1</v>
      </c>
      <c r="AE49">
        <v>0</v>
      </c>
      <c r="AF49">
        <v>1</v>
      </c>
      <c r="AG49">
        <v>0</v>
      </c>
      <c r="AH49">
        <v>0</v>
      </c>
      <c r="AJ49">
        <v>4</v>
      </c>
      <c r="AL49">
        <v>1</v>
      </c>
      <c r="AN49">
        <v>1</v>
      </c>
      <c r="AO49">
        <v>1</v>
      </c>
      <c r="AP49">
        <v>1</v>
      </c>
      <c r="AQ49">
        <v>2</v>
      </c>
      <c r="AS49">
        <v>2</v>
      </c>
      <c r="AT49">
        <v>1</v>
      </c>
      <c r="AU49">
        <v>1</v>
      </c>
      <c r="AV49">
        <v>1</v>
      </c>
      <c r="AW49">
        <v>0</v>
      </c>
      <c r="AX49">
        <v>0</v>
      </c>
      <c r="AY49">
        <v>0</v>
      </c>
      <c r="AZ49">
        <v>0</v>
      </c>
      <c r="BA49">
        <v>0</v>
      </c>
      <c r="BC49">
        <v>1</v>
      </c>
      <c r="BD49">
        <v>1</v>
      </c>
      <c r="BE49">
        <v>1</v>
      </c>
      <c r="BF49">
        <v>0</v>
      </c>
      <c r="BG49">
        <v>1</v>
      </c>
      <c r="BH49">
        <v>1</v>
      </c>
      <c r="BI49">
        <v>0</v>
      </c>
      <c r="BJ49">
        <v>0</v>
      </c>
      <c r="BK49">
        <v>1</v>
      </c>
      <c r="BL49">
        <v>0</v>
      </c>
      <c r="BM49">
        <v>0</v>
      </c>
      <c r="BN49">
        <v>0</v>
      </c>
      <c r="BO49">
        <v>0</v>
      </c>
      <c r="BP49">
        <v>1</v>
      </c>
      <c r="BQ49">
        <v>0</v>
      </c>
      <c r="BR49">
        <v>0</v>
      </c>
      <c r="BS49">
        <v>0</v>
      </c>
      <c r="BU49">
        <v>3</v>
      </c>
      <c r="BV49">
        <v>4</v>
      </c>
      <c r="BX49">
        <v>4</v>
      </c>
      <c r="BY49">
        <v>3</v>
      </c>
      <c r="DI49">
        <v>0</v>
      </c>
      <c r="DJ49">
        <v>0</v>
      </c>
      <c r="DK49">
        <v>1</v>
      </c>
      <c r="DL49">
        <v>0</v>
      </c>
      <c r="DM49">
        <v>0</v>
      </c>
      <c r="DN49">
        <v>1</v>
      </c>
      <c r="DO49">
        <v>0</v>
      </c>
      <c r="DP49">
        <v>0</v>
      </c>
      <c r="DQ49">
        <v>0</v>
      </c>
      <c r="DR49">
        <v>0</v>
      </c>
      <c r="DT49">
        <v>0</v>
      </c>
      <c r="DU49">
        <v>1</v>
      </c>
      <c r="DV49">
        <v>0</v>
      </c>
      <c r="DW49">
        <v>1</v>
      </c>
      <c r="DX49">
        <v>1</v>
      </c>
      <c r="DY49">
        <v>0</v>
      </c>
      <c r="DZ49">
        <v>0</v>
      </c>
      <c r="EA49">
        <v>0</v>
      </c>
      <c r="EB49">
        <v>0</v>
      </c>
      <c r="EC49">
        <v>1</v>
      </c>
      <c r="ED49">
        <v>1</v>
      </c>
      <c r="EE49">
        <v>0</v>
      </c>
      <c r="EF49">
        <v>0</v>
      </c>
      <c r="EI49" t="s">
        <v>462</v>
      </c>
      <c r="EJ49">
        <v>1</v>
      </c>
      <c r="EK49">
        <v>1</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GJ49" t="s">
        <v>463</v>
      </c>
      <c r="GK49">
        <v>0</v>
      </c>
      <c r="GL49">
        <v>0</v>
      </c>
      <c r="GM49">
        <v>0</v>
      </c>
      <c r="GN49">
        <v>0</v>
      </c>
      <c r="GO49">
        <v>0</v>
      </c>
      <c r="GP49">
        <v>0</v>
      </c>
      <c r="GQ49">
        <v>1</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G49">
        <v>1</v>
      </c>
      <c r="IH49">
        <v>0</v>
      </c>
      <c r="II49">
        <v>1</v>
      </c>
      <c r="IJ49">
        <v>0</v>
      </c>
      <c r="IK49">
        <v>0</v>
      </c>
      <c r="IL49">
        <v>0</v>
      </c>
      <c r="IM49">
        <v>0</v>
      </c>
      <c r="IN49">
        <v>0</v>
      </c>
      <c r="IO49">
        <v>0</v>
      </c>
      <c r="IP49">
        <v>0</v>
      </c>
      <c r="IQ49">
        <v>0</v>
      </c>
      <c r="IS49">
        <v>2</v>
      </c>
    </row>
    <row r="50" spans="1:258" x14ac:dyDescent="0.35">
      <c r="A50">
        <v>370582</v>
      </c>
      <c r="C50">
        <v>1</v>
      </c>
      <c r="D50" t="s">
        <v>464</v>
      </c>
      <c r="E50" t="s">
        <v>465</v>
      </c>
      <c r="F50" t="s">
        <v>466</v>
      </c>
      <c r="G50">
        <v>3</v>
      </c>
      <c r="I50">
        <v>1</v>
      </c>
      <c r="J50">
        <v>0</v>
      </c>
      <c r="K50">
        <v>1</v>
      </c>
      <c r="L50">
        <v>0</v>
      </c>
      <c r="M50">
        <v>0</v>
      </c>
      <c r="N50">
        <v>0</v>
      </c>
      <c r="O50">
        <v>0</v>
      </c>
      <c r="P50">
        <v>0</v>
      </c>
      <c r="Q50">
        <v>0</v>
      </c>
      <c r="R50">
        <v>1</v>
      </c>
      <c r="T50">
        <v>1</v>
      </c>
      <c r="U50">
        <v>1</v>
      </c>
      <c r="V50">
        <v>0</v>
      </c>
      <c r="W50">
        <v>2</v>
      </c>
      <c r="X50">
        <v>21</v>
      </c>
      <c r="Z50">
        <v>2</v>
      </c>
      <c r="AA50">
        <v>21</v>
      </c>
      <c r="AC50">
        <v>1</v>
      </c>
      <c r="AD50">
        <v>1</v>
      </c>
      <c r="AE50">
        <v>0</v>
      </c>
      <c r="AF50">
        <v>0</v>
      </c>
      <c r="AG50">
        <v>0</v>
      </c>
      <c r="AH50">
        <v>0</v>
      </c>
      <c r="AJ50">
        <v>1</v>
      </c>
      <c r="AL50">
        <v>1</v>
      </c>
      <c r="AN50">
        <v>1</v>
      </c>
      <c r="AO50">
        <v>1</v>
      </c>
      <c r="AP50">
        <v>3</v>
      </c>
      <c r="AQ50">
        <v>2</v>
      </c>
      <c r="AS50">
        <v>2</v>
      </c>
      <c r="AT50">
        <v>1</v>
      </c>
      <c r="AU50">
        <v>1</v>
      </c>
      <c r="AV50">
        <v>0</v>
      </c>
      <c r="AW50">
        <v>0</v>
      </c>
      <c r="AX50">
        <v>0</v>
      </c>
      <c r="AY50">
        <v>0</v>
      </c>
      <c r="AZ50">
        <v>0</v>
      </c>
      <c r="BA50">
        <v>1</v>
      </c>
      <c r="BB50" t="s">
        <v>467</v>
      </c>
      <c r="BC50">
        <v>1</v>
      </c>
      <c r="BD50">
        <v>0</v>
      </c>
      <c r="BE50">
        <v>0</v>
      </c>
      <c r="BF50">
        <v>1</v>
      </c>
      <c r="BG50">
        <v>0</v>
      </c>
      <c r="BH50">
        <v>0</v>
      </c>
      <c r="BI50">
        <v>0</v>
      </c>
      <c r="BJ50">
        <v>0</v>
      </c>
      <c r="BK50">
        <v>1</v>
      </c>
      <c r="BL50">
        <v>1</v>
      </c>
      <c r="BM50">
        <v>0</v>
      </c>
      <c r="BN50">
        <v>0</v>
      </c>
      <c r="BO50">
        <v>0</v>
      </c>
      <c r="BP50">
        <v>1</v>
      </c>
      <c r="BQ50">
        <v>0</v>
      </c>
      <c r="BR50">
        <v>0</v>
      </c>
      <c r="BS50">
        <v>0</v>
      </c>
      <c r="BU50">
        <v>4</v>
      </c>
      <c r="BV50">
        <v>4</v>
      </c>
      <c r="BX50">
        <v>2</v>
      </c>
      <c r="BY50">
        <v>2</v>
      </c>
      <c r="DI50">
        <v>0</v>
      </c>
      <c r="DJ50">
        <v>0</v>
      </c>
      <c r="DK50">
        <v>0</v>
      </c>
      <c r="DL50">
        <v>0</v>
      </c>
      <c r="DM50">
        <v>0</v>
      </c>
      <c r="DN50">
        <v>1</v>
      </c>
      <c r="DO50">
        <v>0</v>
      </c>
      <c r="DP50">
        <v>1</v>
      </c>
      <c r="DQ50">
        <v>1</v>
      </c>
      <c r="DR50">
        <v>0</v>
      </c>
      <c r="DS50" t="s">
        <v>468</v>
      </c>
      <c r="DT50">
        <v>0</v>
      </c>
      <c r="DU50">
        <v>1</v>
      </c>
      <c r="DV50">
        <v>0</v>
      </c>
      <c r="DW50">
        <v>0</v>
      </c>
      <c r="DX50">
        <v>1</v>
      </c>
      <c r="DY50">
        <v>0</v>
      </c>
      <c r="DZ50">
        <v>0</v>
      </c>
      <c r="EA50">
        <v>0</v>
      </c>
      <c r="EB50">
        <v>0</v>
      </c>
      <c r="EC50">
        <v>1</v>
      </c>
      <c r="ED50">
        <v>1</v>
      </c>
      <c r="EE50">
        <v>0</v>
      </c>
      <c r="EF50">
        <v>0</v>
      </c>
      <c r="EI50" t="s">
        <v>285</v>
      </c>
      <c r="EJ50">
        <v>0</v>
      </c>
      <c r="EK50">
        <v>1</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GJ50" t="s">
        <v>468</v>
      </c>
      <c r="GK50">
        <v>0</v>
      </c>
      <c r="GL50">
        <v>0</v>
      </c>
      <c r="GM50">
        <v>0</v>
      </c>
      <c r="GN50">
        <v>0</v>
      </c>
      <c r="GO50">
        <v>0</v>
      </c>
      <c r="GP50">
        <v>0</v>
      </c>
      <c r="GQ50">
        <v>0</v>
      </c>
      <c r="GR50">
        <v>0</v>
      </c>
      <c r="GS50">
        <v>0</v>
      </c>
      <c r="GT50">
        <v>1</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G50">
        <v>1</v>
      </c>
      <c r="IH50">
        <v>0</v>
      </c>
      <c r="II50">
        <v>1</v>
      </c>
      <c r="IJ50">
        <v>0</v>
      </c>
      <c r="IK50">
        <v>0</v>
      </c>
      <c r="IL50">
        <v>0</v>
      </c>
      <c r="IM50">
        <v>0</v>
      </c>
      <c r="IN50">
        <v>0</v>
      </c>
      <c r="IO50">
        <v>0</v>
      </c>
      <c r="IP50">
        <v>0</v>
      </c>
      <c r="IQ50">
        <v>0</v>
      </c>
      <c r="IS50">
        <v>2</v>
      </c>
    </row>
    <row r="51" spans="1:258" x14ac:dyDescent="0.35">
      <c r="A51">
        <v>405511</v>
      </c>
      <c r="C51">
        <v>1</v>
      </c>
      <c r="D51" t="s">
        <v>469</v>
      </c>
      <c r="E51" t="s">
        <v>470</v>
      </c>
      <c r="F51" t="s">
        <v>466</v>
      </c>
      <c r="G51">
        <v>3</v>
      </c>
      <c r="I51">
        <v>0</v>
      </c>
      <c r="J51">
        <v>0</v>
      </c>
      <c r="K51">
        <v>1</v>
      </c>
      <c r="L51">
        <v>0</v>
      </c>
      <c r="M51">
        <v>0</v>
      </c>
      <c r="N51">
        <v>0</v>
      </c>
      <c r="O51">
        <v>0</v>
      </c>
      <c r="P51">
        <v>0</v>
      </c>
      <c r="Q51">
        <v>0</v>
      </c>
      <c r="R51">
        <v>1</v>
      </c>
      <c r="T51">
        <v>0</v>
      </c>
      <c r="U51">
        <v>1</v>
      </c>
      <c r="V51">
        <v>0</v>
      </c>
      <c r="X51">
        <v>4</v>
      </c>
      <c r="AA51">
        <v>4</v>
      </c>
      <c r="AC51">
        <v>1</v>
      </c>
      <c r="AD51">
        <v>0</v>
      </c>
      <c r="AE51">
        <v>0</v>
      </c>
      <c r="AF51">
        <v>0</v>
      </c>
      <c r="AG51">
        <v>0</v>
      </c>
      <c r="AH51">
        <v>0</v>
      </c>
      <c r="AJ51">
        <v>1</v>
      </c>
      <c r="AL51">
        <v>1</v>
      </c>
      <c r="AN51">
        <v>1</v>
      </c>
      <c r="AO51">
        <v>1</v>
      </c>
      <c r="AP51">
        <v>4</v>
      </c>
      <c r="AQ51">
        <v>1</v>
      </c>
      <c r="AR51">
        <v>5</v>
      </c>
      <c r="AS51">
        <v>1</v>
      </c>
      <c r="AT51">
        <v>1</v>
      </c>
      <c r="AU51">
        <v>2</v>
      </c>
      <c r="BC51">
        <v>0</v>
      </c>
      <c r="BD51">
        <v>0</v>
      </c>
      <c r="BE51">
        <v>0</v>
      </c>
      <c r="BF51">
        <v>0</v>
      </c>
      <c r="BG51">
        <v>0</v>
      </c>
      <c r="BH51">
        <v>0</v>
      </c>
      <c r="BI51">
        <v>0</v>
      </c>
      <c r="BJ51">
        <v>0</v>
      </c>
      <c r="BK51">
        <v>0</v>
      </c>
      <c r="BL51">
        <v>0</v>
      </c>
      <c r="BM51">
        <v>0</v>
      </c>
      <c r="BN51">
        <v>0</v>
      </c>
      <c r="BO51">
        <v>0</v>
      </c>
      <c r="BP51">
        <v>0</v>
      </c>
      <c r="BQ51">
        <v>0</v>
      </c>
      <c r="BR51">
        <v>1</v>
      </c>
      <c r="BS51">
        <v>0</v>
      </c>
      <c r="BU51">
        <v>16</v>
      </c>
      <c r="BV51">
        <v>4</v>
      </c>
      <c r="BX51">
        <v>6</v>
      </c>
      <c r="BY51">
        <v>6</v>
      </c>
      <c r="DI51">
        <v>0</v>
      </c>
      <c r="DJ51">
        <v>0</v>
      </c>
      <c r="DK51">
        <v>0</v>
      </c>
      <c r="DL51">
        <v>0</v>
      </c>
      <c r="DM51">
        <v>1</v>
      </c>
      <c r="DN51">
        <v>0</v>
      </c>
      <c r="DO51">
        <v>0</v>
      </c>
      <c r="DP51">
        <v>0</v>
      </c>
      <c r="DQ51">
        <v>1</v>
      </c>
      <c r="DR51">
        <v>0</v>
      </c>
      <c r="DS51" t="s">
        <v>471</v>
      </c>
      <c r="DT51">
        <v>0</v>
      </c>
      <c r="DU51">
        <v>0</v>
      </c>
      <c r="DV51">
        <v>0</v>
      </c>
      <c r="DW51">
        <v>0</v>
      </c>
      <c r="DX51">
        <v>0</v>
      </c>
      <c r="DY51">
        <v>0</v>
      </c>
      <c r="DZ51">
        <v>0</v>
      </c>
      <c r="EA51">
        <v>0</v>
      </c>
      <c r="EB51">
        <v>0</v>
      </c>
      <c r="EC51">
        <v>0</v>
      </c>
      <c r="ED51">
        <v>0</v>
      </c>
      <c r="EE51">
        <v>1</v>
      </c>
      <c r="EF51">
        <v>0</v>
      </c>
      <c r="IE51" t="s">
        <v>472</v>
      </c>
      <c r="IF51">
        <v>4</v>
      </c>
      <c r="IG51">
        <v>0</v>
      </c>
      <c r="IH51">
        <v>0</v>
      </c>
      <c r="II51">
        <v>0</v>
      </c>
      <c r="IJ51">
        <v>0</v>
      </c>
      <c r="IK51">
        <v>0</v>
      </c>
      <c r="IL51">
        <v>0</v>
      </c>
      <c r="IM51">
        <v>0</v>
      </c>
      <c r="IN51">
        <v>0</v>
      </c>
      <c r="IO51">
        <v>0</v>
      </c>
      <c r="IP51">
        <v>0</v>
      </c>
      <c r="IQ51">
        <v>1</v>
      </c>
      <c r="IS51">
        <v>2</v>
      </c>
    </row>
    <row r="52" spans="1:258" x14ac:dyDescent="0.35">
      <c r="A52">
        <v>405385</v>
      </c>
      <c r="C52">
        <v>1</v>
      </c>
      <c r="D52" t="s">
        <v>473</v>
      </c>
      <c r="E52" t="s">
        <v>474</v>
      </c>
      <c r="F52" t="s">
        <v>475</v>
      </c>
      <c r="G52">
        <v>3</v>
      </c>
      <c r="I52">
        <v>0</v>
      </c>
      <c r="J52">
        <v>0</v>
      </c>
      <c r="K52">
        <v>1</v>
      </c>
      <c r="L52">
        <v>0</v>
      </c>
      <c r="M52">
        <v>0</v>
      </c>
      <c r="N52">
        <v>0</v>
      </c>
      <c r="O52">
        <v>0</v>
      </c>
      <c r="P52">
        <v>0</v>
      </c>
      <c r="Q52">
        <v>0</v>
      </c>
      <c r="R52">
        <v>1</v>
      </c>
      <c r="T52">
        <v>0</v>
      </c>
      <c r="U52">
        <v>1</v>
      </c>
      <c r="V52">
        <v>0</v>
      </c>
      <c r="X52">
        <v>5</v>
      </c>
      <c r="AA52">
        <v>5</v>
      </c>
      <c r="AC52">
        <v>1</v>
      </c>
      <c r="AD52">
        <v>0</v>
      </c>
      <c r="AE52">
        <v>0</v>
      </c>
      <c r="AF52">
        <v>0</v>
      </c>
      <c r="AG52">
        <v>0</v>
      </c>
      <c r="AH52">
        <v>0</v>
      </c>
      <c r="AJ52">
        <v>1</v>
      </c>
      <c r="AL52">
        <v>1</v>
      </c>
      <c r="AN52">
        <v>1</v>
      </c>
      <c r="AO52">
        <v>1</v>
      </c>
      <c r="AP52">
        <v>4</v>
      </c>
      <c r="AQ52">
        <v>1</v>
      </c>
      <c r="AR52">
        <v>4</v>
      </c>
      <c r="AS52">
        <v>1</v>
      </c>
      <c r="AT52">
        <v>1</v>
      </c>
      <c r="AU52">
        <v>2</v>
      </c>
      <c r="BC52">
        <v>0</v>
      </c>
      <c r="BD52">
        <v>0</v>
      </c>
      <c r="BE52">
        <v>0</v>
      </c>
      <c r="BF52">
        <v>0</v>
      </c>
      <c r="BG52">
        <v>1</v>
      </c>
      <c r="BH52">
        <v>0</v>
      </c>
      <c r="BI52">
        <v>0</v>
      </c>
      <c r="BJ52">
        <v>0</v>
      </c>
      <c r="BK52">
        <v>1</v>
      </c>
      <c r="BL52">
        <v>0</v>
      </c>
      <c r="BM52">
        <v>0</v>
      </c>
      <c r="BN52">
        <v>0</v>
      </c>
      <c r="BO52">
        <v>0</v>
      </c>
      <c r="BP52">
        <v>0</v>
      </c>
      <c r="BQ52">
        <v>0</v>
      </c>
      <c r="BR52">
        <v>1</v>
      </c>
      <c r="BS52">
        <v>0</v>
      </c>
      <c r="BU52">
        <v>16</v>
      </c>
      <c r="BV52">
        <v>4</v>
      </c>
      <c r="BX52">
        <v>5</v>
      </c>
      <c r="BY52">
        <v>5</v>
      </c>
      <c r="DI52">
        <v>1</v>
      </c>
      <c r="DJ52">
        <v>0</v>
      </c>
      <c r="DK52">
        <v>1</v>
      </c>
      <c r="DL52">
        <v>0</v>
      </c>
      <c r="DM52">
        <v>0</v>
      </c>
      <c r="DN52">
        <v>0</v>
      </c>
      <c r="DO52">
        <v>0</v>
      </c>
      <c r="DP52">
        <v>1</v>
      </c>
      <c r="DQ52">
        <v>0</v>
      </c>
      <c r="DR52">
        <v>0</v>
      </c>
      <c r="DT52">
        <v>0</v>
      </c>
      <c r="DU52">
        <v>1</v>
      </c>
      <c r="DV52">
        <v>0</v>
      </c>
      <c r="DW52">
        <v>0</v>
      </c>
      <c r="DX52">
        <v>0</v>
      </c>
      <c r="DY52">
        <v>0</v>
      </c>
      <c r="DZ52">
        <v>0</v>
      </c>
      <c r="EA52">
        <v>0</v>
      </c>
      <c r="EB52">
        <v>0</v>
      </c>
      <c r="EC52">
        <v>0</v>
      </c>
      <c r="ED52">
        <v>1</v>
      </c>
      <c r="EE52">
        <v>0</v>
      </c>
      <c r="EF52">
        <v>0</v>
      </c>
      <c r="EI52" t="s">
        <v>476</v>
      </c>
      <c r="EJ52">
        <v>1</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IG52">
        <v>1</v>
      </c>
      <c r="IH52">
        <v>0</v>
      </c>
      <c r="II52">
        <v>0</v>
      </c>
      <c r="IJ52">
        <v>0</v>
      </c>
      <c r="IK52">
        <v>0</v>
      </c>
      <c r="IL52">
        <v>0</v>
      </c>
      <c r="IM52">
        <v>0</v>
      </c>
      <c r="IN52">
        <v>0</v>
      </c>
      <c r="IO52">
        <v>0</v>
      </c>
      <c r="IP52">
        <v>0</v>
      </c>
      <c r="IQ52">
        <v>0</v>
      </c>
      <c r="IS52">
        <v>2</v>
      </c>
    </row>
    <row r="53" spans="1:258" x14ac:dyDescent="0.35">
      <c r="A53">
        <v>405212</v>
      </c>
      <c r="C53">
        <v>1</v>
      </c>
      <c r="D53" t="s">
        <v>477</v>
      </c>
      <c r="E53" t="s">
        <v>478</v>
      </c>
      <c r="F53" t="s">
        <v>475</v>
      </c>
      <c r="G53">
        <v>4</v>
      </c>
      <c r="I53">
        <v>0</v>
      </c>
      <c r="J53">
        <v>0</v>
      </c>
      <c r="K53">
        <v>0</v>
      </c>
      <c r="L53">
        <v>1</v>
      </c>
      <c r="M53">
        <v>0</v>
      </c>
      <c r="N53">
        <v>0</v>
      </c>
      <c r="O53">
        <v>0</v>
      </c>
      <c r="P53">
        <v>0</v>
      </c>
      <c r="Q53">
        <v>0</v>
      </c>
      <c r="R53">
        <v>1</v>
      </c>
      <c r="T53">
        <v>0</v>
      </c>
      <c r="U53">
        <v>1</v>
      </c>
      <c r="V53">
        <v>0</v>
      </c>
      <c r="X53">
        <v>4</v>
      </c>
      <c r="AA53">
        <v>4</v>
      </c>
      <c r="AC53">
        <v>1</v>
      </c>
      <c r="AD53">
        <v>0</v>
      </c>
      <c r="AE53">
        <v>0</v>
      </c>
      <c r="AF53">
        <v>0</v>
      </c>
      <c r="AG53">
        <v>0</v>
      </c>
      <c r="AH53">
        <v>0</v>
      </c>
      <c r="AJ53">
        <v>6</v>
      </c>
      <c r="AK53" t="s">
        <v>479</v>
      </c>
      <c r="AL53">
        <v>1</v>
      </c>
      <c r="AN53">
        <v>1</v>
      </c>
      <c r="AO53">
        <v>1</v>
      </c>
      <c r="AP53">
        <v>3</v>
      </c>
      <c r="AQ53">
        <v>2</v>
      </c>
      <c r="AS53">
        <v>2</v>
      </c>
      <c r="AT53">
        <v>3</v>
      </c>
      <c r="AU53">
        <v>2</v>
      </c>
      <c r="BC53">
        <v>0</v>
      </c>
      <c r="BD53">
        <v>0</v>
      </c>
      <c r="BE53">
        <v>0</v>
      </c>
      <c r="BF53">
        <v>0</v>
      </c>
      <c r="BG53">
        <v>1</v>
      </c>
      <c r="BH53">
        <v>0</v>
      </c>
      <c r="BI53">
        <v>0</v>
      </c>
      <c r="BJ53">
        <v>0</v>
      </c>
      <c r="BK53">
        <v>0</v>
      </c>
      <c r="BL53">
        <v>0</v>
      </c>
      <c r="BM53">
        <v>0</v>
      </c>
      <c r="BN53">
        <v>1</v>
      </c>
      <c r="BO53">
        <v>0</v>
      </c>
      <c r="BP53">
        <v>0</v>
      </c>
      <c r="BQ53">
        <v>0</v>
      </c>
      <c r="BR53">
        <v>0</v>
      </c>
      <c r="BS53">
        <v>0</v>
      </c>
      <c r="BU53">
        <v>5</v>
      </c>
      <c r="BV53">
        <v>2</v>
      </c>
      <c r="BW53" t="s">
        <v>480</v>
      </c>
      <c r="BX53">
        <v>2</v>
      </c>
      <c r="BY53">
        <v>2</v>
      </c>
      <c r="DI53">
        <v>0</v>
      </c>
      <c r="DJ53">
        <v>0</v>
      </c>
      <c r="DK53">
        <v>1</v>
      </c>
      <c r="DL53">
        <v>0</v>
      </c>
      <c r="DM53">
        <v>0</v>
      </c>
      <c r="DN53">
        <v>1</v>
      </c>
      <c r="DO53">
        <v>0</v>
      </c>
      <c r="DP53">
        <v>0</v>
      </c>
      <c r="DQ53">
        <v>0</v>
      </c>
      <c r="DR53">
        <v>0</v>
      </c>
      <c r="DT53">
        <v>0</v>
      </c>
      <c r="DU53">
        <v>1</v>
      </c>
      <c r="DV53">
        <v>0</v>
      </c>
      <c r="DW53">
        <v>0</v>
      </c>
      <c r="DX53">
        <v>0</v>
      </c>
      <c r="DY53">
        <v>0</v>
      </c>
      <c r="DZ53">
        <v>0</v>
      </c>
      <c r="EA53">
        <v>0</v>
      </c>
      <c r="EB53">
        <v>0</v>
      </c>
      <c r="EC53">
        <v>0</v>
      </c>
      <c r="ED53">
        <v>1</v>
      </c>
      <c r="EE53">
        <v>0</v>
      </c>
      <c r="EF53">
        <v>0</v>
      </c>
      <c r="EI53" t="s">
        <v>481</v>
      </c>
      <c r="EJ53">
        <v>0</v>
      </c>
      <c r="EK53">
        <v>0</v>
      </c>
      <c r="EL53">
        <v>0</v>
      </c>
      <c r="EM53">
        <v>0</v>
      </c>
      <c r="EN53">
        <v>0</v>
      </c>
      <c r="EO53">
        <v>0</v>
      </c>
      <c r="EP53">
        <v>0</v>
      </c>
      <c r="EQ53">
        <v>0</v>
      </c>
      <c r="ER53">
        <v>0</v>
      </c>
      <c r="ES53">
        <v>0</v>
      </c>
      <c r="ET53">
        <v>0</v>
      </c>
      <c r="EU53">
        <v>0</v>
      </c>
      <c r="EV53">
        <v>0</v>
      </c>
      <c r="EW53">
        <v>0</v>
      </c>
      <c r="EX53">
        <v>0</v>
      </c>
      <c r="EY53">
        <v>1</v>
      </c>
      <c r="EZ53">
        <v>0</v>
      </c>
      <c r="FA53">
        <v>0</v>
      </c>
      <c r="FB53">
        <v>0</v>
      </c>
      <c r="FC53">
        <v>0</v>
      </c>
      <c r="FD53">
        <v>0</v>
      </c>
      <c r="FE53">
        <v>0</v>
      </c>
      <c r="IG53">
        <v>0</v>
      </c>
      <c r="IH53">
        <v>0</v>
      </c>
      <c r="II53">
        <v>0</v>
      </c>
      <c r="IJ53">
        <v>0</v>
      </c>
      <c r="IK53">
        <v>0</v>
      </c>
      <c r="IL53">
        <v>0</v>
      </c>
      <c r="IM53">
        <v>0</v>
      </c>
      <c r="IN53">
        <v>0</v>
      </c>
      <c r="IO53">
        <v>0</v>
      </c>
      <c r="IP53">
        <v>0</v>
      </c>
      <c r="IQ53">
        <v>1</v>
      </c>
      <c r="IS53">
        <v>2</v>
      </c>
    </row>
    <row r="54" spans="1:258" x14ac:dyDescent="0.35">
      <c r="A54">
        <v>397076</v>
      </c>
      <c r="C54">
        <v>1</v>
      </c>
      <c r="D54" t="s">
        <v>482</v>
      </c>
      <c r="E54" t="s">
        <v>483</v>
      </c>
      <c r="F54" t="s">
        <v>484</v>
      </c>
      <c r="G54">
        <v>3</v>
      </c>
      <c r="I54">
        <v>1</v>
      </c>
      <c r="J54">
        <v>0</v>
      </c>
      <c r="K54">
        <v>1</v>
      </c>
      <c r="L54">
        <v>0</v>
      </c>
      <c r="M54">
        <v>0</v>
      </c>
      <c r="N54">
        <v>1</v>
      </c>
      <c r="O54">
        <v>0</v>
      </c>
      <c r="P54">
        <v>1</v>
      </c>
      <c r="Q54">
        <v>0</v>
      </c>
      <c r="R54">
        <v>1</v>
      </c>
      <c r="T54">
        <v>1</v>
      </c>
      <c r="U54">
        <v>1</v>
      </c>
      <c r="V54">
        <v>0</v>
      </c>
      <c r="W54">
        <v>2</v>
      </c>
      <c r="X54">
        <v>25</v>
      </c>
      <c r="Z54">
        <v>2</v>
      </c>
      <c r="AA54">
        <v>25</v>
      </c>
      <c r="AC54">
        <v>0</v>
      </c>
      <c r="AD54">
        <v>1</v>
      </c>
      <c r="AE54">
        <v>0</v>
      </c>
      <c r="AF54">
        <v>0</v>
      </c>
      <c r="AG54">
        <v>0</v>
      </c>
      <c r="AH54">
        <v>0</v>
      </c>
      <c r="AJ54">
        <v>2</v>
      </c>
      <c r="AL54">
        <v>3</v>
      </c>
      <c r="AN54">
        <v>1</v>
      </c>
      <c r="AO54">
        <v>1</v>
      </c>
      <c r="AP54">
        <v>4</v>
      </c>
      <c r="AQ54">
        <v>1</v>
      </c>
      <c r="AR54">
        <v>5</v>
      </c>
      <c r="AS54">
        <v>1</v>
      </c>
      <c r="AT54">
        <v>1</v>
      </c>
      <c r="AU54">
        <v>2</v>
      </c>
      <c r="BC54">
        <v>0</v>
      </c>
      <c r="BD54">
        <v>0</v>
      </c>
      <c r="BE54">
        <v>1</v>
      </c>
      <c r="BF54">
        <v>1</v>
      </c>
      <c r="BG54">
        <v>0</v>
      </c>
      <c r="BH54">
        <v>0</v>
      </c>
      <c r="BI54">
        <v>0</v>
      </c>
      <c r="BJ54">
        <v>0</v>
      </c>
      <c r="BK54">
        <v>0</v>
      </c>
      <c r="BL54">
        <v>0</v>
      </c>
      <c r="BM54">
        <v>1</v>
      </c>
      <c r="BN54">
        <v>0</v>
      </c>
      <c r="BO54">
        <v>0</v>
      </c>
      <c r="BP54">
        <v>1</v>
      </c>
      <c r="BQ54">
        <v>0</v>
      </c>
      <c r="BR54">
        <v>1</v>
      </c>
      <c r="BS54">
        <v>1</v>
      </c>
      <c r="BT54" t="s">
        <v>485</v>
      </c>
      <c r="BU54">
        <v>3</v>
      </c>
      <c r="BV54">
        <v>4</v>
      </c>
      <c r="BX54">
        <v>4</v>
      </c>
      <c r="BY54">
        <v>4</v>
      </c>
      <c r="DI54">
        <v>0</v>
      </c>
      <c r="DJ54">
        <v>0</v>
      </c>
      <c r="DK54">
        <v>0</v>
      </c>
      <c r="DL54">
        <v>0</v>
      </c>
      <c r="DM54">
        <v>0</v>
      </c>
      <c r="DN54">
        <v>1</v>
      </c>
      <c r="DO54">
        <v>1</v>
      </c>
      <c r="DP54">
        <v>1</v>
      </c>
      <c r="DQ54">
        <v>1</v>
      </c>
      <c r="DR54">
        <v>0</v>
      </c>
      <c r="DS54" t="s">
        <v>486</v>
      </c>
    </row>
    <row r="55" spans="1:258" x14ac:dyDescent="0.35">
      <c r="A55">
        <v>400514</v>
      </c>
      <c r="C55">
        <v>1</v>
      </c>
      <c r="D55" t="s">
        <v>487</v>
      </c>
      <c r="E55" t="s">
        <v>488</v>
      </c>
      <c r="F55" t="s">
        <v>484</v>
      </c>
      <c r="G55">
        <v>3</v>
      </c>
      <c r="I55">
        <v>0</v>
      </c>
      <c r="J55">
        <v>0</v>
      </c>
      <c r="K55">
        <v>1</v>
      </c>
      <c r="L55">
        <v>0</v>
      </c>
      <c r="M55">
        <v>0</v>
      </c>
      <c r="N55">
        <v>0</v>
      </c>
      <c r="O55">
        <v>0</v>
      </c>
      <c r="P55">
        <v>0</v>
      </c>
      <c r="Q55">
        <v>0</v>
      </c>
      <c r="R55">
        <v>1</v>
      </c>
      <c r="T55">
        <v>1</v>
      </c>
      <c r="U55">
        <v>1</v>
      </c>
      <c r="V55">
        <v>0</v>
      </c>
      <c r="W55">
        <v>2</v>
      </c>
      <c r="X55">
        <v>36</v>
      </c>
      <c r="Z55">
        <v>2</v>
      </c>
      <c r="AA55">
        <v>36</v>
      </c>
      <c r="AC55">
        <v>1</v>
      </c>
      <c r="AD55">
        <v>0</v>
      </c>
      <c r="AE55">
        <v>0</v>
      </c>
      <c r="AF55">
        <v>0</v>
      </c>
      <c r="AG55">
        <v>0</v>
      </c>
      <c r="AH55">
        <v>0</v>
      </c>
      <c r="AJ55">
        <v>1</v>
      </c>
      <c r="AL55">
        <v>1</v>
      </c>
      <c r="AN55">
        <v>1</v>
      </c>
      <c r="AO55">
        <v>1</v>
      </c>
      <c r="AP55">
        <v>2</v>
      </c>
      <c r="AQ55">
        <v>1</v>
      </c>
      <c r="AR55">
        <v>3</v>
      </c>
      <c r="AS55">
        <v>2</v>
      </c>
      <c r="AT55">
        <v>1</v>
      </c>
      <c r="AU55">
        <v>1</v>
      </c>
      <c r="AV55">
        <v>1</v>
      </c>
      <c r="AW55">
        <v>1</v>
      </c>
      <c r="AX55">
        <v>1</v>
      </c>
      <c r="AY55">
        <v>1</v>
      </c>
      <c r="AZ55">
        <v>1</v>
      </c>
      <c r="BA55">
        <v>0</v>
      </c>
      <c r="BC55">
        <v>0</v>
      </c>
      <c r="BD55">
        <v>0</v>
      </c>
      <c r="BE55">
        <v>0</v>
      </c>
      <c r="BF55">
        <v>1</v>
      </c>
      <c r="BG55">
        <v>0</v>
      </c>
      <c r="BH55">
        <v>0</v>
      </c>
      <c r="BI55">
        <v>0</v>
      </c>
      <c r="BJ55">
        <v>0</v>
      </c>
      <c r="BK55">
        <v>0</v>
      </c>
      <c r="BL55">
        <v>0</v>
      </c>
      <c r="BM55">
        <v>0</v>
      </c>
      <c r="BN55">
        <v>0</v>
      </c>
      <c r="BO55">
        <v>0</v>
      </c>
      <c r="BP55">
        <v>0</v>
      </c>
      <c r="BQ55">
        <v>1</v>
      </c>
      <c r="BR55">
        <v>0</v>
      </c>
      <c r="BS55">
        <v>0</v>
      </c>
      <c r="BU55">
        <v>15</v>
      </c>
      <c r="BV55">
        <v>3</v>
      </c>
      <c r="BW55" t="s">
        <v>489</v>
      </c>
      <c r="BX55">
        <v>3</v>
      </c>
      <c r="BY55">
        <v>3</v>
      </c>
      <c r="DI55">
        <v>1</v>
      </c>
      <c r="DJ55">
        <v>0</v>
      </c>
      <c r="DK55">
        <v>0</v>
      </c>
      <c r="DL55">
        <v>1</v>
      </c>
      <c r="DM55">
        <v>1</v>
      </c>
      <c r="DN55">
        <v>1</v>
      </c>
      <c r="DO55">
        <v>1</v>
      </c>
      <c r="DP55">
        <v>1</v>
      </c>
      <c r="DQ55">
        <v>0</v>
      </c>
      <c r="DR55">
        <v>0</v>
      </c>
      <c r="DT55">
        <v>0</v>
      </c>
      <c r="DU55">
        <v>0</v>
      </c>
      <c r="DV55">
        <v>0</v>
      </c>
      <c r="DW55">
        <v>0</v>
      </c>
      <c r="DX55">
        <v>0</v>
      </c>
      <c r="DY55">
        <v>0</v>
      </c>
      <c r="DZ55">
        <v>0</v>
      </c>
      <c r="EA55">
        <v>1</v>
      </c>
      <c r="EB55">
        <v>1</v>
      </c>
      <c r="EC55">
        <v>0</v>
      </c>
      <c r="ED55">
        <v>1</v>
      </c>
      <c r="EE55">
        <v>0</v>
      </c>
      <c r="EF55">
        <v>0</v>
      </c>
      <c r="IG55">
        <v>1</v>
      </c>
      <c r="IH55">
        <v>0</v>
      </c>
      <c r="II55">
        <v>1</v>
      </c>
      <c r="IJ55">
        <v>0</v>
      </c>
      <c r="IK55">
        <v>0</v>
      </c>
      <c r="IL55">
        <v>0</v>
      </c>
      <c r="IM55">
        <v>1</v>
      </c>
      <c r="IN55">
        <v>0</v>
      </c>
      <c r="IO55">
        <v>0</v>
      </c>
      <c r="IP55">
        <v>0</v>
      </c>
      <c r="IQ55">
        <v>0</v>
      </c>
      <c r="IS55">
        <v>1</v>
      </c>
      <c r="IT55">
        <v>0</v>
      </c>
      <c r="IU55">
        <v>1</v>
      </c>
      <c r="IV55">
        <v>0</v>
      </c>
      <c r="IW55">
        <v>0</v>
      </c>
    </row>
    <row r="56" spans="1:258" x14ac:dyDescent="0.35">
      <c r="A56">
        <v>363879</v>
      </c>
      <c r="C56">
        <v>1</v>
      </c>
      <c r="D56" t="s">
        <v>490</v>
      </c>
      <c r="E56" t="s">
        <v>491</v>
      </c>
      <c r="F56" t="s">
        <v>484</v>
      </c>
      <c r="G56">
        <v>3</v>
      </c>
      <c r="I56">
        <v>0</v>
      </c>
      <c r="J56">
        <v>0</v>
      </c>
      <c r="K56">
        <v>1</v>
      </c>
      <c r="L56">
        <v>0</v>
      </c>
      <c r="M56">
        <v>0</v>
      </c>
      <c r="N56">
        <v>0</v>
      </c>
      <c r="O56">
        <v>0</v>
      </c>
      <c r="P56">
        <v>0</v>
      </c>
      <c r="Q56">
        <v>0</v>
      </c>
      <c r="R56">
        <v>1</v>
      </c>
      <c r="T56">
        <v>1</v>
      </c>
      <c r="U56">
        <v>1</v>
      </c>
      <c r="V56">
        <v>0</v>
      </c>
      <c r="W56">
        <v>20</v>
      </c>
      <c r="X56">
        <v>55</v>
      </c>
      <c r="Z56">
        <v>20</v>
      </c>
      <c r="AA56">
        <v>55</v>
      </c>
      <c r="AC56">
        <v>0</v>
      </c>
      <c r="AD56">
        <v>1</v>
      </c>
      <c r="AE56">
        <v>0</v>
      </c>
      <c r="AF56">
        <v>0</v>
      </c>
      <c r="AG56">
        <v>0</v>
      </c>
      <c r="AH56">
        <v>0</v>
      </c>
      <c r="AJ56">
        <v>2</v>
      </c>
      <c r="AL56">
        <v>3</v>
      </c>
      <c r="AN56">
        <v>1</v>
      </c>
      <c r="AO56">
        <v>1</v>
      </c>
      <c r="AP56">
        <v>3</v>
      </c>
      <c r="AQ56">
        <v>1</v>
      </c>
      <c r="AR56">
        <v>4</v>
      </c>
      <c r="AS56">
        <v>2</v>
      </c>
      <c r="AT56">
        <v>1</v>
      </c>
      <c r="AU56">
        <v>1</v>
      </c>
      <c r="AV56">
        <v>0</v>
      </c>
      <c r="AW56">
        <v>0</v>
      </c>
      <c r="AX56">
        <v>0</v>
      </c>
      <c r="AY56">
        <v>0</v>
      </c>
      <c r="AZ56">
        <v>1</v>
      </c>
      <c r="BA56">
        <v>0</v>
      </c>
      <c r="BC56">
        <v>0</v>
      </c>
      <c r="BD56">
        <v>0</v>
      </c>
      <c r="BE56">
        <v>1</v>
      </c>
      <c r="BF56">
        <v>0</v>
      </c>
      <c r="BG56">
        <v>0</v>
      </c>
      <c r="BH56">
        <v>1</v>
      </c>
      <c r="BI56">
        <v>0</v>
      </c>
      <c r="BJ56">
        <v>0</v>
      </c>
      <c r="BK56">
        <v>1</v>
      </c>
      <c r="BL56">
        <v>0</v>
      </c>
      <c r="BM56">
        <v>0</v>
      </c>
      <c r="BN56">
        <v>1</v>
      </c>
      <c r="BO56">
        <v>0</v>
      </c>
      <c r="BP56">
        <v>1</v>
      </c>
      <c r="BQ56">
        <v>0</v>
      </c>
      <c r="BR56">
        <v>0</v>
      </c>
      <c r="BS56">
        <v>0</v>
      </c>
      <c r="BU56">
        <v>3</v>
      </c>
      <c r="BV56">
        <v>3</v>
      </c>
      <c r="BW56" t="s">
        <v>492</v>
      </c>
      <c r="BX56">
        <v>2</v>
      </c>
      <c r="BY56">
        <v>2</v>
      </c>
      <c r="DI56">
        <v>0</v>
      </c>
      <c r="DJ56">
        <v>0</v>
      </c>
      <c r="DK56">
        <v>0</v>
      </c>
      <c r="DL56">
        <v>1</v>
      </c>
      <c r="DM56">
        <v>1</v>
      </c>
      <c r="DN56">
        <v>0</v>
      </c>
      <c r="DO56">
        <v>0</v>
      </c>
      <c r="DP56">
        <v>0</v>
      </c>
      <c r="DQ56">
        <v>0</v>
      </c>
      <c r="DR56">
        <v>0</v>
      </c>
      <c r="DT56">
        <v>0</v>
      </c>
      <c r="DU56">
        <v>0</v>
      </c>
      <c r="DV56">
        <v>1</v>
      </c>
      <c r="DW56">
        <v>0</v>
      </c>
      <c r="DX56">
        <v>0</v>
      </c>
      <c r="DY56">
        <v>0</v>
      </c>
      <c r="DZ56">
        <v>0</v>
      </c>
      <c r="EA56">
        <v>0</v>
      </c>
      <c r="EB56">
        <v>0</v>
      </c>
      <c r="EC56">
        <v>0</v>
      </c>
      <c r="ED56">
        <v>0</v>
      </c>
      <c r="EE56">
        <v>0</v>
      </c>
      <c r="EF56">
        <v>0</v>
      </c>
      <c r="FF56" t="s">
        <v>493</v>
      </c>
      <c r="FG56">
        <v>0</v>
      </c>
      <c r="FH56">
        <v>0</v>
      </c>
      <c r="FI56">
        <v>0</v>
      </c>
      <c r="FJ56">
        <v>0</v>
      </c>
      <c r="FK56">
        <v>1</v>
      </c>
      <c r="FL56">
        <v>0</v>
      </c>
      <c r="FM56">
        <v>0</v>
      </c>
      <c r="FN56">
        <v>0</v>
      </c>
      <c r="FO56">
        <v>0</v>
      </c>
      <c r="FP56">
        <v>0</v>
      </c>
      <c r="FQ56">
        <v>0</v>
      </c>
      <c r="FR56">
        <v>0</v>
      </c>
      <c r="FS56">
        <v>0</v>
      </c>
      <c r="FT56">
        <v>0</v>
      </c>
      <c r="FU56">
        <v>0</v>
      </c>
      <c r="FV56">
        <v>0</v>
      </c>
      <c r="FW56">
        <v>0</v>
      </c>
      <c r="FX56">
        <v>0</v>
      </c>
      <c r="FY56">
        <v>0</v>
      </c>
      <c r="IG56">
        <v>1</v>
      </c>
      <c r="IH56">
        <v>0</v>
      </c>
      <c r="II56">
        <v>0</v>
      </c>
      <c r="IJ56">
        <v>1</v>
      </c>
      <c r="IK56">
        <v>0</v>
      </c>
      <c r="IL56">
        <v>0</v>
      </c>
      <c r="IM56">
        <v>0</v>
      </c>
      <c r="IN56">
        <v>0</v>
      </c>
      <c r="IO56">
        <v>0</v>
      </c>
      <c r="IP56">
        <v>0</v>
      </c>
      <c r="IQ56">
        <v>0</v>
      </c>
      <c r="IS56">
        <v>2</v>
      </c>
    </row>
    <row r="57" spans="1:258" x14ac:dyDescent="0.35">
      <c r="A57">
        <v>362785</v>
      </c>
      <c r="C57">
        <v>1</v>
      </c>
      <c r="D57" t="s">
        <v>494</v>
      </c>
      <c r="E57" t="s">
        <v>495</v>
      </c>
      <c r="F57" t="s">
        <v>496</v>
      </c>
      <c r="G57">
        <v>3</v>
      </c>
      <c r="I57">
        <v>1</v>
      </c>
      <c r="J57">
        <v>0</v>
      </c>
      <c r="K57">
        <v>1</v>
      </c>
      <c r="L57">
        <v>0</v>
      </c>
      <c r="M57">
        <v>0</v>
      </c>
      <c r="N57">
        <v>1</v>
      </c>
      <c r="O57">
        <v>0</v>
      </c>
      <c r="P57">
        <v>1</v>
      </c>
      <c r="Q57">
        <v>0</v>
      </c>
      <c r="R57">
        <v>1</v>
      </c>
      <c r="T57">
        <v>0</v>
      </c>
      <c r="U57">
        <v>1</v>
      </c>
      <c r="V57">
        <v>0</v>
      </c>
      <c r="X57">
        <v>144</v>
      </c>
      <c r="AA57">
        <v>144</v>
      </c>
      <c r="AC57">
        <v>1</v>
      </c>
      <c r="AD57">
        <v>1</v>
      </c>
      <c r="AE57">
        <v>0</v>
      </c>
      <c r="AF57">
        <v>0</v>
      </c>
      <c r="AG57">
        <v>0</v>
      </c>
      <c r="AH57">
        <v>0</v>
      </c>
      <c r="AJ57">
        <v>1</v>
      </c>
      <c r="AL57">
        <v>1</v>
      </c>
      <c r="AN57">
        <v>1</v>
      </c>
      <c r="AO57">
        <v>1</v>
      </c>
      <c r="AP57">
        <v>2</v>
      </c>
      <c r="AQ57">
        <v>1</v>
      </c>
      <c r="AR57">
        <v>1</v>
      </c>
      <c r="AS57">
        <v>2</v>
      </c>
      <c r="AT57">
        <v>1</v>
      </c>
      <c r="AU57">
        <v>1</v>
      </c>
      <c r="AV57">
        <v>0</v>
      </c>
      <c r="AW57">
        <v>1</v>
      </c>
      <c r="AX57">
        <v>0</v>
      </c>
      <c r="AY57">
        <v>0</v>
      </c>
      <c r="AZ57">
        <v>0</v>
      </c>
      <c r="BA57">
        <v>0</v>
      </c>
      <c r="BC57">
        <v>0</v>
      </c>
      <c r="BD57">
        <v>0</v>
      </c>
      <c r="BE57">
        <v>0</v>
      </c>
      <c r="BF57">
        <v>0</v>
      </c>
      <c r="BG57">
        <v>0</v>
      </c>
      <c r="BH57">
        <v>0</v>
      </c>
      <c r="BI57">
        <v>0</v>
      </c>
      <c r="BJ57">
        <v>0</v>
      </c>
      <c r="BK57">
        <v>1</v>
      </c>
      <c r="BL57">
        <v>0</v>
      </c>
      <c r="BM57">
        <v>0</v>
      </c>
      <c r="BN57">
        <v>0</v>
      </c>
      <c r="BO57">
        <v>0</v>
      </c>
      <c r="BP57">
        <v>1</v>
      </c>
      <c r="BQ57">
        <v>1</v>
      </c>
      <c r="BR57">
        <v>0</v>
      </c>
      <c r="BS57">
        <v>0</v>
      </c>
      <c r="BU57">
        <v>9</v>
      </c>
      <c r="BV57">
        <v>2</v>
      </c>
      <c r="BW57" t="s">
        <v>497</v>
      </c>
      <c r="BX57">
        <v>3</v>
      </c>
      <c r="BY57">
        <v>3</v>
      </c>
      <c r="DI57">
        <v>0</v>
      </c>
      <c r="DJ57">
        <v>0</v>
      </c>
      <c r="DK57">
        <v>1</v>
      </c>
      <c r="DL57">
        <v>0</v>
      </c>
      <c r="DM57">
        <v>0</v>
      </c>
      <c r="DN57">
        <v>1</v>
      </c>
      <c r="DO57">
        <v>0</v>
      </c>
      <c r="DP57">
        <v>0</v>
      </c>
      <c r="DQ57">
        <v>0</v>
      </c>
      <c r="DR57">
        <v>0</v>
      </c>
      <c r="DT57">
        <v>0</v>
      </c>
      <c r="DU57">
        <v>1</v>
      </c>
      <c r="DV57">
        <v>0</v>
      </c>
      <c r="DW57">
        <v>0</v>
      </c>
      <c r="DX57">
        <v>1</v>
      </c>
      <c r="DY57">
        <v>0</v>
      </c>
      <c r="DZ57">
        <v>0</v>
      </c>
      <c r="EA57">
        <v>1</v>
      </c>
      <c r="EB57">
        <v>0</v>
      </c>
      <c r="EC57">
        <v>0</v>
      </c>
      <c r="ED57">
        <v>1</v>
      </c>
      <c r="EE57">
        <v>0</v>
      </c>
      <c r="EF57">
        <v>0</v>
      </c>
      <c r="EI57" t="s">
        <v>421</v>
      </c>
      <c r="EJ57">
        <v>1</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IG57">
        <v>1</v>
      </c>
      <c r="IH57">
        <v>0</v>
      </c>
      <c r="II57">
        <v>0</v>
      </c>
      <c r="IJ57">
        <v>0</v>
      </c>
      <c r="IK57">
        <v>0</v>
      </c>
      <c r="IL57">
        <v>1</v>
      </c>
      <c r="IM57">
        <v>1</v>
      </c>
      <c r="IN57">
        <v>0</v>
      </c>
      <c r="IO57">
        <v>0</v>
      </c>
      <c r="IP57">
        <v>0</v>
      </c>
      <c r="IQ57">
        <v>0</v>
      </c>
      <c r="IS57">
        <v>1</v>
      </c>
      <c r="IT57">
        <v>1</v>
      </c>
      <c r="IU57">
        <v>0</v>
      </c>
      <c r="IV57">
        <v>1</v>
      </c>
      <c r="IW57">
        <v>0</v>
      </c>
    </row>
    <row r="58" spans="1:258" x14ac:dyDescent="0.35">
      <c r="A58">
        <v>363337</v>
      </c>
      <c r="C58">
        <v>1</v>
      </c>
      <c r="D58" t="s">
        <v>498</v>
      </c>
      <c r="E58" t="s">
        <v>499</v>
      </c>
      <c r="F58" t="s">
        <v>496</v>
      </c>
      <c r="G58">
        <v>3</v>
      </c>
      <c r="I58">
        <v>1</v>
      </c>
      <c r="J58">
        <v>0</v>
      </c>
      <c r="K58">
        <v>1</v>
      </c>
      <c r="L58">
        <v>0</v>
      </c>
      <c r="M58">
        <v>0</v>
      </c>
      <c r="N58">
        <v>1</v>
      </c>
      <c r="O58">
        <v>0</v>
      </c>
      <c r="P58">
        <v>1</v>
      </c>
      <c r="Q58">
        <v>0</v>
      </c>
      <c r="R58">
        <v>1</v>
      </c>
      <c r="T58">
        <v>1</v>
      </c>
      <c r="U58">
        <v>1</v>
      </c>
      <c r="V58">
        <v>0</v>
      </c>
      <c r="W58">
        <v>1</v>
      </c>
      <c r="X58">
        <v>19</v>
      </c>
      <c r="Z58">
        <v>1</v>
      </c>
      <c r="AA58">
        <v>19</v>
      </c>
      <c r="AC58">
        <v>0</v>
      </c>
      <c r="AD58">
        <v>1</v>
      </c>
      <c r="AE58">
        <v>0</v>
      </c>
      <c r="AF58">
        <v>0</v>
      </c>
      <c r="AG58">
        <v>0</v>
      </c>
      <c r="AH58">
        <v>0</v>
      </c>
      <c r="AJ58">
        <v>2</v>
      </c>
      <c r="AL58">
        <v>3</v>
      </c>
      <c r="AN58">
        <v>1</v>
      </c>
      <c r="AO58">
        <v>1</v>
      </c>
      <c r="AP58">
        <v>5</v>
      </c>
      <c r="AQ58">
        <v>2</v>
      </c>
      <c r="AS58">
        <v>2</v>
      </c>
      <c r="AT58">
        <v>1</v>
      </c>
      <c r="AU58">
        <v>2</v>
      </c>
      <c r="BC58">
        <v>0</v>
      </c>
      <c r="BD58">
        <v>0</v>
      </c>
      <c r="BE58">
        <v>1</v>
      </c>
      <c r="BF58">
        <v>1</v>
      </c>
      <c r="BG58">
        <v>1</v>
      </c>
      <c r="BH58">
        <v>0</v>
      </c>
      <c r="BI58">
        <v>0</v>
      </c>
      <c r="BJ58">
        <v>0</v>
      </c>
      <c r="BK58">
        <v>1</v>
      </c>
      <c r="BL58">
        <v>0</v>
      </c>
      <c r="BM58">
        <v>0</v>
      </c>
      <c r="BN58">
        <v>1</v>
      </c>
      <c r="BO58">
        <v>0</v>
      </c>
      <c r="BP58">
        <v>1</v>
      </c>
      <c r="BQ58">
        <v>0</v>
      </c>
      <c r="BR58">
        <v>0</v>
      </c>
      <c r="BS58">
        <v>0</v>
      </c>
      <c r="BU58">
        <v>5</v>
      </c>
      <c r="BV58">
        <v>4</v>
      </c>
      <c r="BX58">
        <v>2</v>
      </c>
      <c r="BY58">
        <v>2</v>
      </c>
      <c r="DI58">
        <v>0</v>
      </c>
      <c r="DJ58">
        <v>0</v>
      </c>
      <c r="DK58">
        <v>1</v>
      </c>
      <c r="DL58">
        <v>1</v>
      </c>
      <c r="DM58">
        <v>1</v>
      </c>
      <c r="DN58">
        <v>1</v>
      </c>
      <c r="DO58">
        <v>0</v>
      </c>
      <c r="DP58">
        <v>1</v>
      </c>
      <c r="DQ58">
        <v>0</v>
      </c>
      <c r="DR58">
        <v>0</v>
      </c>
      <c r="DT58">
        <v>0</v>
      </c>
      <c r="DU58">
        <v>1</v>
      </c>
      <c r="DV58">
        <v>0</v>
      </c>
      <c r="DW58">
        <v>0</v>
      </c>
      <c r="DX58">
        <v>0</v>
      </c>
      <c r="DY58">
        <v>0</v>
      </c>
      <c r="DZ58">
        <v>0</v>
      </c>
      <c r="EA58">
        <v>0</v>
      </c>
      <c r="EB58">
        <v>0</v>
      </c>
      <c r="EC58">
        <v>0</v>
      </c>
      <c r="ED58">
        <v>0</v>
      </c>
      <c r="EE58">
        <v>0</v>
      </c>
      <c r="EF58">
        <v>0</v>
      </c>
      <c r="EI58" t="s">
        <v>500</v>
      </c>
      <c r="EJ58">
        <v>1</v>
      </c>
      <c r="EK58">
        <v>1</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IG58">
        <v>1</v>
      </c>
      <c r="IH58">
        <v>0</v>
      </c>
      <c r="II58">
        <v>0</v>
      </c>
      <c r="IJ58">
        <v>1</v>
      </c>
      <c r="IK58">
        <v>0</v>
      </c>
      <c r="IL58">
        <v>0</v>
      </c>
      <c r="IM58">
        <v>0</v>
      </c>
      <c r="IN58">
        <v>1</v>
      </c>
      <c r="IO58">
        <v>0</v>
      </c>
      <c r="IP58">
        <v>0</v>
      </c>
      <c r="IQ58">
        <v>0</v>
      </c>
      <c r="IS58">
        <v>2</v>
      </c>
    </row>
    <row r="59" spans="1:258" x14ac:dyDescent="0.35">
      <c r="A59">
        <v>362577</v>
      </c>
      <c r="C59">
        <v>1</v>
      </c>
      <c r="D59" t="s">
        <v>501</v>
      </c>
      <c r="E59" t="s">
        <v>502</v>
      </c>
      <c r="F59" t="s">
        <v>496</v>
      </c>
      <c r="G59">
        <v>3</v>
      </c>
      <c r="I59">
        <v>1</v>
      </c>
      <c r="J59">
        <v>0</v>
      </c>
      <c r="K59">
        <v>1</v>
      </c>
      <c r="L59">
        <v>0</v>
      </c>
      <c r="M59">
        <v>0</v>
      </c>
      <c r="N59">
        <v>0</v>
      </c>
      <c r="O59">
        <v>0</v>
      </c>
      <c r="P59">
        <v>1</v>
      </c>
      <c r="Q59">
        <v>0</v>
      </c>
      <c r="R59">
        <v>1</v>
      </c>
      <c r="T59">
        <v>1</v>
      </c>
      <c r="U59">
        <v>1</v>
      </c>
      <c r="V59">
        <v>1</v>
      </c>
      <c r="W59">
        <v>13</v>
      </c>
      <c r="X59">
        <v>15</v>
      </c>
      <c r="Y59">
        <v>2</v>
      </c>
      <c r="Z59">
        <v>13</v>
      </c>
      <c r="AA59">
        <v>15</v>
      </c>
      <c r="AB59">
        <v>2</v>
      </c>
      <c r="AC59">
        <v>1</v>
      </c>
      <c r="AD59">
        <v>1</v>
      </c>
      <c r="AE59">
        <v>0</v>
      </c>
      <c r="AF59">
        <v>0</v>
      </c>
      <c r="AG59">
        <v>0</v>
      </c>
      <c r="AH59">
        <v>0</v>
      </c>
      <c r="AJ59">
        <v>2</v>
      </c>
      <c r="AL59">
        <v>3</v>
      </c>
      <c r="AN59">
        <v>1</v>
      </c>
      <c r="AO59">
        <v>1</v>
      </c>
      <c r="AP59">
        <v>4</v>
      </c>
      <c r="AQ59">
        <v>1</v>
      </c>
      <c r="AR59">
        <v>4</v>
      </c>
      <c r="AS59">
        <v>1</v>
      </c>
      <c r="AT59">
        <v>1</v>
      </c>
      <c r="AU59">
        <v>1</v>
      </c>
      <c r="AV59">
        <v>0</v>
      </c>
      <c r="AW59">
        <v>0</v>
      </c>
      <c r="AX59">
        <v>0</v>
      </c>
      <c r="AY59">
        <v>0</v>
      </c>
      <c r="AZ59">
        <v>0</v>
      </c>
      <c r="BA59">
        <v>1</v>
      </c>
      <c r="BB59" t="s">
        <v>503</v>
      </c>
      <c r="BC59">
        <v>1</v>
      </c>
      <c r="BD59">
        <v>0</v>
      </c>
      <c r="BE59">
        <v>0</v>
      </c>
      <c r="BF59">
        <v>0</v>
      </c>
      <c r="BG59">
        <v>0</v>
      </c>
      <c r="BH59">
        <v>0</v>
      </c>
      <c r="BI59">
        <v>0</v>
      </c>
      <c r="BJ59">
        <v>0</v>
      </c>
      <c r="BK59">
        <v>1</v>
      </c>
      <c r="BL59">
        <v>0</v>
      </c>
      <c r="BM59">
        <v>0</v>
      </c>
      <c r="BN59">
        <v>1</v>
      </c>
      <c r="BO59">
        <v>0</v>
      </c>
      <c r="BP59">
        <v>0</v>
      </c>
      <c r="BQ59">
        <v>0</v>
      </c>
      <c r="BR59">
        <v>0</v>
      </c>
      <c r="BS59">
        <v>0</v>
      </c>
      <c r="BU59">
        <v>9</v>
      </c>
    </row>
    <row r="60" spans="1:258" x14ac:dyDescent="0.35">
      <c r="A60">
        <v>405449</v>
      </c>
      <c r="C60">
        <v>1</v>
      </c>
      <c r="D60" t="s">
        <v>504</v>
      </c>
      <c r="E60" t="s">
        <v>505</v>
      </c>
      <c r="F60" t="s">
        <v>496</v>
      </c>
      <c r="G60">
        <v>3</v>
      </c>
      <c r="I60">
        <v>1</v>
      </c>
      <c r="J60">
        <v>0</v>
      </c>
      <c r="K60">
        <v>1</v>
      </c>
      <c r="L60">
        <v>0</v>
      </c>
      <c r="M60">
        <v>0</v>
      </c>
      <c r="N60">
        <v>0</v>
      </c>
      <c r="O60">
        <v>0</v>
      </c>
      <c r="P60">
        <v>1</v>
      </c>
      <c r="Q60">
        <v>0</v>
      </c>
      <c r="R60">
        <v>1</v>
      </c>
      <c r="T60">
        <v>1</v>
      </c>
      <c r="U60">
        <v>1</v>
      </c>
      <c r="V60">
        <v>1</v>
      </c>
      <c r="W60">
        <v>3</v>
      </c>
      <c r="X60">
        <v>12</v>
      </c>
      <c r="Y60">
        <v>0</v>
      </c>
      <c r="Z60">
        <v>3</v>
      </c>
      <c r="AA60">
        <v>12</v>
      </c>
      <c r="AC60">
        <v>0</v>
      </c>
      <c r="AD60">
        <v>1</v>
      </c>
      <c r="AE60">
        <v>0</v>
      </c>
      <c r="AF60">
        <v>1</v>
      </c>
      <c r="AG60">
        <v>0</v>
      </c>
      <c r="AH60">
        <v>0</v>
      </c>
      <c r="AJ60">
        <v>4</v>
      </c>
      <c r="AL60">
        <v>1</v>
      </c>
      <c r="AN60">
        <v>1</v>
      </c>
      <c r="AO60">
        <v>1</v>
      </c>
      <c r="AP60">
        <v>2</v>
      </c>
      <c r="AQ60">
        <v>1</v>
      </c>
      <c r="AR60">
        <v>1</v>
      </c>
      <c r="AS60">
        <v>1</v>
      </c>
      <c r="AT60">
        <v>1</v>
      </c>
      <c r="AU60">
        <v>1</v>
      </c>
      <c r="AV60">
        <v>0</v>
      </c>
      <c r="AW60">
        <v>0</v>
      </c>
      <c r="AX60">
        <v>0</v>
      </c>
      <c r="AY60">
        <v>0</v>
      </c>
      <c r="AZ60">
        <v>0</v>
      </c>
      <c r="BA60">
        <v>1</v>
      </c>
      <c r="BB60" t="s">
        <v>506</v>
      </c>
      <c r="BC60">
        <v>0</v>
      </c>
      <c r="BD60">
        <v>0</v>
      </c>
      <c r="BE60">
        <v>0</v>
      </c>
      <c r="BF60">
        <v>0</v>
      </c>
      <c r="BG60">
        <v>0</v>
      </c>
      <c r="BH60">
        <v>0</v>
      </c>
      <c r="BI60">
        <v>0</v>
      </c>
      <c r="BJ60">
        <v>0</v>
      </c>
      <c r="BK60">
        <v>0</v>
      </c>
      <c r="BL60">
        <v>0</v>
      </c>
      <c r="BM60">
        <v>0</v>
      </c>
      <c r="BN60">
        <v>0</v>
      </c>
      <c r="BO60">
        <v>0</v>
      </c>
      <c r="BP60">
        <v>0</v>
      </c>
      <c r="BQ60">
        <v>1</v>
      </c>
      <c r="BR60">
        <v>0</v>
      </c>
      <c r="BS60">
        <v>0</v>
      </c>
      <c r="BU60">
        <v>5</v>
      </c>
      <c r="BV60">
        <v>3</v>
      </c>
      <c r="BW60" t="s">
        <v>507</v>
      </c>
      <c r="BX60">
        <v>4</v>
      </c>
      <c r="BY60">
        <v>4</v>
      </c>
      <c r="DI60">
        <v>1</v>
      </c>
      <c r="DJ60">
        <v>0</v>
      </c>
      <c r="DK60">
        <v>0</v>
      </c>
      <c r="DL60">
        <v>0</v>
      </c>
      <c r="DM60">
        <v>0</v>
      </c>
      <c r="DN60">
        <v>0</v>
      </c>
      <c r="DO60">
        <v>0</v>
      </c>
      <c r="DP60">
        <v>0</v>
      </c>
      <c r="DQ60">
        <v>1</v>
      </c>
      <c r="DR60">
        <v>0</v>
      </c>
      <c r="DS60" t="s">
        <v>508</v>
      </c>
      <c r="DT60">
        <v>0</v>
      </c>
      <c r="DU60">
        <v>1</v>
      </c>
      <c r="DV60">
        <v>0</v>
      </c>
      <c r="DW60">
        <v>1</v>
      </c>
      <c r="DX60">
        <v>0</v>
      </c>
      <c r="DY60">
        <v>0</v>
      </c>
      <c r="DZ60">
        <v>0</v>
      </c>
      <c r="EA60">
        <v>0</v>
      </c>
      <c r="EB60">
        <v>0</v>
      </c>
      <c r="EC60">
        <v>0</v>
      </c>
      <c r="ED60">
        <v>1</v>
      </c>
      <c r="EE60">
        <v>0</v>
      </c>
      <c r="EF60">
        <v>0</v>
      </c>
      <c r="EI60" t="s">
        <v>274</v>
      </c>
      <c r="EJ60">
        <v>1</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IG60">
        <v>1</v>
      </c>
      <c r="IH60">
        <v>1</v>
      </c>
      <c r="II60">
        <v>0</v>
      </c>
      <c r="IJ60">
        <v>1</v>
      </c>
      <c r="IK60">
        <v>0</v>
      </c>
      <c r="IL60">
        <v>0</v>
      </c>
      <c r="IM60">
        <v>0</v>
      </c>
      <c r="IN60">
        <v>0</v>
      </c>
      <c r="IO60">
        <v>0</v>
      </c>
      <c r="IP60">
        <v>0</v>
      </c>
      <c r="IQ60">
        <v>0</v>
      </c>
      <c r="IS60">
        <v>1</v>
      </c>
      <c r="IT60">
        <v>1</v>
      </c>
      <c r="IU60">
        <v>1</v>
      </c>
      <c r="IV60">
        <v>1</v>
      </c>
      <c r="IW60">
        <v>0</v>
      </c>
    </row>
    <row r="61" spans="1:258" x14ac:dyDescent="0.35">
      <c r="A61">
        <v>405383</v>
      </c>
      <c r="C61">
        <v>1</v>
      </c>
      <c r="D61" t="s">
        <v>509</v>
      </c>
      <c r="E61" t="s">
        <v>510</v>
      </c>
      <c r="F61" t="s">
        <v>496</v>
      </c>
      <c r="G61">
        <v>13</v>
      </c>
      <c r="I61">
        <v>0</v>
      </c>
      <c r="J61">
        <v>1</v>
      </c>
      <c r="K61">
        <v>0</v>
      </c>
      <c r="L61">
        <v>0</v>
      </c>
      <c r="M61">
        <v>0</v>
      </c>
      <c r="N61">
        <v>0</v>
      </c>
      <c r="O61">
        <v>0</v>
      </c>
      <c r="P61">
        <v>0</v>
      </c>
      <c r="Q61">
        <v>0</v>
      </c>
      <c r="R61">
        <v>1</v>
      </c>
      <c r="T61">
        <v>1</v>
      </c>
      <c r="U61">
        <v>0</v>
      </c>
      <c r="V61">
        <v>0</v>
      </c>
      <c r="W61">
        <v>50</v>
      </c>
      <c r="Z61">
        <v>50</v>
      </c>
      <c r="AC61">
        <v>1</v>
      </c>
      <c r="AD61">
        <v>1</v>
      </c>
      <c r="AE61">
        <v>0</v>
      </c>
      <c r="AF61">
        <v>0</v>
      </c>
      <c r="AG61">
        <v>0</v>
      </c>
      <c r="AH61">
        <v>0</v>
      </c>
      <c r="AJ61">
        <v>1</v>
      </c>
      <c r="AL61">
        <v>2</v>
      </c>
      <c r="AN61">
        <v>2</v>
      </c>
      <c r="AQ61">
        <v>2</v>
      </c>
      <c r="AS61">
        <v>2</v>
      </c>
      <c r="AT61">
        <v>1</v>
      </c>
      <c r="AU61">
        <v>1</v>
      </c>
      <c r="AV61">
        <v>1</v>
      </c>
      <c r="AW61">
        <v>0</v>
      </c>
      <c r="AX61">
        <v>0</v>
      </c>
      <c r="AY61">
        <v>0</v>
      </c>
      <c r="AZ61">
        <v>1</v>
      </c>
      <c r="BA61">
        <v>0</v>
      </c>
      <c r="BC61">
        <v>0</v>
      </c>
      <c r="BD61">
        <v>0</v>
      </c>
      <c r="BE61">
        <v>0</v>
      </c>
      <c r="BF61">
        <v>0</v>
      </c>
      <c r="BG61">
        <v>1</v>
      </c>
      <c r="BH61">
        <v>0</v>
      </c>
      <c r="BI61">
        <v>0</v>
      </c>
      <c r="BJ61">
        <v>1</v>
      </c>
      <c r="BK61">
        <v>1</v>
      </c>
      <c r="BL61">
        <v>0</v>
      </c>
      <c r="BM61">
        <v>1</v>
      </c>
      <c r="BN61">
        <v>1</v>
      </c>
      <c r="BO61">
        <v>1</v>
      </c>
      <c r="BP61">
        <v>1</v>
      </c>
      <c r="BQ61">
        <v>1</v>
      </c>
      <c r="BR61">
        <v>0</v>
      </c>
      <c r="BS61">
        <v>0</v>
      </c>
      <c r="BU61">
        <v>1</v>
      </c>
      <c r="BV61">
        <v>2</v>
      </c>
      <c r="BW61" t="s">
        <v>511</v>
      </c>
      <c r="BX61">
        <v>3</v>
      </c>
      <c r="BY61">
        <v>3</v>
      </c>
      <c r="DI61">
        <v>1</v>
      </c>
      <c r="DJ61">
        <v>1</v>
      </c>
      <c r="DK61">
        <v>1</v>
      </c>
      <c r="DL61">
        <v>1</v>
      </c>
      <c r="DM61">
        <v>0</v>
      </c>
      <c r="DN61">
        <v>1</v>
      </c>
      <c r="DO61">
        <v>0</v>
      </c>
      <c r="DP61">
        <v>0</v>
      </c>
      <c r="DQ61">
        <v>0</v>
      </c>
      <c r="DR61">
        <v>0</v>
      </c>
      <c r="DT61">
        <v>1</v>
      </c>
      <c r="DU61">
        <v>0</v>
      </c>
      <c r="DV61">
        <v>0</v>
      </c>
      <c r="DW61">
        <v>0</v>
      </c>
      <c r="DX61">
        <v>0</v>
      </c>
      <c r="DY61">
        <v>0</v>
      </c>
      <c r="DZ61">
        <v>0</v>
      </c>
      <c r="EA61">
        <v>0</v>
      </c>
      <c r="EB61">
        <v>0</v>
      </c>
      <c r="EC61">
        <v>0</v>
      </c>
      <c r="ED61">
        <v>0</v>
      </c>
      <c r="EE61">
        <v>0</v>
      </c>
      <c r="EF61">
        <v>0</v>
      </c>
      <c r="EG61" t="s">
        <v>512</v>
      </c>
      <c r="EH61">
        <v>12</v>
      </c>
      <c r="IG61">
        <v>1</v>
      </c>
      <c r="IH61">
        <v>0</v>
      </c>
      <c r="II61">
        <v>1</v>
      </c>
      <c r="IJ61">
        <v>0</v>
      </c>
      <c r="IK61">
        <v>0</v>
      </c>
      <c r="IL61">
        <v>0</v>
      </c>
      <c r="IM61">
        <v>1</v>
      </c>
      <c r="IN61">
        <v>0</v>
      </c>
      <c r="IO61">
        <v>0</v>
      </c>
      <c r="IP61">
        <v>0</v>
      </c>
      <c r="IQ61">
        <v>0</v>
      </c>
      <c r="IS61">
        <v>1</v>
      </c>
      <c r="IT61">
        <v>0</v>
      </c>
      <c r="IU61">
        <v>0</v>
      </c>
      <c r="IV61">
        <v>0</v>
      </c>
      <c r="IW61">
        <v>1</v>
      </c>
      <c r="IX61" t="s">
        <v>513</v>
      </c>
    </row>
    <row r="62" spans="1:258" x14ac:dyDescent="0.35">
      <c r="A62">
        <v>405243</v>
      </c>
      <c r="C62">
        <v>1</v>
      </c>
      <c r="D62" t="s">
        <v>514</v>
      </c>
      <c r="E62" t="s">
        <v>515</v>
      </c>
      <c r="F62" t="s">
        <v>516</v>
      </c>
      <c r="G62">
        <v>3</v>
      </c>
      <c r="I62">
        <v>0</v>
      </c>
      <c r="J62">
        <v>1</v>
      </c>
      <c r="K62">
        <v>1</v>
      </c>
      <c r="L62">
        <v>0</v>
      </c>
      <c r="M62">
        <v>0</v>
      </c>
      <c r="N62">
        <v>0</v>
      </c>
      <c r="O62">
        <v>0</v>
      </c>
      <c r="P62">
        <v>0</v>
      </c>
      <c r="Q62">
        <v>0</v>
      </c>
      <c r="R62">
        <v>1</v>
      </c>
      <c r="T62">
        <v>1</v>
      </c>
      <c r="U62">
        <v>1</v>
      </c>
      <c r="V62">
        <v>1</v>
      </c>
      <c r="W62">
        <v>28</v>
      </c>
      <c r="X62">
        <v>29</v>
      </c>
      <c r="Y62">
        <v>126</v>
      </c>
      <c r="Z62">
        <v>28</v>
      </c>
      <c r="AA62">
        <v>29</v>
      </c>
      <c r="AB62">
        <v>126</v>
      </c>
      <c r="AC62">
        <v>1</v>
      </c>
      <c r="AD62">
        <v>1</v>
      </c>
      <c r="AE62">
        <v>0</v>
      </c>
      <c r="AF62">
        <v>1</v>
      </c>
      <c r="AG62">
        <v>1</v>
      </c>
      <c r="AH62">
        <v>0</v>
      </c>
      <c r="AJ62">
        <v>1</v>
      </c>
      <c r="AL62">
        <v>1</v>
      </c>
      <c r="AN62">
        <v>1</v>
      </c>
      <c r="AO62">
        <v>1</v>
      </c>
      <c r="AP62">
        <v>1</v>
      </c>
      <c r="AQ62">
        <v>2</v>
      </c>
      <c r="AS62">
        <v>1</v>
      </c>
      <c r="AT62">
        <v>1</v>
      </c>
      <c r="BX62">
        <v>4</v>
      </c>
      <c r="BY62">
        <v>3</v>
      </c>
      <c r="BZ62">
        <v>0</v>
      </c>
      <c r="CA62">
        <v>1</v>
      </c>
      <c r="CB62">
        <v>0</v>
      </c>
      <c r="CC62">
        <v>0</v>
      </c>
      <c r="CD62">
        <v>1</v>
      </c>
      <c r="CE62">
        <v>0</v>
      </c>
      <c r="CF62">
        <v>0</v>
      </c>
      <c r="CG62">
        <v>0</v>
      </c>
      <c r="CH62">
        <v>0</v>
      </c>
      <c r="CI62">
        <v>1</v>
      </c>
      <c r="CJ62">
        <v>0</v>
      </c>
      <c r="CK62">
        <v>1</v>
      </c>
      <c r="CL62">
        <v>1</v>
      </c>
      <c r="CM62">
        <v>0</v>
      </c>
      <c r="CN62">
        <v>0</v>
      </c>
      <c r="CO62">
        <v>0</v>
      </c>
      <c r="CQ62" t="s">
        <v>517</v>
      </c>
      <c r="CR62">
        <v>1</v>
      </c>
      <c r="CS62">
        <v>1</v>
      </c>
      <c r="CU62">
        <v>1</v>
      </c>
      <c r="CW62">
        <v>2</v>
      </c>
      <c r="CZ62">
        <v>4</v>
      </c>
      <c r="DD62" t="s">
        <v>518</v>
      </c>
      <c r="DE62">
        <v>3</v>
      </c>
      <c r="DF62" t="s">
        <v>519</v>
      </c>
      <c r="DG62">
        <v>4</v>
      </c>
      <c r="DI62">
        <v>0</v>
      </c>
      <c r="DJ62">
        <v>0</v>
      </c>
      <c r="DK62">
        <v>1</v>
      </c>
      <c r="DL62">
        <v>0</v>
      </c>
      <c r="DM62">
        <v>0</v>
      </c>
      <c r="DN62">
        <v>0</v>
      </c>
      <c r="DO62">
        <v>0</v>
      </c>
      <c r="DP62">
        <v>0</v>
      </c>
      <c r="DQ62">
        <v>1</v>
      </c>
      <c r="DR62">
        <v>0</v>
      </c>
      <c r="DS62" t="s">
        <v>520</v>
      </c>
      <c r="DT62">
        <v>0</v>
      </c>
      <c r="DU62">
        <v>1</v>
      </c>
      <c r="DV62">
        <v>1</v>
      </c>
      <c r="DW62">
        <v>0</v>
      </c>
      <c r="DX62">
        <v>1</v>
      </c>
      <c r="DY62">
        <v>0</v>
      </c>
      <c r="DZ62">
        <v>0</v>
      </c>
      <c r="EA62">
        <v>0</v>
      </c>
      <c r="EB62">
        <v>1</v>
      </c>
      <c r="EC62">
        <v>1</v>
      </c>
      <c r="ED62">
        <v>1</v>
      </c>
      <c r="EE62">
        <v>0</v>
      </c>
      <c r="EF62">
        <v>0</v>
      </c>
      <c r="EI62" t="s">
        <v>500</v>
      </c>
      <c r="EJ62">
        <v>1</v>
      </c>
      <c r="EK62">
        <v>1</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t="s">
        <v>521</v>
      </c>
      <c r="FG62">
        <v>1</v>
      </c>
      <c r="FH62">
        <v>0</v>
      </c>
      <c r="FI62">
        <v>0</v>
      </c>
      <c r="FJ62">
        <v>0</v>
      </c>
      <c r="FK62">
        <v>1</v>
      </c>
      <c r="FL62">
        <v>0</v>
      </c>
      <c r="FM62">
        <v>0</v>
      </c>
      <c r="FN62">
        <v>0</v>
      </c>
      <c r="FO62">
        <v>0</v>
      </c>
      <c r="FP62">
        <v>0</v>
      </c>
      <c r="FQ62">
        <v>0</v>
      </c>
      <c r="FR62">
        <v>0</v>
      </c>
      <c r="FS62">
        <v>0</v>
      </c>
      <c r="FT62">
        <v>0</v>
      </c>
      <c r="FU62">
        <v>0</v>
      </c>
      <c r="FV62">
        <v>0</v>
      </c>
      <c r="FW62">
        <v>0</v>
      </c>
      <c r="FX62">
        <v>0</v>
      </c>
      <c r="FY62">
        <v>0</v>
      </c>
      <c r="GJ62" t="s">
        <v>522</v>
      </c>
      <c r="GK62">
        <v>0</v>
      </c>
      <c r="GL62">
        <v>0</v>
      </c>
      <c r="GM62">
        <v>0</v>
      </c>
      <c r="GN62">
        <v>0</v>
      </c>
      <c r="GO62">
        <v>0</v>
      </c>
      <c r="GP62">
        <v>0</v>
      </c>
      <c r="GQ62">
        <v>0</v>
      </c>
      <c r="GR62">
        <v>0</v>
      </c>
      <c r="GS62">
        <v>0</v>
      </c>
      <c r="GT62">
        <v>0</v>
      </c>
      <c r="GU62">
        <v>0</v>
      </c>
      <c r="GV62">
        <v>0</v>
      </c>
      <c r="GW62">
        <v>0</v>
      </c>
      <c r="GX62">
        <v>0</v>
      </c>
      <c r="GY62">
        <v>0</v>
      </c>
      <c r="GZ62">
        <v>0</v>
      </c>
      <c r="HA62">
        <v>0</v>
      </c>
      <c r="HB62">
        <v>0</v>
      </c>
      <c r="HC62">
        <v>1</v>
      </c>
      <c r="HD62">
        <v>0</v>
      </c>
      <c r="HE62">
        <v>0</v>
      </c>
      <c r="HF62">
        <v>0</v>
      </c>
      <c r="HG62">
        <v>0</v>
      </c>
      <c r="HH62">
        <v>0</v>
      </c>
      <c r="HI62">
        <v>0</v>
      </c>
      <c r="HJ62">
        <v>0</v>
      </c>
      <c r="HK62">
        <v>0</v>
      </c>
      <c r="HL62">
        <v>0</v>
      </c>
      <c r="HM62">
        <v>0</v>
      </c>
      <c r="HN62">
        <v>0</v>
      </c>
      <c r="HO62">
        <v>0</v>
      </c>
      <c r="HP62">
        <v>0</v>
      </c>
      <c r="HQ62">
        <v>0</v>
      </c>
      <c r="HR62">
        <v>1</v>
      </c>
      <c r="HS62">
        <v>0</v>
      </c>
      <c r="HT62">
        <v>0</v>
      </c>
      <c r="HU62">
        <v>0</v>
      </c>
      <c r="HV62">
        <v>0</v>
      </c>
      <c r="HW62">
        <v>0</v>
      </c>
      <c r="HX62">
        <v>0</v>
      </c>
      <c r="HY62">
        <v>0</v>
      </c>
      <c r="HZ62">
        <v>0</v>
      </c>
      <c r="IA62">
        <v>0</v>
      </c>
      <c r="IB62">
        <v>0</v>
      </c>
      <c r="IC62">
        <v>0</v>
      </c>
      <c r="ID62">
        <v>0</v>
      </c>
      <c r="IG62">
        <v>1</v>
      </c>
      <c r="IH62">
        <v>0</v>
      </c>
      <c r="II62">
        <v>1</v>
      </c>
      <c r="IJ62">
        <v>1</v>
      </c>
      <c r="IK62">
        <v>0</v>
      </c>
      <c r="IL62">
        <v>0</v>
      </c>
      <c r="IM62">
        <v>0</v>
      </c>
      <c r="IN62">
        <v>0</v>
      </c>
      <c r="IO62">
        <v>0</v>
      </c>
      <c r="IP62">
        <v>0</v>
      </c>
      <c r="IQ62">
        <v>0</v>
      </c>
      <c r="IS62">
        <v>2</v>
      </c>
    </row>
    <row r="63" spans="1:258" x14ac:dyDescent="0.35">
      <c r="A63">
        <v>363306</v>
      </c>
      <c r="C63">
        <v>1</v>
      </c>
      <c r="D63" t="s">
        <v>523</v>
      </c>
      <c r="E63" t="s">
        <v>524</v>
      </c>
      <c r="F63" t="s">
        <v>516</v>
      </c>
      <c r="G63">
        <v>3</v>
      </c>
      <c r="I63">
        <v>0</v>
      </c>
      <c r="J63">
        <v>0</v>
      </c>
      <c r="K63">
        <v>1</v>
      </c>
      <c r="L63">
        <v>0</v>
      </c>
      <c r="M63">
        <v>0</v>
      </c>
      <c r="N63">
        <v>0</v>
      </c>
      <c r="O63">
        <v>0</v>
      </c>
      <c r="P63">
        <v>0</v>
      </c>
      <c r="Q63">
        <v>0</v>
      </c>
      <c r="R63">
        <v>1</v>
      </c>
      <c r="T63">
        <v>1</v>
      </c>
      <c r="U63">
        <v>1</v>
      </c>
      <c r="V63">
        <v>0</v>
      </c>
      <c r="W63">
        <v>5</v>
      </c>
      <c r="X63">
        <v>44</v>
      </c>
      <c r="Z63">
        <v>5</v>
      </c>
      <c r="AA63">
        <v>44</v>
      </c>
      <c r="AC63">
        <v>1</v>
      </c>
      <c r="AD63">
        <v>1</v>
      </c>
      <c r="AE63">
        <v>0</v>
      </c>
      <c r="AF63">
        <v>0</v>
      </c>
      <c r="AG63">
        <v>0</v>
      </c>
      <c r="AH63">
        <v>0</v>
      </c>
      <c r="AJ63">
        <v>1</v>
      </c>
      <c r="AL63">
        <v>1</v>
      </c>
      <c r="AN63">
        <v>1</v>
      </c>
      <c r="AO63">
        <v>1</v>
      </c>
      <c r="AP63">
        <v>4</v>
      </c>
      <c r="AQ63">
        <v>1</v>
      </c>
      <c r="AR63">
        <v>6</v>
      </c>
      <c r="AS63">
        <v>2</v>
      </c>
      <c r="AT63">
        <v>3</v>
      </c>
      <c r="AU63">
        <v>2</v>
      </c>
      <c r="BC63">
        <v>0</v>
      </c>
      <c r="BD63">
        <v>0</v>
      </c>
      <c r="BE63">
        <v>0</v>
      </c>
      <c r="BF63">
        <v>1</v>
      </c>
      <c r="BG63">
        <v>0</v>
      </c>
      <c r="BH63">
        <v>0</v>
      </c>
      <c r="BI63">
        <v>0</v>
      </c>
      <c r="BJ63">
        <v>0</v>
      </c>
      <c r="BK63">
        <v>0</v>
      </c>
      <c r="BL63">
        <v>0</v>
      </c>
      <c r="BM63">
        <v>0</v>
      </c>
      <c r="BN63">
        <v>0</v>
      </c>
      <c r="BO63">
        <v>0</v>
      </c>
      <c r="BP63">
        <v>0</v>
      </c>
      <c r="BQ63">
        <v>0</v>
      </c>
      <c r="BR63">
        <v>0</v>
      </c>
      <c r="BS63">
        <v>0</v>
      </c>
      <c r="BU63">
        <v>4</v>
      </c>
      <c r="BV63">
        <v>4</v>
      </c>
      <c r="BX63">
        <v>6</v>
      </c>
      <c r="BY63">
        <v>6</v>
      </c>
      <c r="DI63">
        <v>0</v>
      </c>
      <c r="DJ63">
        <v>1</v>
      </c>
      <c r="DK63">
        <v>1</v>
      </c>
      <c r="DL63">
        <v>0</v>
      </c>
      <c r="DM63">
        <v>0</v>
      </c>
      <c r="DN63">
        <v>1</v>
      </c>
      <c r="DO63">
        <v>1</v>
      </c>
      <c r="DP63">
        <v>0</v>
      </c>
      <c r="DQ63">
        <v>0</v>
      </c>
      <c r="DR63">
        <v>0</v>
      </c>
      <c r="DT63">
        <v>0</v>
      </c>
      <c r="DU63">
        <v>0</v>
      </c>
      <c r="DV63">
        <v>0</v>
      </c>
      <c r="DW63">
        <v>1</v>
      </c>
      <c r="DX63">
        <v>1</v>
      </c>
      <c r="DY63">
        <v>0</v>
      </c>
      <c r="DZ63">
        <v>0</v>
      </c>
      <c r="EA63">
        <v>0</v>
      </c>
      <c r="EB63">
        <v>0</v>
      </c>
      <c r="EC63">
        <v>0</v>
      </c>
      <c r="ED63">
        <v>1</v>
      </c>
      <c r="EE63">
        <v>0</v>
      </c>
      <c r="EF63">
        <v>0</v>
      </c>
      <c r="IG63">
        <v>0</v>
      </c>
      <c r="IH63">
        <v>0</v>
      </c>
      <c r="II63">
        <v>0</v>
      </c>
      <c r="IJ63">
        <v>0</v>
      </c>
      <c r="IK63">
        <v>0</v>
      </c>
      <c r="IL63">
        <v>0</v>
      </c>
      <c r="IM63">
        <v>1</v>
      </c>
      <c r="IN63">
        <v>0</v>
      </c>
      <c r="IO63">
        <v>0</v>
      </c>
      <c r="IP63">
        <v>0</v>
      </c>
      <c r="IQ63">
        <v>0</v>
      </c>
      <c r="IS63">
        <v>1</v>
      </c>
      <c r="IT63">
        <v>0</v>
      </c>
      <c r="IU63">
        <v>0</v>
      </c>
      <c r="IV63">
        <v>1</v>
      </c>
      <c r="IW63">
        <v>0</v>
      </c>
    </row>
    <row r="64" spans="1:258" x14ac:dyDescent="0.35">
      <c r="A64">
        <v>346778</v>
      </c>
      <c r="C64">
        <v>1</v>
      </c>
      <c r="D64" t="s">
        <v>525</v>
      </c>
      <c r="E64" t="s">
        <v>526</v>
      </c>
      <c r="F64" t="s">
        <v>516</v>
      </c>
      <c r="G64">
        <v>3</v>
      </c>
      <c r="I64">
        <v>1</v>
      </c>
      <c r="J64">
        <v>0</v>
      </c>
      <c r="K64">
        <v>1</v>
      </c>
      <c r="L64">
        <v>0</v>
      </c>
      <c r="M64">
        <v>1</v>
      </c>
      <c r="N64">
        <v>0</v>
      </c>
      <c r="O64">
        <v>0</v>
      </c>
      <c r="P64">
        <v>0</v>
      </c>
      <c r="Q64">
        <v>0</v>
      </c>
      <c r="R64">
        <v>1</v>
      </c>
      <c r="T64">
        <v>1</v>
      </c>
      <c r="U64">
        <v>1</v>
      </c>
      <c r="V64">
        <v>0</v>
      </c>
      <c r="W64">
        <v>3</v>
      </c>
      <c r="X64">
        <v>20</v>
      </c>
      <c r="Z64">
        <v>3</v>
      </c>
      <c r="AA64">
        <v>20</v>
      </c>
      <c r="AC64">
        <v>1</v>
      </c>
      <c r="AD64">
        <v>1</v>
      </c>
      <c r="AE64">
        <v>0</v>
      </c>
      <c r="AF64">
        <v>0</v>
      </c>
      <c r="AG64">
        <v>0</v>
      </c>
      <c r="AH64">
        <v>0</v>
      </c>
      <c r="AJ64">
        <v>1</v>
      </c>
      <c r="AL64">
        <v>1</v>
      </c>
      <c r="AN64">
        <v>1</v>
      </c>
      <c r="AO64">
        <v>2</v>
      </c>
      <c r="AP64">
        <v>4</v>
      </c>
      <c r="AQ64">
        <v>2</v>
      </c>
      <c r="AS64">
        <v>2</v>
      </c>
      <c r="AT64">
        <v>1</v>
      </c>
      <c r="AU64">
        <v>2</v>
      </c>
      <c r="BC64">
        <v>1</v>
      </c>
      <c r="BD64">
        <v>0</v>
      </c>
      <c r="BE64">
        <v>1</v>
      </c>
      <c r="BF64">
        <v>0</v>
      </c>
      <c r="BG64">
        <v>1</v>
      </c>
      <c r="BH64">
        <v>0</v>
      </c>
      <c r="BI64">
        <v>1</v>
      </c>
      <c r="BJ64">
        <v>0</v>
      </c>
      <c r="BK64">
        <v>1</v>
      </c>
      <c r="BL64">
        <v>0</v>
      </c>
      <c r="BM64">
        <v>0</v>
      </c>
      <c r="BN64">
        <v>1</v>
      </c>
      <c r="BO64">
        <v>0</v>
      </c>
      <c r="BP64">
        <v>0</v>
      </c>
      <c r="BQ64">
        <v>0</v>
      </c>
      <c r="BR64">
        <v>0</v>
      </c>
      <c r="BS64">
        <v>0</v>
      </c>
      <c r="BU64">
        <v>5</v>
      </c>
      <c r="BV64">
        <v>4</v>
      </c>
      <c r="BX64">
        <v>6</v>
      </c>
      <c r="BY64">
        <v>6</v>
      </c>
      <c r="DI64">
        <v>1</v>
      </c>
      <c r="DJ64">
        <v>0</v>
      </c>
      <c r="DK64">
        <v>1</v>
      </c>
      <c r="DL64">
        <v>0</v>
      </c>
      <c r="DM64">
        <v>0</v>
      </c>
      <c r="DN64">
        <v>1</v>
      </c>
      <c r="DO64">
        <v>0</v>
      </c>
      <c r="DP64">
        <v>1</v>
      </c>
      <c r="DQ64">
        <v>0</v>
      </c>
      <c r="DR64">
        <v>0</v>
      </c>
      <c r="DT64">
        <v>0</v>
      </c>
      <c r="DU64">
        <v>1</v>
      </c>
      <c r="DV64">
        <v>0</v>
      </c>
      <c r="DW64">
        <v>0</v>
      </c>
      <c r="DX64">
        <v>0</v>
      </c>
      <c r="DY64">
        <v>0</v>
      </c>
      <c r="DZ64">
        <v>1</v>
      </c>
      <c r="EA64">
        <v>1</v>
      </c>
      <c r="EB64">
        <v>1</v>
      </c>
      <c r="EC64">
        <v>1</v>
      </c>
      <c r="ED64">
        <v>1</v>
      </c>
      <c r="EE64">
        <v>0</v>
      </c>
      <c r="EF64">
        <v>0</v>
      </c>
      <c r="EI64" t="s">
        <v>285</v>
      </c>
      <c r="EJ64">
        <v>0</v>
      </c>
      <c r="EK64">
        <v>1</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Z64" t="s">
        <v>527</v>
      </c>
      <c r="GA64">
        <v>0</v>
      </c>
      <c r="GB64">
        <v>1</v>
      </c>
      <c r="GC64">
        <v>0</v>
      </c>
      <c r="GD64">
        <v>0</v>
      </c>
      <c r="GE64">
        <v>0</v>
      </c>
      <c r="GF64">
        <v>0</v>
      </c>
      <c r="GG64">
        <v>0</v>
      </c>
      <c r="GH64">
        <v>0</v>
      </c>
      <c r="GI64">
        <v>0</v>
      </c>
      <c r="GJ64" t="s">
        <v>528</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1</v>
      </c>
      <c r="IG64">
        <v>1</v>
      </c>
      <c r="IH64">
        <v>0</v>
      </c>
      <c r="II64">
        <v>1</v>
      </c>
      <c r="IJ64">
        <v>0</v>
      </c>
      <c r="IK64">
        <v>0</v>
      </c>
      <c r="IL64">
        <v>1</v>
      </c>
      <c r="IM64">
        <v>0</v>
      </c>
      <c r="IN64">
        <v>0</v>
      </c>
      <c r="IO64">
        <v>0</v>
      </c>
      <c r="IP64">
        <v>0</v>
      </c>
      <c r="IQ64">
        <v>0</v>
      </c>
      <c r="IS64">
        <v>2</v>
      </c>
    </row>
    <row r="65" spans="1:258" x14ac:dyDescent="0.35">
      <c r="A65">
        <v>405338</v>
      </c>
      <c r="C65">
        <v>1</v>
      </c>
      <c r="D65" t="s">
        <v>529</v>
      </c>
      <c r="E65" t="s">
        <v>530</v>
      </c>
      <c r="F65" t="s">
        <v>516</v>
      </c>
      <c r="G65">
        <v>15</v>
      </c>
      <c r="H65" t="s">
        <v>531</v>
      </c>
      <c r="I65">
        <v>0</v>
      </c>
      <c r="J65">
        <v>0</v>
      </c>
      <c r="K65">
        <v>1</v>
      </c>
      <c r="L65">
        <v>0</v>
      </c>
      <c r="M65">
        <v>0</v>
      </c>
      <c r="N65">
        <v>0</v>
      </c>
      <c r="O65">
        <v>0</v>
      </c>
      <c r="P65">
        <v>0</v>
      </c>
      <c r="Q65">
        <v>0</v>
      </c>
      <c r="R65">
        <v>1</v>
      </c>
      <c r="T65">
        <v>0</v>
      </c>
      <c r="U65">
        <v>1</v>
      </c>
      <c r="V65">
        <v>0</v>
      </c>
      <c r="X65">
        <v>19</v>
      </c>
      <c r="AA65">
        <v>19</v>
      </c>
      <c r="AC65">
        <v>1</v>
      </c>
      <c r="AD65">
        <v>0</v>
      </c>
      <c r="AE65">
        <v>0</v>
      </c>
      <c r="AF65">
        <v>0</v>
      </c>
      <c r="AG65">
        <v>0</v>
      </c>
      <c r="AH65">
        <v>0</v>
      </c>
      <c r="AJ65">
        <v>1</v>
      </c>
      <c r="AL65">
        <v>1</v>
      </c>
      <c r="AN65">
        <v>1</v>
      </c>
      <c r="AO65">
        <v>1</v>
      </c>
      <c r="AP65">
        <v>4</v>
      </c>
      <c r="AQ65">
        <v>1</v>
      </c>
      <c r="AR65">
        <v>5</v>
      </c>
      <c r="AS65">
        <v>2</v>
      </c>
      <c r="AT65">
        <v>1</v>
      </c>
      <c r="AU65">
        <v>2</v>
      </c>
      <c r="BC65">
        <v>0</v>
      </c>
      <c r="BD65">
        <v>0</v>
      </c>
      <c r="BE65">
        <v>1</v>
      </c>
      <c r="BF65">
        <v>0</v>
      </c>
      <c r="BG65">
        <v>1</v>
      </c>
      <c r="BH65">
        <v>0</v>
      </c>
      <c r="BI65">
        <v>0</v>
      </c>
      <c r="BJ65">
        <v>0</v>
      </c>
      <c r="BK65">
        <v>1</v>
      </c>
      <c r="BL65">
        <v>0</v>
      </c>
      <c r="BM65">
        <v>0</v>
      </c>
      <c r="BN65">
        <v>0</v>
      </c>
      <c r="BO65">
        <v>0</v>
      </c>
      <c r="BP65">
        <v>1</v>
      </c>
      <c r="BQ65">
        <v>0</v>
      </c>
      <c r="BR65">
        <v>0</v>
      </c>
      <c r="BS65">
        <v>0</v>
      </c>
      <c r="BU65">
        <v>5</v>
      </c>
      <c r="BV65">
        <v>4</v>
      </c>
      <c r="BX65">
        <v>6</v>
      </c>
      <c r="BY65">
        <v>6</v>
      </c>
      <c r="DI65">
        <v>1</v>
      </c>
      <c r="DJ65">
        <v>0</v>
      </c>
      <c r="DK65">
        <v>1</v>
      </c>
      <c r="DL65">
        <v>0</v>
      </c>
      <c r="DM65">
        <v>0</v>
      </c>
      <c r="DN65">
        <v>0</v>
      </c>
      <c r="DO65">
        <v>0</v>
      </c>
      <c r="DP65">
        <v>0</v>
      </c>
      <c r="DQ65">
        <v>0</v>
      </c>
      <c r="DR65">
        <v>0</v>
      </c>
      <c r="DT65">
        <v>0</v>
      </c>
      <c r="DU65">
        <v>1</v>
      </c>
      <c r="DV65">
        <v>0</v>
      </c>
      <c r="DW65">
        <v>0</v>
      </c>
      <c r="DX65">
        <v>1</v>
      </c>
      <c r="DY65">
        <v>0</v>
      </c>
      <c r="DZ65">
        <v>0</v>
      </c>
      <c r="EA65">
        <v>0</v>
      </c>
      <c r="EB65">
        <v>0</v>
      </c>
      <c r="EC65">
        <v>1</v>
      </c>
      <c r="ED65">
        <v>1</v>
      </c>
      <c r="EE65">
        <v>0</v>
      </c>
      <c r="EF65">
        <v>0</v>
      </c>
      <c r="EI65" t="s">
        <v>274</v>
      </c>
      <c r="EJ65">
        <v>1</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GJ65" t="s">
        <v>532</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1</v>
      </c>
      <c r="IG65">
        <v>1</v>
      </c>
      <c r="IH65">
        <v>0</v>
      </c>
      <c r="II65">
        <v>0</v>
      </c>
      <c r="IJ65">
        <v>0</v>
      </c>
      <c r="IK65">
        <v>0</v>
      </c>
      <c r="IL65">
        <v>0</v>
      </c>
      <c r="IM65">
        <v>0</v>
      </c>
      <c r="IN65">
        <v>0</v>
      </c>
      <c r="IO65">
        <v>0</v>
      </c>
      <c r="IP65">
        <v>0</v>
      </c>
      <c r="IQ65">
        <v>0</v>
      </c>
      <c r="IS65">
        <v>2</v>
      </c>
    </row>
    <row r="66" spans="1:258" x14ac:dyDescent="0.35">
      <c r="A66">
        <v>371459</v>
      </c>
      <c r="C66">
        <v>1</v>
      </c>
      <c r="D66" t="s">
        <v>533</v>
      </c>
      <c r="E66" t="s">
        <v>534</v>
      </c>
      <c r="F66" t="s">
        <v>516</v>
      </c>
      <c r="G66">
        <v>3</v>
      </c>
      <c r="I66">
        <v>1</v>
      </c>
      <c r="J66">
        <v>0</v>
      </c>
      <c r="K66">
        <v>1</v>
      </c>
      <c r="L66">
        <v>0</v>
      </c>
      <c r="M66">
        <v>0</v>
      </c>
      <c r="N66">
        <v>0</v>
      </c>
      <c r="O66">
        <v>0</v>
      </c>
      <c r="P66">
        <v>1</v>
      </c>
      <c r="Q66">
        <v>0</v>
      </c>
      <c r="R66">
        <v>1</v>
      </c>
      <c r="T66">
        <v>1</v>
      </c>
      <c r="U66">
        <v>1</v>
      </c>
      <c r="V66">
        <v>1</v>
      </c>
      <c r="W66">
        <v>4</v>
      </c>
      <c r="X66">
        <v>25</v>
      </c>
      <c r="Y66">
        <v>2</v>
      </c>
      <c r="Z66">
        <v>4</v>
      </c>
      <c r="AA66">
        <v>25</v>
      </c>
      <c r="AB66">
        <v>2</v>
      </c>
      <c r="AC66">
        <v>1</v>
      </c>
      <c r="AD66">
        <v>1</v>
      </c>
      <c r="AE66">
        <v>0</v>
      </c>
      <c r="AF66">
        <v>0</v>
      </c>
      <c r="AG66">
        <v>0</v>
      </c>
      <c r="AH66">
        <v>0</v>
      </c>
      <c r="AJ66">
        <v>1</v>
      </c>
      <c r="AL66">
        <v>1</v>
      </c>
      <c r="AN66">
        <v>1</v>
      </c>
      <c r="AO66">
        <v>1</v>
      </c>
      <c r="AP66">
        <v>3</v>
      </c>
      <c r="AQ66">
        <v>1</v>
      </c>
      <c r="AR66">
        <v>4</v>
      </c>
      <c r="AS66">
        <v>2</v>
      </c>
      <c r="AT66">
        <v>1</v>
      </c>
      <c r="AU66">
        <v>1</v>
      </c>
      <c r="AV66">
        <v>1</v>
      </c>
      <c r="AW66">
        <v>0</v>
      </c>
      <c r="AX66">
        <v>0</v>
      </c>
      <c r="AY66">
        <v>0</v>
      </c>
      <c r="AZ66">
        <v>0</v>
      </c>
      <c r="BA66">
        <v>1</v>
      </c>
      <c r="BB66" t="s">
        <v>535</v>
      </c>
      <c r="BC66">
        <v>0</v>
      </c>
      <c r="BD66">
        <v>0</v>
      </c>
      <c r="BE66">
        <v>1</v>
      </c>
      <c r="BF66">
        <v>0</v>
      </c>
      <c r="BG66">
        <v>1</v>
      </c>
      <c r="BH66">
        <v>0</v>
      </c>
      <c r="BI66">
        <v>0</v>
      </c>
      <c r="BJ66">
        <v>0</v>
      </c>
      <c r="BK66">
        <v>1</v>
      </c>
      <c r="BL66">
        <v>0</v>
      </c>
      <c r="BM66">
        <v>1</v>
      </c>
      <c r="BN66">
        <v>1</v>
      </c>
      <c r="BO66">
        <v>0</v>
      </c>
      <c r="BP66">
        <v>1</v>
      </c>
      <c r="BQ66">
        <v>0</v>
      </c>
      <c r="BR66">
        <v>1</v>
      </c>
      <c r="BS66">
        <v>0</v>
      </c>
      <c r="BU66">
        <v>16</v>
      </c>
      <c r="BV66">
        <v>4</v>
      </c>
      <c r="BX66">
        <v>3</v>
      </c>
      <c r="BY66">
        <v>2</v>
      </c>
      <c r="DI66">
        <v>1</v>
      </c>
      <c r="DJ66">
        <v>0</v>
      </c>
      <c r="DK66">
        <v>1</v>
      </c>
      <c r="DL66">
        <v>1</v>
      </c>
      <c r="DM66">
        <v>1</v>
      </c>
      <c r="DN66">
        <v>1</v>
      </c>
      <c r="DO66">
        <v>0</v>
      </c>
      <c r="DP66">
        <v>0</v>
      </c>
      <c r="DQ66">
        <v>0</v>
      </c>
      <c r="DR66">
        <v>0</v>
      </c>
      <c r="DT66">
        <v>0</v>
      </c>
      <c r="DU66">
        <v>1</v>
      </c>
      <c r="DV66">
        <v>0</v>
      </c>
      <c r="DW66">
        <v>1</v>
      </c>
      <c r="DX66">
        <v>1</v>
      </c>
      <c r="DY66">
        <v>0</v>
      </c>
      <c r="DZ66">
        <v>0</v>
      </c>
      <c r="EA66">
        <v>0</v>
      </c>
      <c r="EB66">
        <v>0</v>
      </c>
      <c r="EC66">
        <v>1</v>
      </c>
      <c r="ED66">
        <v>1</v>
      </c>
      <c r="EE66">
        <v>0</v>
      </c>
      <c r="EF66">
        <v>0</v>
      </c>
      <c r="EI66" t="s">
        <v>536</v>
      </c>
      <c r="EJ66">
        <v>1</v>
      </c>
      <c r="EK66">
        <v>1</v>
      </c>
      <c r="EL66">
        <v>0</v>
      </c>
      <c r="EM66">
        <v>0</v>
      </c>
      <c r="EN66">
        <v>0</v>
      </c>
      <c r="EO66">
        <v>0</v>
      </c>
      <c r="EP66">
        <v>0</v>
      </c>
      <c r="EQ66">
        <v>1</v>
      </c>
      <c r="ER66">
        <v>0</v>
      </c>
      <c r="ES66">
        <v>0</v>
      </c>
      <c r="ET66">
        <v>0</v>
      </c>
      <c r="EU66">
        <v>0</v>
      </c>
      <c r="EV66">
        <v>0</v>
      </c>
      <c r="EW66">
        <v>0</v>
      </c>
      <c r="EX66">
        <v>0</v>
      </c>
      <c r="EY66">
        <v>0</v>
      </c>
      <c r="EZ66">
        <v>0</v>
      </c>
      <c r="FA66">
        <v>0</v>
      </c>
      <c r="FB66">
        <v>0</v>
      </c>
      <c r="FC66">
        <v>0</v>
      </c>
      <c r="FD66">
        <v>0</v>
      </c>
      <c r="FE66">
        <v>1</v>
      </c>
      <c r="GJ66" t="s">
        <v>537</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1</v>
      </c>
      <c r="HS66">
        <v>0</v>
      </c>
      <c r="HT66">
        <v>0</v>
      </c>
      <c r="HU66">
        <v>0</v>
      </c>
      <c r="HV66">
        <v>0</v>
      </c>
      <c r="HW66">
        <v>0</v>
      </c>
      <c r="HX66">
        <v>0</v>
      </c>
      <c r="HY66">
        <v>0</v>
      </c>
      <c r="HZ66">
        <v>0</v>
      </c>
      <c r="IA66">
        <v>0</v>
      </c>
      <c r="IB66">
        <v>0</v>
      </c>
      <c r="IC66">
        <v>0</v>
      </c>
      <c r="ID66">
        <v>0</v>
      </c>
      <c r="IG66">
        <v>1</v>
      </c>
      <c r="IH66">
        <v>0</v>
      </c>
      <c r="II66">
        <v>1</v>
      </c>
      <c r="IJ66">
        <v>0</v>
      </c>
      <c r="IK66">
        <v>0</v>
      </c>
      <c r="IL66">
        <v>0</v>
      </c>
      <c r="IM66">
        <v>1</v>
      </c>
      <c r="IN66">
        <v>0</v>
      </c>
      <c r="IO66">
        <v>0</v>
      </c>
      <c r="IP66">
        <v>0</v>
      </c>
      <c r="IQ66">
        <v>0</v>
      </c>
      <c r="IS66">
        <v>2</v>
      </c>
    </row>
    <row r="67" spans="1:258" x14ac:dyDescent="0.35">
      <c r="A67">
        <v>393121</v>
      </c>
      <c r="C67">
        <v>1</v>
      </c>
      <c r="D67" t="s">
        <v>538</v>
      </c>
      <c r="E67" t="s">
        <v>539</v>
      </c>
      <c r="F67" t="s">
        <v>540</v>
      </c>
      <c r="G67">
        <v>3</v>
      </c>
      <c r="I67">
        <v>0</v>
      </c>
      <c r="J67">
        <v>1</v>
      </c>
      <c r="K67">
        <v>1</v>
      </c>
      <c r="L67">
        <v>0</v>
      </c>
      <c r="M67">
        <v>0</v>
      </c>
      <c r="N67">
        <v>0</v>
      </c>
      <c r="O67">
        <v>0</v>
      </c>
      <c r="P67">
        <v>0</v>
      </c>
      <c r="Q67">
        <v>0</v>
      </c>
      <c r="R67">
        <v>1</v>
      </c>
      <c r="T67">
        <v>1</v>
      </c>
      <c r="U67">
        <v>1</v>
      </c>
      <c r="V67">
        <v>1</v>
      </c>
      <c r="W67">
        <v>2</v>
      </c>
      <c r="X67">
        <v>16</v>
      </c>
      <c r="Y67">
        <v>14</v>
      </c>
      <c r="Z67">
        <v>2</v>
      </c>
      <c r="AA67">
        <v>16</v>
      </c>
      <c r="AB67">
        <v>14</v>
      </c>
      <c r="AC67">
        <v>1</v>
      </c>
      <c r="AD67">
        <v>1</v>
      </c>
      <c r="AE67">
        <v>0</v>
      </c>
      <c r="AF67">
        <v>1</v>
      </c>
      <c r="AG67">
        <v>0</v>
      </c>
      <c r="AH67">
        <v>0</v>
      </c>
      <c r="AJ67">
        <v>4</v>
      </c>
      <c r="AL67">
        <v>1</v>
      </c>
      <c r="AN67">
        <v>1</v>
      </c>
      <c r="AO67">
        <v>1</v>
      </c>
      <c r="AP67">
        <v>2</v>
      </c>
      <c r="AQ67">
        <v>2</v>
      </c>
      <c r="AS67">
        <v>2</v>
      </c>
      <c r="AT67">
        <v>1</v>
      </c>
      <c r="AU67">
        <v>2</v>
      </c>
      <c r="BC67">
        <v>0</v>
      </c>
      <c r="BD67">
        <v>0</v>
      </c>
      <c r="BE67">
        <v>0</v>
      </c>
      <c r="BF67">
        <v>0</v>
      </c>
      <c r="BG67">
        <v>0</v>
      </c>
      <c r="BH67">
        <v>0</v>
      </c>
      <c r="BI67">
        <v>0</v>
      </c>
      <c r="BJ67">
        <v>0</v>
      </c>
      <c r="BK67">
        <v>0</v>
      </c>
      <c r="BL67">
        <v>0</v>
      </c>
      <c r="BM67">
        <v>0</v>
      </c>
      <c r="BN67">
        <v>0</v>
      </c>
      <c r="BO67">
        <v>0</v>
      </c>
      <c r="BP67">
        <v>0</v>
      </c>
      <c r="BQ67">
        <v>0</v>
      </c>
      <c r="BR67">
        <v>1</v>
      </c>
      <c r="BS67">
        <v>0</v>
      </c>
      <c r="BU67">
        <v>16</v>
      </c>
      <c r="BV67">
        <v>4</v>
      </c>
      <c r="BX67">
        <v>5</v>
      </c>
      <c r="BY67">
        <v>3</v>
      </c>
      <c r="DI67">
        <v>0</v>
      </c>
      <c r="DJ67">
        <v>0</v>
      </c>
      <c r="DK67">
        <v>1</v>
      </c>
      <c r="DL67">
        <v>0</v>
      </c>
      <c r="DM67">
        <v>0</v>
      </c>
      <c r="DN67">
        <v>0</v>
      </c>
      <c r="DO67">
        <v>0</v>
      </c>
      <c r="DP67">
        <v>0</v>
      </c>
      <c r="DQ67">
        <v>1</v>
      </c>
      <c r="DR67">
        <v>0</v>
      </c>
      <c r="DS67" t="s">
        <v>541</v>
      </c>
      <c r="DT67">
        <v>0</v>
      </c>
      <c r="DU67">
        <v>1</v>
      </c>
      <c r="DV67">
        <v>0</v>
      </c>
      <c r="DW67">
        <v>0</v>
      </c>
      <c r="DX67">
        <v>1</v>
      </c>
      <c r="DY67">
        <v>0</v>
      </c>
      <c r="DZ67">
        <v>0</v>
      </c>
      <c r="EA67">
        <v>0</v>
      </c>
      <c r="EB67">
        <v>0</v>
      </c>
      <c r="EC67">
        <v>1</v>
      </c>
      <c r="ED67">
        <v>1</v>
      </c>
      <c r="EE67">
        <v>0</v>
      </c>
      <c r="EF67">
        <v>0</v>
      </c>
      <c r="EI67" t="s">
        <v>542</v>
      </c>
      <c r="EJ67">
        <v>1</v>
      </c>
      <c r="EK67">
        <v>1</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GJ67" t="s">
        <v>543</v>
      </c>
      <c r="GK67">
        <v>1</v>
      </c>
      <c r="GL67">
        <v>0</v>
      </c>
      <c r="GM67">
        <v>0</v>
      </c>
      <c r="GN67">
        <v>0</v>
      </c>
      <c r="GO67">
        <v>0</v>
      </c>
      <c r="GP67">
        <v>0</v>
      </c>
      <c r="GQ67">
        <v>0</v>
      </c>
      <c r="GR67">
        <v>0</v>
      </c>
      <c r="GS67">
        <v>0</v>
      </c>
      <c r="GT67">
        <v>0</v>
      </c>
      <c r="GU67">
        <v>0</v>
      </c>
      <c r="GV67">
        <v>0</v>
      </c>
      <c r="GW67">
        <v>0</v>
      </c>
      <c r="GX67">
        <v>0</v>
      </c>
      <c r="GY67">
        <v>0</v>
      </c>
      <c r="GZ67">
        <v>0</v>
      </c>
      <c r="HA67">
        <v>0</v>
      </c>
      <c r="HB67">
        <v>0</v>
      </c>
      <c r="HC67">
        <v>1</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G67">
        <v>0</v>
      </c>
      <c r="IH67">
        <v>0</v>
      </c>
      <c r="II67">
        <v>0</v>
      </c>
      <c r="IJ67">
        <v>0</v>
      </c>
      <c r="IK67">
        <v>0</v>
      </c>
      <c r="IL67">
        <v>0</v>
      </c>
      <c r="IM67">
        <v>0</v>
      </c>
      <c r="IN67">
        <v>0</v>
      </c>
      <c r="IO67">
        <v>0</v>
      </c>
      <c r="IP67">
        <v>0</v>
      </c>
      <c r="IQ67">
        <v>1</v>
      </c>
      <c r="IS67">
        <v>2</v>
      </c>
    </row>
    <row r="68" spans="1:258" x14ac:dyDescent="0.35">
      <c r="A68">
        <v>364006</v>
      </c>
      <c r="C68">
        <v>1</v>
      </c>
      <c r="D68" t="s">
        <v>544</v>
      </c>
      <c r="E68" t="s">
        <v>545</v>
      </c>
      <c r="F68" t="s">
        <v>546</v>
      </c>
      <c r="G68">
        <v>4</v>
      </c>
      <c r="I68">
        <v>1</v>
      </c>
      <c r="J68">
        <v>0</v>
      </c>
      <c r="K68">
        <v>1</v>
      </c>
      <c r="L68">
        <v>1</v>
      </c>
      <c r="M68">
        <v>0</v>
      </c>
      <c r="N68">
        <v>1</v>
      </c>
      <c r="O68">
        <v>0</v>
      </c>
      <c r="P68">
        <v>1</v>
      </c>
      <c r="Q68">
        <v>0</v>
      </c>
      <c r="R68">
        <v>1</v>
      </c>
      <c r="T68">
        <v>1</v>
      </c>
      <c r="U68">
        <v>1</v>
      </c>
      <c r="V68">
        <v>0</v>
      </c>
      <c r="W68">
        <v>10</v>
      </c>
      <c r="X68">
        <v>130</v>
      </c>
      <c r="Z68">
        <v>10</v>
      </c>
      <c r="AA68">
        <v>130</v>
      </c>
      <c r="AC68">
        <v>1</v>
      </c>
      <c r="AD68">
        <v>0</v>
      </c>
      <c r="AE68">
        <v>0</v>
      </c>
      <c r="AF68">
        <v>0</v>
      </c>
      <c r="AG68">
        <v>0</v>
      </c>
      <c r="AH68">
        <v>0</v>
      </c>
      <c r="AJ68">
        <v>1</v>
      </c>
      <c r="AL68">
        <v>1</v>
      </c>
      <c r="AN68">
        <v>1</v>
      </c>
      <c r="AO68">
        <v>1</v>
      </c>
      <c r="AP68">
        <v>4</v>
      </c>
      <c r="AQ68">
        <v>1</v>
      </c>
      <c r="AR68">
        <v>4</v>
      </c>
      <c r="AS68">
        <v>1</v>
      </c>
      <c r="AT68">
        <v>1</v>
      </c>
      <c r="AU68">
        <v>2</v>
      </c>
      <c r="BC68">
        <v>1</v>
      </c>
      <c r="BD68">
        <v>0</v>
      </c>
      <c r="BE68">
        <v>1</v>
      </c>
      <c r="BF68">
        <v>1</v>
      </c>
      <c r="BG68">
        <v>1</v>
      </c>
      <c r="BH68">
        <v>0</v>
      </c>
      <c r="BI68">
        <v>0</v>
      </c>
      <c r="BJ68">
        <v>0</v>
      </c>
      <c r="BK68">
        <v>1</v>
      </c>
      <c r="BL68">
        <v>0</v>
      </c>
      <c r="BM68">
        <v>0</v>
      </c>
      <c r="BN68">
        <v>0</v>
      </c>
      <c r="BO68">
        <v>0</v>
      </c>
      <c r="BP68">
        <v>1</v>
      </c>
      <c r="BQ68">
        <v>0</v>
      </c>
      <c r="BR68">
        <v>1</v>
      </c>
      <c r="BS68">
        <v>0</v>
      </c>
      <c r="BU68">
        <v>6</v>
      </c>
      <c r="BV68">
        <v>4</v>
      </c>
      <c r="BX68">
        <v>5</v>
      </c>
      <c r="BY68">
        <v>5</v>
      </c>
      <c r="DI68">
        <v>0</v>
      </c>
      <c r="DJ68">
        <v>1</v>
      </c>
      <c r="DK68">
        <v>1</v>
      </c>
      <c r="DL68">
        <v>1</v>
      </c>
      <c r="DM68">
        <v>1</v>
      </c>
      <c r="DN68">
        <v>0</v>
      </c>
      <c r="DO68">
        <v>1</v>
      </c>
      <c r="DP68">
        <v>1</v>
      </c>
      <c r="DQ68">
        <v>0</v>
      </c>
      <c r="DR68">
        <v>0</v>
      </c>
      <c r="DT68">
        <v>0</v>
      </c>
      <c r="DU68">
        <v>1</v>
      </c>
      <c r="DV68">
        <v>0</v>
      </c>
      <c r="DW68">
        <v>1</v>
      </c>
      <c r="DX68">
        <v>1</v>
      </c>
      <c r="DY68">
        <v>0</v>
      </c>
      <c r="DZ68">
        <v>0</v>
      </c>
      <c r="EA68">
        <v>0</v>
      </c>
      <c r="EB68">
        <v>1</v>
      </c>
      <c r="EC68">
        <v>1</v>
      </c>
      <c r="ED68">
        <v>1</v>
      </c>
      <c r="EE68">
        <v>0</v>
      </c>
      <c r="EF68">
        <v>0</v>
      </c>
      <c r="EI68" t="s">
        <v>547</v>
      </c>
      <c r="EJ68">
        <v>1</v>
      </c>
      <c r="EK68">
        <v>1</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GJ68" t="s">
        <v>548</v>
      </c>
      <c r="GK68">
        <v>0</v>
      </c>
      <c r="GL68">
        <v>0</v>
      </c>
      <c r="GM68">
        <v>0</v>
      </c>
      <c r="GN68">
        <v>0</v>
      </c>
      <c r="GO68">
        <v>0</v>
      </c>
      <c r="GP68">
        <v>0</v>
      </c>
      <c r="GQ68">
        <v>0</v>
      </c>
      <c r="GR68">
        <v>0</v>
      </c>
      <c r="GS68">
        <v>0</v>
      </c>
      <c r="GT68">
        <v>0</v>
      </c>
      <c r="GU68">
        <v>1</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G68">
        <v>1</v>
      </c>
      <c r="IH68">
        <v>0</v>
      </c>
      <c r="II68">
        <v>0</v>
      </c>
      <c r="IJ68">
        <v>0</v>
      </c>
      <c r="IK68">
        <v>1</v>
      </c>
      <c r="IL68">
        <v>0</v>
      </c>
      <c r="IM68">
        <v>1</v>
      </c>
      <c r="IN68">
        <v>0</v>
      </c>
      <c r="IO68">
        <v>0</v>
      </c>
      <c r="IP68">
        <v>0</v>
      </c>
      <c r="IQ68">
        <v>0</v>
      </c>
      <c r="IS68">
        <v>1</v>
      </c>
      <c r="IT68">
        <v>0</v>
      </c>
      <c r="IU68">
        <v>0</v>
      </c>
      <c r="IV68">
        <v>0</v>
      </c>
      <c r="IW68">
        <v>1</v>
      </c>
      <c r="IX68" t="s">
        <v>549</v>
      </c>
    </row>
    <row r="69" spans="1:258" x14ac:dyDescent="0.35">
      <c r="A69">
        <v>358418</v>
      </c>
      <c r="C69">
        <v>1</v>
      </c>
      <c r="D69" t="s">
        <v>550</v>
      </c>
      <c r="E69" t="s">
        <v>551</v>
      </c>
      <c r="F69" t="s">
        <v>540</v>
      </c>
      <c r="G69">
        <v>5</v>
      </c>
      <c r="I69">
        <v>0</v>
      </c>
      <c r="J69">
        <v>1</v>
      </c>
      <c r="K69">
        <v>1</v>
      </c>
      <c r="L69">
        <v>0</v>
      </c>
      <c r="M69">
        <v>1</v>
      </c>
      <c r="N69">
        <v>0</v>
      </c>
      <c r="O69">
        <v>0</v>
      </c>
      <c r="P69">
        <v>0</v>
      </c>
      <c r="Q69">
        <v>0</v>
      </c>
      <c r="R69">
        <v>1</v>
      </c>
      <c r="T69">
        <v>1</v>
      </c>
      <c r="U69">
        <v>0</v>
      </c>
      <c r="V69">
        <v>1</v>
      </c>
      <c r="W69">
        <v>57</v>
      </c>
      <c r="Y69">
        <v>169</v>
      </c>
      <c r="Z69">
        <v>57</v>
      </c>
      <c r="AB69">
        <v>169</v>
      </c>
      <c r="AC69">
        <v>1</v>
      </c>
      <c r="AD69">
        <v>0</v>
      </c>
      <c r="AE69">
        <v>0</v>
      </c>
      <c r="AF69">
        <v>0</v>
      </c>
      <c r="AG69">
        <v>0</v>
      </c>
      <c r="AH69">
        <v>0</v>
      </c>
      <c r="AJ69">
        <v>1</v>
      </c>
      <c r="AL69">
        <v>1</v>
      </c>
      <c r="AN69">
        <v>1</v>
      </c>
      <c r="AO69">
        <v>1</v>
      </c>
      <c r="AP69">
        <v>4</v>
      </c>
      <c r="AQ69">
        <v>1</v>
      </c>
      <c r="AR69">
        <v>4</v>
      </c>
      <c r="AS69">
        <v>1</v>
      </c>
      <c r="AT69">
        <v>1</v>
      </c>
      <c r="AU69">
        <v>2</v>
      </c>
      <c r="BC69">
        <v>0</v>
      </c>
      <c r="BD69">
        <v>0</v>
      </c>
      <c r="BE69">
        <v>0</v>
      </c>
      <c r="BF69">
        <v>0</v>
      </c>
      <c r="BG69">
        <v>0</v>
      </c>
      <c r="BH69">
        <v>0</v>
      </c>
      <c r="BI69">
        <v>0</v>
      </c>
      <c r="BJ69">
        <v>0</v>
      </c>
      <c r="BK69">
        <v>0</v>
      </c>
      <c r="BL69">
        <v>0</v>
      </c>
      <c r="BM69">
        <v>0</v>
      </c>
      <c r="BN69">
        <v>0</v>
      </c>
      <c r="BO69">
        <v>0</v>
      </c>
      <c r="BP69">
        <v>0</v>
      </c>
      <c r="BQ69">
        <v>0</v>
      </c>
      <c r="BR69">
        <v>1</v>
      </c>
      <c r="BS69">
        <v>0</v>
      </c>
      <c r="BU69">
        <v>16</v>
      </c>
      <c r="BV69">
        <v>4</v>
      </c>
      <c r="BX69">
        <v>4</v>
      </c>
      <c r="BY69">
        <v>5</v>
      </c>
      <c r="DI69">
        <v>0</v>
      </c>
      <c r="DJ69">
        <v>1</v>
      </c>
      <c r="DK69">
        <v>1</v>
      </c>
      <c r="DL69">
        <v>1</v>
      </c>
      <c r="DM69">
        <v>0</v>
      </c>
      <c r="DN69">
        <v>1</v>
      </c>
      <c r="DO69">
        <v>0</v>
      </c>
      <c r="DP69">
        <v>0</v>
      </c>
      <c r="DQ69">
        <v>0</v>
      </c>
      <c r="DR69">
        <v>0</v>
      </c>
      <c r="DT69">
        <v>0</v>
      </c>
      <c r="DU69">
        <v>0</v>
      </c>
      <c r="DV69">
        <v>0</v>
      </c>
      <c r="DW69">
        <v>1</v>
      </c>
      <c r="DX69">
        <v>1</v>
      </c>
      <c r="DY69">
        <v>0</v>
      </c>
      <c r="DZ69">
        <v>0</v>
      </c>
      <c r="EA69">
        <v>1</v>
      </c>
      <c r="EB69">
        <v>0</v>
      </c>
      <c r="EC69">
        <v>1</v>
      </c>
      <c r="ED69">
        <v>1</v>
      </c>
      <c r="EE69">
        <v>0</v>
      </c>
      <c r="EF69">
        <v>0</v>
      </c>
      <c r="GJ69" t="s">
        <v>552</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1</v>
      </c>
      <c r="HS69">
        <v>0</v>
      </c>
      <c r="HT69">
        <v>0</v>
      </c>
      <c r="HU69">
        <v>0</v>
      </c>
      <c r="HV69">
        <v>0</v>
      </c>
      <c r="HW69">
        <v>0</v>
      </c>
      <c r="HX69">
        <v>0</v>
      </c>
      <c r="HY69">
        <v>0</v>
      </c>
      <c r="HZ69">
        <v>0</v>
      </c>
      <c r="IA69">
        <v>0</v>
      </c>
      <c r="IB69">
        <v>0</v>
      </c>
      <c r="IC69">
        <v>0</v>
      </c>
      <c r="ID69">
        <v>0</v>
      </c>
      <c r="IG69">
        <v>1</v>
      </c>
      <c r="IH69">
        <v>0</v>
      </c>
      <c r="II69">
        <v>1</v>
      </c>
      <c r="IJ69">
        <v>0</v>
      </c>
      <c r="IK69">
        <v>0</v>
      </c>
      <c r="IL69">
        <v>0</v>
      </c>
      <c r="IM69">
        <v>0</v>
      </c>
      <c r="IN69">
        <v>0</v>
      </c>
      <c r="IO69">
        <v>0</v>
      </c>
      <c r="IP69">
        <v>0</v>
      </c>
      <c r="IQ69">
        <v>0</v>
      </c>
      <c r="IS69">
        <v>1</v>
      </c>
      <c r="IT69">
        <v>0</v>
      </c>
      <c r="IU69">
        <v>1</v>
      </c>
      <c r="IV69">
        <v>0</v>
      </c>
      <c r="IW69">
        <v>0</v>
      </c>
    </row>
    <row r="70" spans="1:258" x14ac:dyDescent="0.35">
      <c r="A70">
        <v>359894</v>
      </c>
      <c r="C70">
        <v>1</v>
      </c>
      <c r="D70" t="s">
        <v>553</v>
      </c>
      <c r="E70" t="s">
        <v>554</v>
      </c>
      <c r="F70" t="s">
        <v>540</v>
      </c>
      <c r="G70">
        <v>3</v>
      </c>
      <c r="I70">
        <v>0</v>
      </c>
      <c r="J70">
        <v>0</v>
      </c>
      <c r="K70">
        <v>1</v>
      </c>
      <c r="L70">
        <v>0</v>
      </c>
      <c r="M70">
        <v>0</v>
      </c>
      <c r="N70">
        <v>0</v>
      </c>
      <c r="O70">
        <v>0</v>
      </c>
      <c r="P70">
        <v>0</v>
      </c>
      <c r="Q70">
        <v>0</v>
      </c>
      <c r="R70">
        <v>1</v>
      </c>
      <c r="T70">
        <v>1</v>
      </c>
      <c r="U70">
        <v>1</v>
      </c>
      <c r="V70">
        <v>1</v>
      </c>
      <c r="W70">
        <v>7</v>
      </c>
      <c r="X70">
        <v>10</v>
      </c>
      <c r="Y70">
        <v>14</v>
      </c>
      <c r="Z70">
        <v>7</v>
      </c>
      <c r="AA70">
        <v>10</v>
      </c>
      <c r="AB70">
        <v>14</v>
      </c>
      <c r="AC70">
        <v>1</v>
      </c>
      <c r="AD70">
        <v>1</v>
      </c>
      <c r="AE70">
        <v>0</v>
      </c>
      <c r="AF70">
        <v>0</v>
      </c>
      <c r="AG70">
        <v>0</v>
      </c>
      <c r="AH70">
        <v>0</v>
      </c>
      <c r="AJ70">
        <v>1</v>
      </c>
      <c r="AL70">
        <v>5</v>
      </c>
      <c r="AM70" t="s">
        <v>555</v>
      </c>
      <c r="AN70">
        <v>1</v>
      </c>
      <c r="AO70">
        <v>1</v>
      </c>
      <c r="AP70">
        <v>4</v>
      </c>
      <c r="AQ70">
        <v>1</v>
      </c>
      <c r="AR70">
        <v>4</v>
      </c>
      <c r="AS70">
        <v>2</v>
      </c>
      <c r="AT70">
        <v>1</v>
      </c>
      <c r="AU70">
        <v>2</v>
      </c>
      <c r="BC70">
        <v>0</v>
      </c>
      <c r="BD70">
        <v>0</v>
      </c>
      <c r="BE70">
        <v>0</v>
      </c>
      <c r="BF70">
        <v>0</v>
      </c>
      <c r="BG70">
        <v>1</v>
      </c>
      <c r="BH70">
        <v>0</v>
      </c>
      <c r="BI70">
        <v>0</v>
      </c>
      <c r="BJ70">
        <v>0</v>
      </c>
      <c r="BK70">
        <v>1</v>
      </c>
      <c r="BL70">
        <v>0</v>
      </c>
      <c r="BM70">
        <v>0</v>
      </c>
      <c r="BN70">
        <v>1</v>
      </c>
      <c r="BO70">
        <v>0</v>
      </c>
      <c r="BP70">
        <v>1</v>
      </c>
      <c r="BQ70">
        <v>0</v>
      </c>
      <c r="BR70">
        <v>0</v>
      </c>
      <c r="BS70">
        <v>0</v>
      </c>
      <c r="BU70">
        <v>9</v>
      </c>
      <c r="BV70">
        <v>4</v>
      </c>
      <c r="BX70">
        <v>3</v>
      </c>
      <c r="BY70">
        <v>3</v>
      </c>
      <c r="DI70">
        <v>1</v>
      </c>
      <c r="DJ70">
        <v>0</v>
      </c>
      <c r="DK70">
        <v>1</v>
      </c>
      <c r="DL70">
        <v>0</v>
      </c>
      <c r="DM70">
        <v>1</v>
      </c>
      <c r="DN70">
        <v>0</v>
      </c>
      <c r="DO70">
        <v>0</v>
      </c>
      <c r="DP70">
        <v>0</v>
      </c>
      <c r="DQ70">
        <v>0</v>
      </c>
      <c r="DR70">
        <v>0</v>
      </c>
      <c r="DT70">
        <v>1</v>
      </c>
      <c r="DU70">
        <v>1</v>
      </c>
      <c r="DV70">
        <v>0</v>
      </c>
      <c r="DW70">
        <v>0</v>
      </c>
      <c r="DX70">
        <v>0</v>
      </c>
      <c r="DY70">
        <v>0</v>
      </c>
      <c r="DZ70">
        <v>0</v>
      </c>
      <c r="EA70">
        <v>0</v>
      </c>
      <c r="EB70">
        <v>0</v>
      </c>
      <c r="EC70">
        <v>1</v>
      </c>
      <c r="ED70">
        <v>1</v>
      </c>
      <c r="EE70">
        <v>0</v>
      </c>
      <c r="EF70">
        <v>0</v>
      </c>
      <c r="EG70" t="s">
        <v>556</v>
      </c>
      <c r="EH70">
        <v>10</v>
      </c>
      <c r="EI70" t="s">
        <v>557</v>
      </c>
      <c r="EJ70">
        <v>1</v>
      </c>
      <c r="EK70">
        <v>1</v>
      </c>
      <c r="EL70">
        <v>0</v>
      </c>
      <c r="EM70">
        <v>0</v>
      </c>
      <c r="EN70">
        <v>0</v>
      </c>
      <c r="EO70">
        <v>0</v>
      </c>
      <c r="EP70">
        <v>0</v>
      </c>
      <c r="EQ70">
        <v>0</v>
      </c>
      <c r="ER70">
        <v>0</v>
      </c>
      <c r="ES70">
        <v>0</v>
      </c>
      <c r="ET70">
        <v>1</v>
      </c>
      <c r="EU70">
        <v>0</v>
      </c>
      <c r="EV70">
        <v>0</v>
      </c>
      <c r="EW70">
        <v>0</v>
      </c>
      <c r="EX70">
        <v>0</v>
      </c>
      <c r="EY70">
        <v>0</v>
      </c>
      <c r="EZ70">
        <v>0</v>
      </c>
      <c r="FA70">
        <v>0</v>
      </c>
      <c r="FB70">
        <v>0</v>
      </c>
      <c r="FC70">
        <v>0</v>
      </c>
      <c r="FD70">
        <v>0</v>
      </c>
      <c r="FE70">
        <v>0</v>
      </c>
      <c r="GJ70" t="s">
        <v>558</v>
      </c>
      <c r="GK70">
        <v>1</v>
      </c>
      <c r="GL70">
        <v>0</v>
      </c>
      <c r="GM70">
        <v>0</v>
      </c>
      <c r="GN70">
        <v>0</v>
      </c>
      <c r="GO70">
        <v>0</v>
      </c>
      <c r="GP70">
        <v>0</v>
      </c>
      <c r="GQ70">
        <v>0</v>
      </c>
      <c r="GR70">
        <v>0</v>
      </c>
      <c r="GS70">
        <v>0</v>
      </c>
      <c r="GT70">
        <v>0</v>
      </c>
      <c r="GU70">
        <v>0</v>
      </c>
      <c r="GV70">
        <v>0</v>
      </c>
      <c r="GW70">
        <v>0</v>
      </c>
      <c r="GX70">
        <v>0</v>
      </c>
      <c r="GY70">
        <v>0</v>
      </c>
      <c r="GZ70">
        <v>0</v>
      </c>
      <c r="HA70">
        <v>0</v>
      </c>
      <c r="HB70">
        <v>0</v>
      </c>
      <c r="HC70">
        <v>1</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G70">
        <v>1</v>
      </c>
      <c r="IH70">
        <v>0</v>
      </c>
      <c r="II70">
        <v>1</v>
      </c>
      <c r="IJ70">
        <v>0</v>
      </c>
      <c r="IK70">
        <v>0</v>
      </c>
      <c r="IL70">
        <v>0</v>
      </c>
      <c r="IM70">
        <v>1</v>
      </c>
      <c r="IN70">
        <v>0</v>
      </c>
      <c r="IO70">
        <v>0</v>
      </c>
      <c r="IP70">
        <v>0</v>
      </c>
      <c r="IQ70">
        <v>0</v>
      </c>
      <c r="IS70">
        <v>2</v>
      </c>
    </row>
    <row r="71" spans="1:258" x14ac:dyDescent="0.35">
      <c r="A71">
        <v>362865</v>
      </c>
      <c r="C71">
        <v>1</v>
      </c>
      <c r="D71" t="s">
        <v>559</v>
      </c>
      <c r="E71" t="s">
        <v>560</v>
      </c>
      <c r="F71" t="s">
        <v>540</v>
      </c>
      <c r="G71">
        <v>13</v>
      </c>
      <c r="I71">
        <v>1</v>
      </c>
      <c r="J71">
        <v>0</v>
      </c>
      <c r="K71">
        <v>1</v>
      </c>
      <c r="L71">
        <v>0</v>
      </c>
      <c r="M71">
        <v>0</v>
      </c>
      <c r="N71">
        <v>0</v>
      </c>
      <c r="O71">
        <v>0</v>
      </c>
      <c r="P71">
        <v>1</v>
      </c>
      <c r="Q71">
        <v>0</v>
      </c>
      <c r="R71">
        <v>1</v>
      </c>
      <c r="T71">
        <v>1</v>
      </c>
      <c r="U71">
        <v>1</v>
      </c>
      <c r="V71">
        <v>0</v>
      </c>
      <c r="W71">
        <v>6</v>
      </c>
      <c r="X71">
        <v>15</v>
      </c>
      <c r="Z71">
        <v>6</v>
      </c>
      <c r="AA71">
        <v>15</v>
      </c>
      <c r="AC71">
        <v>1</v>
      </c>
      <c r="AD71">
        <v>1</v>
      </c>
      <c r="AE71">
        <v>0</v>
      </c>
      <c r="AF71">
        <v>0</v>
      </c>
      <c r="AG71">
        <v>0</v>
      </c>
      <c r="AH71">
        <v>0</v>
      </c>
      <c r="AJ71">
        <v>1</v>
      </c>
      <c r="AL71">
        <v>4</v>
      </c>
      <c r="AN71">
        <v>1</v>
      </c>
      <c r="AO71">
        <v>1</v>
      </c>
      <c r="AP71">
        <v>5</v>
      </c>
      <c r="AQ71">
        <v>1</v>
      </c>
      <c r="AR71">
        <v>6</v>
      </c>
      <c r="AS71">
        <v>1</v>
      </c>
      <c r="AT71">
        <v>1</v>
      </c>
      <c r="AU71">
        <v>1</v>
      </c>
      <c r="AV71">
        <v>1</v>
      </c>
      <c r="AW71">
        <v>0</v>
      </c>
      <c r="AX71">
        <v>0</v>
      </c>
      <c r="AY71">
        <v>0</v>
      </c>
      <c r="AZ71">
        <v>0</v>
      </c>
      <c r="BA71">
        <v>0</v>
      </c>
      <c r="BC71">
        <v>0</v>
      </c>
      <c r="BD71">
        <v>1</v>
      </c>
      <c r="BE71">
        <v>0</v>
      </c>
      <c r="BF71">
        <v>0</v>
      </c>
      <c r="BG71">
        <v>0</v>
      </c>
      <c r="BH71">
        <v>0</v>
      </c>
      <c r="BI71">
        <v>0</v>
      </c>
      <c r="BJ71">
        <v>0</v>
      </c>
      <c r="BK71">
        <v>0</v>
      </c>
      <c r="BL71">
        <v>0</v>
      </c>
      <c r="BM71">
        <v>0</v>
      </c>
      <c r="BN71">
        <v>0</v>
      </c>
      <c r="BO71">
        <v>0</v>
      </c>
      <c r="BP71">
        <v>0</v>
      </c>
      <c r="BQ71">
        <v>0</v>
      </c>
      <c r="BR71">
        <v>0</v>
      </c>
      <c r="BS71">
        <v>0</v>
      </c>
      <c r="BU71">
        <v>2</v>
      </c>
      <c r="BV71">
        <v>4</v>
      </c>
      <c r="BX71">
        <v>1</v>
      </c>
      <c r="BY71">
        <v>1</v>
      </c>
      <c r="DI71">
        <v>1</v>
      </c>
      <c r="DJ71">
        <v>1</v>
      </c>
      <c r="DK71">
        <v>1</v>
      </c>
      <c r="DL71">
        <v>1</v>
      </c>
      <c r="DM71">
        <v>1</v>
      </c>
      <c r="DN71">
        <v>1</v>
      </c>
      <c r="DO71">
        <v>0</v>
      </c>
      <c r="DP71">
        <v>0</v>
      </c>
      <c r="DQ71">
        <v>0</v>
      </c>
      <c r="DR71">
        <v>0</v>
      </c>
      <c r="DT71">
        <v>1</v>
      </c>
      <c r="DU71">
        <v>1</v>
      </c>
      <c r="DV71">
        <v>0</v>
      </c>
      <c r="DW71">
        <v>1</v>
      </c>
      <c r="DX71">
        <v>1</v>
      </c>
      <c r="DY71">
        <v>1</v>
      </c>
      <c r="DZ71">
        <v>0</v>
      </c>
      <c r="EA71">
        <v>0</v>
      </c>
      <c r="EB71">
        <v>0</v>
      </c>
      <c r="EC71">
        <v>0</v>
      </c>
      <c r="ED71">
        <v>0</v>
      </c>
      <c r="EE71">
        <v>0</v>
      </c>
      <c r="EF71">
        <v>0</v>
      </c>
      <c r="EG71" t="s">
        <v>561</v>
      </c>
      <c r="EH71">
        <v>2</v>
      </c>
      <c r="EI71" t="s">
        <v>562</v>
      </c>
      <c r="EJ71">
        <v>1</v>
      </c>
      <c r="EK71">
        <v>1</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IG71">
        <v>1</v>
      </c>
      <c r="IH71">
        <v>0</v>
      </c>
      <c r="II71">
        <v>1</v>
      </c>
      <c r="IJ71">
        <v>0</v>
      </c>
      <c r="IK71">
        <v>0</v>
      </c>
      <c r="IL71">
        <v>0</v>
      </c>
      <c r="IM71">
        <v>0</v>
      </c>
      <c r="IN71">
        <v>0</v>
      </c>
      <c r="IO71">
        <v>0</v>
      </c>
      <c r="IP71">
        <v>0</v>
      </c>
      <c r="IQ71">
        <v>0</v>
      </c>
      <c r="IS71">
        <v>2</v>
      </c>
    </row>
    <row r="72" spans="1:258" x14ac:dyDescent="0.35">
      <c r="A72">
        <v>405223</v>
      </c>
      <c r="C72">
        <v>1</v>
      </c>
      <c r="D72" t="s">
        <v>563</v>
      </c>
      <c r="E72" t="s">
        <v>564</v>
      </c>
      <c r="F72" t="s">
        <v>540</v>
      </c>
      <c r="G72">
        <v>1</v>
      </c>
      <c r="I72">
        <v>1</v>
      </c>
      <c r="J72">
        <v>0</v>
      </c>
      <c r="K72">
        <v>1</v>
      </c>
      <c r="L72">
        <v>0</v>
      </c>
      <c r="M72">
        <v>0</v>
      </c>
      <c r="N72">
        <v>0</v>
      </c>
      <c r="O72">
        <v>0</v>
      </c>
      <c r="P72">
        <v>1</v>
      </c>
      <c r="Q72">
        <v>0</v>
      </c>
      <c r="R72">
        <v>1</v>
      </c>
      <c r="T72">
        <v>1</v>
      </c>
      <c r="U72">
        <v>0</v>
      </c>
      <c r="V72">
        <v>0</v>
      </c>
      <c r="W72">
        <v>2</v>
      </c>
      <c r="Z72">
        <v>2</v>
      </c>
      <c r="AC72">
        <v>1</v>
      </c>
      <c r="AD72">
        <v>1</v>
      </c>
      <c r="AE72">
        <v>0</v>
      </c>
      <c r="AF72">
        <v>0</v>
      </c>
      <c r="AG72">
        <v>0</v>
      </c>
      <c r="AH72">
        <v>0</v>
      </c>
      <c r="AJ72">
        <v>1</v>
      </c>
      <c r="AL72">
        <v>4</v>
      </c>
      <c r="AN72">
        <v>1</v>
      </c>
      <c r="AO72">
        <v>1</v>
      </c>
      <c r="AP72">
        <v>5</v>
      </c>
      <c r="AQ72">
        <v>2</v>
      </c>
      <c r="AS72">
        <v>2</v>
      </c>
      <c r="AT72">
        <v>1</v>
      </c>
      <c r="AU72">
        <v>2</v>
      </c>
      <c r="BC72">
        <v>0</v>
      </c>
      <c r="BD72">
        <v>1</v>
      </c>
      <c r="BE72">
        <v>0</v>
      </c>
      <c r="BF72">
        <v>0</v>
      </c>
      <c r="BG72">
        <v>1</v>
      </c>
      <c r="BH72">
        <v>0</v>
      </c>
      <c r="BI72">
        <v>0</v>
      </c>
      <c r="BJ72">
        <v>0</v>
      </c>
      <c r="BK72">
        <v>0</v>
      </c>
      <c r="BL72">
        <v>1</v>
      </c>
      <c r="BM72">
        <v>0</v>
      </c>
      <c r="BN72">
        <v>0</v>
      </c>
      <c r="BO72">
        <v>0</v>
      </c>
      <c r="BP72">
        <v>1</v>
      </c>
      <c r="BQ72">
        <v>0</v>
      </c>
      <c r="BR72">
        <v>0</v>
      </c>
      <c r="BS72">
        <v>0</v>
      </c>
      <c r="BU72">
        <v>2</v>
      </c>
      <c r="BV72">
        <v>4</v>
      </c>
      <c r="BX72">
        <v>2</v>
      </c>
      <c r="BY72">
        <v>2</v>
      </c>
      <c r="DI72">
        <v>0</v>
      </c>
      <c r="DJ72">
        <v>0</v>
      </c>
      <c r="DK72">
        <v>0</v>
      </c>
      <c r="DL72">
        <v>1</v>
      </c>
      <c r="DM72">
        <v>1</v>
      </c>
      <c r="DN72">
        <v>1</v>
      </c>
      <c r="DO72">
        <v>0</v>
      </c>
      <c r="DP72">
        <v>1</v>
      </c>
      <c r="DQ72">
        <v>0</v>
      </c>
      <c r="DR72">
        <v>0</v>
      </c>
      <c r="DT72">
        <v>0</v>
      </c>
      <c r="DU72">
        <v>1</v>
      </c>
      <c r="DV72">
        <v>1</v>
      </c>
      <c r="DW72">
        <v>1</v>
      </c>
      <c r="DX72">
        <v>0</v>
      </c>
      <c r="DY72">
        <v>0</v>
      </c>
      <c r="DZ72">
        <v>0</v>
      </c>
      <c r="EA72">
        <v>0</v>
      </c>
      <c r="EB72">
        <v>0</v>
      </c>
      <c r="EC72">
        <v>0</v>
      </c>
      <c r="ED72">
        <v>1</v>
      </c>
      <c r="EE72">
        <v>0</v>
      </c>
      <c r="EF72">
        <v>0</v>
      </c>
      <c r="EI72" t="s">
        <v>565</v>
      </c>
      <c r="EJ72">
        <v>0</v>
      </c>
      <c r="EK72">
        <v>1</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t="s">
        <v>566</v>
      </c>
      <c r="FG72">
        <v>1</v>
      </c>
      <c r="FH72">
        <v>0</v>
      </c>
      <c r="FI72">
        <v>0</v>
      </c>
      <c r="FJ72">
        <v>0</v>
      </c>
      <c r="FK72">
        <v>1</v>
      </c>
      <c r="FL72">
        <v>0</v>
      </c>
      <c r="FM72">
        <v>0</v>
      </c>
      <c r="FN72">
        <v>0</v>
      </c>
      <c r="FO72">
        <v>0</v>
      </c>
      <c r="FP72">
        <v>0</v>
      </c>
      <c r="FQ72">
        <v>0</v>
      </c>
      <c r="FR72">
        <v>0</v>
      </c>
      <c r="FS72">
        <v>0</v>
      </c>
      <c r="FT72">
        <v>0</v>
      </c>
      <c r="FU72">
        <v>0</v>
      </c>
      <c r="FV72">
        <v>0</v>
      </c>
      <c r="FW72">
        <v>0</v>
      </c>
      <c r="FX72">
        <v>0</v>
      </c>
      <c r="FY72">
        <v>0</v>
      </c>
      <c r="IG72">
        <v>1</v>
      </c>
      <c r="IH72">
        <v>0</v>
      </c>
      <c r="II72">
        <v>0</v>
      </c>
      <c r="IJ72">
        <v>1</v>
      </c>
      <c r="IK72">
        <v>0</v>
      </c>
      <c r="IL72">
        <v>0</v>
      </c>
      <c r="IM72">
        <v>1</v>
      </c>
      <c r="IN72">
        <v>0</v>
      </c>
      <c r="IO72">
        <v>0</v>
      </c>
      <c r="IP72">
        <v>0</v>
      </c>
      <c r="IQ72">
        <v>0</v>
      </c>
      <c r="IS72">
        <v>2</v>
      </c>
    </row>
    <row r="73" spans="1:258" x14ac:dyDescent="0.35">
      <c r="A73">
        <v>405490</v>
      </c>
      <c r="C73">
        <v>1</v>
      </c>
      <c r="D73" t="s">
        <v>567</v>
      </c>
      <c r="E73" t="s">
        <v>568</v>
      </c>
      <c r="F73" t="s">
        <v>569</v>
      </c>
      <c r="G73">
        <v>3</v>
      </c>
      <c r="I73">
        <v>0</v>
      </c>
      <c r="J73">
        <v>0</v>
      </c>
      <c r="K73">
        <v>1</v>
      </c>
      <c r="L73">
        <v>0</v>
      </c>
      <c r="M73">
        <v>0</v>
      </c>
      <c r="N73">
        <v>0</v>
      </c>
      <c r="O73">
        <v>0</v>
      </c>
      <c r="P73">
        <v>0</v>
      </c>
      <c r="Q73">
        <v>0</v>
      </c>
      <c r="R73">
        <v>1</v>
      </c>
      <c r="T73">
        <v>0</v>
      </c>
      <c r="U73">
        <v>1</v>
      </c>
      <c r="V73">
        <v>0</v>
      </c>
      <c r="X73">
        <v>20</v>
      </c>
      <c r="AA73">
        <v>20</v>
      </c>
      <c r="AC73">
        <v>1</v>
      </c>
      <c r="AD73">
        <v>0</v>
      </c>
      <c r="AE73">
        <v>0</v>
      </c>
      <c r="AF73">
        <v>0</v>
      </c>
      <c r="AG73">
        <v>0</v>
      </c>
      <c r="AH73">
        <v>0</v>
      </c>
      <c r="AJ73">
        <v>1</v>
      </c>
      <c r="AL73">
        <v>1</v>
      </c>
      <c r="AN73">
        <v>1</v>
      </c>
      <c r="AO73">
        <v>1</v>
      </c>
      <c r="AP73">
        <v>4</v>
      </c>
      <c r="AQ73">
        <v>1</v>
      </c>
      <c r="AR73">
        <v>4</v>
      </c>
      <c r="AS73">
        <v>1</v>
      </c>
      <c r="AT73">
        <v>1</v>
      </c>
      <c r="AU73">
        <v>1</v>
      </c>
      <c r="AV73">
        <v>1</v>
      </c>
      <c r="AW73">
        <v>0</v>
      </c>
      <c r="AX73">
        <v>0</v>
      </c>
      <c r="AY73">
        <v>0</v>
      </c>
      <c r="AZ73">
        <v>0</v>
      </c>
      <c r="BA73">
        <v>0</v>
      </c>
      <c r="BC73">
        <v>0</v>
      </c>
      <c r="BD73">
        <v>0</v>
      </c>
      <c r="BE73">
        <v>0</v>
      </c>
      <c r="BF73">
        <v>0</v>
      </c>
      <c r="BG73">
        <v>0</v>
      </c>
      <c r="BH73">
        <v>0</v>
      </c>
      <c r="BI73">
        <v>0</v>
      </c>
      <c r="BJ73">
        <v>0</v>
      </c>
      <c r="BK73">
        <v>1</v>
      </c>
      <c r="BL73">
        <v>0</v>
      </c>
      <c r="BM73">
        <v>0</v>
      </c>
      <c r="BN73">
        <v>0</v>
      </c>
      <c r="BO73">
        <v>0</v>
      </c>
      <c r="BP73">
        <v>0</v>
      </c>
      <c r="BQ73">
        <v>0</v>
      </c>
      <c r="BR73">
        <v>0</v>
      </c>
      <c r="BS73">
        <v>0</v>
      </c>
      <c r="BU73">
        <v>9</v>
      </c>
      <c r="BV73">
        <v>4</v>
      </c>
      <c r="BX73">
        <v>5</v>
      </c>
      <c r="BY73">
        <v>4</v>
      </c>
      <c r="DI73">
        <v>0</v>
      </c>
      <c r="DJ73">
        <v>1</v>
      </c>
      <c r="DK73">
        <v>1</v>
      </c>
      <c r="DL73">
        <v>0</v>
      </c>
      <c r="DM73">
        <v>0</v>
      </c>
      <c r="DN73">
        <v>1</v>
      </c>
      <c r="DO73">
        <v>0</v>
      </c>
      <c r="DP73">
        <v>0</v>
      </c>
      <c r="DQ73">
        <v>0</v>
      </c>
      <c r="DR73">
        <v>0</v>
      </c>
      <c r="DT73">
        <v>0</v>
      </c>
      <c r="DU73">
        <v>1</v>
      </c>
      <c r="DV73">
        <v>0</v>
      </c>
      <c r="DW73">
        <v>1</v>
      </c>
      <c r="DX73">
        <v>0</v>
      </c>
      <c r="DY73">
        <v>0</v>
      </c>
      <c r="DZ73">
        <v>0</v>
      </c>
      <c r="EA73">
        <v>0</v>
      </c>
      <c r="EB73">
        <v>0</v>
      </c>
      <c r="EC73">
        <v>0</v>
      </c>
      <c r="ED73">
        <v>0</v>
      </c>
      <c r="EE73">
        <v>0</v>
      </c>
      <c r="EF73">
        <v>0</v>
      </c>
      <c r="EI73" t="s">
        <v>570</v>
      </c>
      <c r="EJ73">
        <v>1</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IG73">
        <v>0</v>
      </c>
      <c r="IH73">
        <v>0</v>
      </c>
      <c r="II73">
        <v>0</v>
      </c>
      <c r="IJ73">
        <v>0</v>
      </c>
      <c r="IK73">
        <v>0</v>
      </c>
      <c r="IL73">
        <v>0</v>
      </c>
      <c r="IM73">
        <v>0</v>
      </c>
      <c r="IN73">
        <v>0</v>
      </c>
      <c r="IO73">
        <v>0</v>
      </c>
      <c r="IP73">
        <v>0</v>
      </c>
      <c r="IQ73">
        <v>1</v>
      </c>
      <c r="IS73">
        <v>1</v>
      </c>
      <c r="IT73">
        <v>1</v>
      </c>
      <c r="IU73">
        <v>1</v>
      </c>
      <c r="IV73">
        <v>1</v>
      </c>
      <c r="IW73">
        <v>0</v>
      </c>
    </row>
    <row r="74" spans="1:258" x14ac:dyDescent="0.35">
      <c r="A74">
        <v>370509</v>
      </c>
      <c r="C74">
        <v>1</v>
      </c>
      <c r="D74" t="s">
        <v>571</v>
      </c>
      <c r="E74" t="s">
        <v>572</v>
      </c>
      <c r="F74" t="s">
        <v>569</v>
      </c>
      <c r="G74">
        <v>3</v>
      </c>
      <c r="I74">
        <v>0</v>
      </c>
      <c r="J74">
        <v>0</v>
      </c>
      <c r="K74">
        <v>1</v>
      </c>
      <c r="L74">
        <v>0</v>
      </c>
      <c r="M74">
        <v>0</v>
      </c>
      <c r="N74">
        <v>0</v>
      </c>
      <c r="O74">
        <v>0</v>
      </c>
      <c r="P74">
        <v>0</v>
      </c>
      <c r="Q74">
        <v>0</v>
      </c>
      <c r="R74">
        <v>1</v>
      </c>
      <c r="T74">
        <v>0</v>
      </c>
      <c r="U74">
        <v>1</v>
      </c>
      <c r="V74">
        <v>1</v>
      </c>
      <c r="X74">
        <v>13</v>
      </c>
      <c r="Y74">
        <v>1</v>
      </c>
      <c r="AA74">
        <v>13</v>
      </c>
      <c r="AB74">
        <v>1</v>
      </c>
      <c r="AC74">
        <v>1</v>
      </c>
      <c r="AD74">
        <v>0</v>
      </c>
      <c r="AE74">
        <v>0</v>
      </c>
      <c r="AF74">
        <v>1</v>
      </c>
      <c r="AG74">
        <v>0</v>
      </c>
      <c r="AH74">
        <v>0</v>
      </c>
      <c r="AJ74">
        <v>1</v>
      </c>
      <c r="AL74">
        <v>1</v>
      </c>
      <c r="AN74">
        <v>1</v>
      </c>
      <c r="AO74">
        <v>1</v>
      </c>
      <c r="AP74">
        <v>2</v>
      </c>
      <c r="AQ74">
        <v>1</v>
      </c>
      <c r="AR74">
        <v>6</v>
      </c>
      <c r="AS74">
        <v>2</v>
      </c>
      <c r="AT74">
        <v>1</v>
      </c>
      <c r="AU74">
        <v>2</v>
      </c>
      <c r="BC74">
        <v>0</v>
      </c>
      <c r="BD74">
        <v>0</v>
      </c>
      <c r="BE74">
        <v>1</v>
      </c>
      <c r="BF74">
        <v>1</v>
      </c>
      <c r="BG74">
        <v>1</v>
      </c>
      <c r="BH74">
        <v>0</v>
      </c>
      <c r="BI74">
        <v>0</v>
      </c>
      <c r="BJ74">
        <v>0</v>
      </c>
      <c r="BK74">
        <v>1</v>
      </c>
      <c r="BL74">
        <v>0</v>
      </c>
      <c r="BM74">
        <v>1</v>
      </c>
      <c r="BN74">
        <v>1</v>
      </c>
      <c r="BO74">
        <v>0</v>
      </c>
      <c r="BP74">
        <v>1</v>
      </c>
      <c r="BQ74">
        <v>0</v>
      </c>
      <c r="BR74">
        <v>1</v>
      </c>
      <c r="BS74">
        <v>0</v>
      </c>
      <c r="BU74">
        <v>16</v>
      </c>
      <c r="BV74">
        <v>4</v>
      </c>
      <c r="BX74">
        <v>4</v>
      </c>
      <c r="BY74">
        <v>4</v>
      </c>
      <c r="DI74">
        <v>1</v>
      </c>
      <c r="DJ74">
        <v>0</v>
      </c>
      <c r="DK74">
        <v>1</v>
      </c>
      <c r="DL74">
        <v>0</v>
      </c>
      <c r="DM74">
        <v>1</v>
      </c>
      <c r="DN74">
        <v>1</v>
      </c>
      <c r="DO74">
        <v>0</v>
      </c>
      <c r="DP74">
        <v>0</v>
      </c>
      <c r="DQ74">
        <v>0</v>
      </c>
      <c r="DR74">
        <v>0</v>
      </c>
    </row>
    <row r="75" spans="1:258" x14ac:dyDescent="0.35">
      <c r="A75">
        <v>405320</v>
      </c>
      <c r="C75">
        <v>1</v>
      </c>
      <c r="D75" t="s">
        <v>573</v>
      </c>
      <c r="E75" t="s">
        <v>574</v>
      </c>
      <c r="F75" t="s">
        <v>569</v>
      </c>
      <c r="G75">
        <v>3</v>
      </c>
      <c r="I75">
        <v>1</v>
      </c>
      <c r="J75">
        <v>0</v>
      </c>
      <c r="K75">
        <v>1</v>
      </c>
      <c r="L75">
        <v>0</v>
      </c>
      <c r="M75">
        <v>0</v>
      </c>
      <c r="N75">
        <v>0</v>
      </c>
      <c r="O75">
        <v>0</v>
      </c>
      <c r="P75">
        <v>1</v>
      </c>
      <c r="Q75">
        <v>0</v>
      </c>
      <c r="R75">
        <v>1</v>
      </c>
      <c r="T75">
        <v>0</v>
      </c>
      <c r="U75">
        <v>1</v>
      </c>
      <c r="V75">
        <v>0</v>
      </c>
      <c r="X75">
        <v>65</v>
      </c>
      <c r="AA75">
        <v>65</v>
      </c>
      <c r="AC75">
        <v>1</v>
      </c>
      <c r="AD75">
        <v>0</v>
      </c>
      <c r="AE75">
        <v>0</v>
      </c>
      <c r="AF75">
        <v>0</v>
      </c>
      <c r="AG75">
        <v>1</v>
      </c>
      <c r="AH75">
        <v>0</v>
      </c>
      <c r="AJ75">
        <v>1</v>
      </c>
      <c r="AL75">
        <v>1</v>
      </c>
      <c r="AN75">
        <v>1</v>
      </c>
      <c r="AO75">
        <v>1</v>
      </c>
      <c r="AP75">
        <v>2</v>
      </c>
      <c r="AQ75">
        <v>2</v>
      </c>
      <c r="AS75">
        <v>2</v>
      </c>
      <c r="AT75">
        <v>1</v>
      </c>
      <c r="BX75">
        <v>4</v>
      </c>
      <c r="BY75">
        <v>4</v>
      </c>
      <c r="BZ75">
        <v>0</v>
      </c>
      <c r="CA75">
        <v>0</v>
      </c>
      <c r="CB75">
        <v>0</v>
      </c>
      <c r="CC75">
        <v>0</v>
      </c>
      <c r="CD75">
        <v>0</v>
      </c>
      <c r="CE75">
        <v>0</v>
      </c>
      <c r="CF75">
        <v>0</v>
      </c>
      <c r="CG75">
        <v>0</v>
      </c>
      <c r="CH75">
        <v>1</v>
      </c>
      <c r="CI75">
        <v>0</v>
      </c>
      <c r="CJ75">
        <v>0</v>
      </c>
      <c r="CK75">
        <v>0</v>
      </c>
      <c r="CL75">
        <v>0</v>
      </c>
      <c r="CM75">
        <v>0</v>
      </c>
      <c r="CN75">
        <v>1</v>
      </c>
      <c r="CO75">
        <v>0</v>
      </c>
      <c r="CP75" t="s">
        <v>575</v>
      </c>
      <c r="CQ75" t="s">
        <v>357</v>
      </c>
      <c r="CR75">
        <v>3</v>
      </c>
      <c r="CS75">
        <v>3</v>
      </c>
      <c r="CT75" t="s">
        <v>576</v>
      </c>
      <c r="CU75">
        <v>1</v>
      </c>
      <c r="CW75">
        <v>1</v>
      </c>
      <c r="CY75" t="s">
        <v>577</v>
      </c>
      <c r="CZ75">
        <v>1</v>
      </c>
      <c r="DB75">
        <v>13</v>
      </c>
      <c r="DD75" t="s">
        <v>279</v>
      </c>
      <c r="DE75">
        <v>2</v>
      </c>
      <c r="DG75">
        <v>4</v>
      </c>
      <c r="DI75">
        <v>0</v>
      </c>
      <c r="DJ75">
        <v>0</v>
      </c>
      <c r="DK75">
        <v>0</v>
      </c>
      <c r="DL75">
        <v>0</v>
      </c>
      <c r="DM75">
        <v>0</v>
      </c>
      <c r="DN75">
        <v>1</v>
      </c>
      <c r="DO75">
        <v>0</v>
      </c>
      <c r="DP75">
        <v>0</v>
      </c>
      <c r="DQ75">
        <v>1</v>
      </c>
      <c r="DR75">
        <v>0</v>
      </c>
      <c r="DS75" t="s">
        <v>273</v>
      </c>
      <c r="DT75">
        <v>0</v>
      </c>
      <c r="DU75">
        <v>0</v>
      </c>
      <c r="DV75">
        <v>0</v>
      </c>
      <c r="DW75">
        <v>1</v>
      </c>
      <c r="DX75">
        <v>0</v>
      </c>
      <c r="DY75">
        <v>0</v>
      </c>
      <c r="DZ75">
        <v>0</v>
      </c>
      <c r="EA75">
        <v>0</v>
      </c>
      <c r="EB75">
        <v>1</v>
      </c>
      <c r="EC75">
        <v>1</v>
      </c>
      <c r="ED75">
        <v>1</v>
      </c>
      <c r="EE75">
        <v>0</v>
      </c>
      <c r="EF75">
        <v>0</v>
      </c>
      <c r="GJ75" t="s">
        <v>468</v>
      </c>
      <c r="GK75">
        <v>0</v>
      </c>
      <c r="GL75">
        <v>0</v>
      </c>
      <c r="GM75">
        <v>0</v>
      </c>
      <c r="GN75">
        <v>0</v>
      </c>
      <c r="GO75">
        <v>0</v>
      </c>
      <c r="GP75">
        <v>0</v>
      </c>
      <c r="GQ75">
        <v>0</v>
      </c>
      <c r="GR75">
        <v>0</v>
      </c>
      <c r="GS75">
        <v>0</v>
      </c>
      <c r="GT75">
        <v>1</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G75">
        <v>0</v>
      </c>
      <c r="IH75">
        <v>0</v>
      </c>
      <c r="II75">
        <v>0</v>
      </c>
      <c r="IJ75">
        <v>0</v>
      </c>
      <c r="IK75">
        <v>0</v>
      </c>
      <c r="IL75">
        <v>0</v>
      </c>
      <c r="IM75">
        <v>0</v>
      </c>
      <c r="IN75">
        <v>0</v>
      </c>
      <c r="IO75">
        <v>0</v>
      </c>
      <c r="IP75">
        <v>0</v>
      </c>
      <c r="IQ75">
        <v>1</v>
      </c>
      <c r="IS75">
        <v>2</v>
      </c>
    </row>
    <row r="76" spans="1:258" x14ac:dyDescent="0.35">
      <c r="A76">
        <v>397126</v>
      </c>
      <c r="C76">
        <v>1</v>
      </c>
      <c r="D76" t="s">
        <v>578</v>
      </c>
      <c r="E76" t="s">
        <v>579</v>
      </c>
      <c r="F76" t="s">
        <v>580</v>
      </c>
      <c r="G76">
        <v>3</v>
      </c>
      <c r="I76">
        <v>1</v>
      </c>
      <c r="J76">
        <v>0</v>
      </c>
      <c r="K76">
        <v>1</v>
      </c>
      <c r="L76">
        <v>0</v>
      </c>
      <c r="M76">
        <v>0</v>
      </c>
      <c r="N76">
        <v>0</v>
      </c>
      <c r="O76">
        <v>0</v>
      </c>
      <c r="P76">
        <v>1</v>
      </c>
      <c r="Q76">
        <v>0</v>
      </c>
      <c r="R76">
        <v>1</v>
      </c>
      <c r="T76">
        <v>0</v>
      </c>
      <c r="U76">
        <v>0</v>
      </c>
      <c r="V76">
        <v>1</v>
      </c>
      <c r="Y76">
        <v>66</v>
      </c>
      <c r="AB76">
        <v>66</v>
      </c>
      <c r="AC76">
        <v>1</v>
      </c>
      <c r="AD76">
        <v>0</v>
      </c>
      <c r="AE76">
        <v>0</v>
      </c>
      <c r="AF76">
        <v>0</v>
      </c>
      <c r="AG76">
        <v>0</v>
      </c>
      <c r="AH76">
        <v>0</v>
      </c>
      <c r="AJ76">
        <v>1</v>
      </c>
      <c r="AL76">
        <v>1</v>
      </c>
      <c r="AN76">
        <v>1</v>
      </c>
      <c r="AO76">
        <v>1</v>
      </c>
      <c r="AP76">
        <v>4</v>
      </c>
      <c r="AQ76">
        <v>1</v>
      </c>
      <c r="AR76">
        <v>4</v>
      </c>
      <c r="AS76">
        <v>2</v>
      </c>
      <c r="AT76">
        <v>1</v>
      </c>
      <c r="AU76">
        <v>2</v>
      </c>
      <c r="BC76">
        <v>0</v>
      </c>
      <c r="BD76">
        <v>0</v>
      </c>
      <c r="BE76">
        <v>1</v>
      </c>
      <c r="BF76">
        <v>1</v>
      </c>
      <c r="BG76">
        <v>1</v>
      </c>
      <c r="BH76">
        <v>0</v>
      </c>
      <c r="BI76">
        <v>0</v>
      </c>
      <c r="BJ76">
        <v>0</v>
      </c>
      <c r="BK76">
        <v>0</v>
      </c>
      <c r="BL76">
        <v>0</v>
      </c>
      <c r="BM76">
        <v>0</v>
      </c>
      <c r="BN76">
        <v>0</v>
      </c>
      <c r="BO76">
        <v>0</v>
      </c>
      <c r="BP76">
        <v>1</v>
      </c>
      <c r="BQ76">
        <v>0</v>
      </c>
      <c r="BR76">
        <v>1</v>
      </c>
      <c r="BS76">
        <v>0</v>
      </c>
      <c r="BU76">
        <v>16</v>
      </c>
      <c r="BV76">
        <v>4</v>
      </c>
      <c r="BX76">
        <v>4</v>
      </c>
      <c r="BY76">
        <v>5</v>
      </c>
      <c r="DI76">
        <v>0</v>
      </c>
      <c r="DJ76">
        <v>0</v>
      </c>
      <c r="DK76">
        <v>0</v>
      </c>
      <c r="DL76">
        <v>0</v>
      </c>
      <c r="DM76">
        <v>1</v>
      </c>
      <c r="DN76">
        <v>1</v>
      </c>
      <c r="DO76">
        <v>0</v>
      </c>
      <c r="DP76">
        <v>0</v>
      </c>
      <c r="DQ76">
        <v>0</v>
      </c>
      <c r="DR76">
        <v>0</v>
      </c>
      <c r="DT76">
        <v>0</v>
      </c>
      <c r="DU76">
        <v>0</v>
      </c>
      <c r="DV76">
        <v>0</v>
      </c>
      <c r="DW76">
        <v>0</v>
      </c>
      <c r="DX76">
        <v>0</v>
      </c>
      <c r="DY76">
        <v>0</v>
      </c>
      <c r="DZ76">
        <v>0</v>
      </c>
      <c r="EA76">
        <v>0</v>
      </c>
      <c r="EB76">
        <v>0</v>
      </c>
      <c r="EC76">
        <v>0</v>
      </c>
      <c r="ED76">
        <v>1</v>
      </c>
      <c r="EE76">
        <v>0</v>
      </c>
      <c r="EF76">
        <v>0</v>
      </c>
      <c r="IG76">
        <v>1</v>
      </c>
      <c r="IH76">
        <v>1</v>
      </c>
      <c r="II76">
        <v>0</v>
      </c>
      <c r="IJ76">
        <v>1</v>
      </c>
      <c r="IK76">
        <v>0</v>
      </c>
      <c r="IL76">
        <v>0</v>
      </c>
      <c r="IM76">
        <v>0</v>
      </c>
      <c r="IN76">
        <v>0</v>
      </c>
      <c r="IO76">
        <v>0</v>
      </c>
      <c r="IP76">
        <v>0</v>
      </c>
      <c r="IQ76">
        <v>0</v>
      </c>
      <c r="IS76">
        <v>2</v>
      </c>
    </row>
    <row r="77" spans="1:258" x14ac:dyDescent="0.35">
      <c r="A77">
        <v>370682</v>
      </c>
      <c r="C77">
        <v>1</v>
      </c>
      <c r="D77" t="s">
        <v>581</v>
      </c>
      <c r="E77" t="s">
        <v>582</v>
      </c>
      <c r="F77" t="s">
        <v>583</v>
      </c>
      <c r="G77">
        <v>3</v>
      </c>
      <c r="I77">
        <v>0</v>
      </c>
      <c r="J77">
        <v>0</v>
      </c>
      <c r="K77">
        <v>0</v>
      </c>
      <c r="L77">
        <v>0</v>
      </c>
      <c r="M77">
        <v>0</v>
      </c>
      <c r="N77">
        <v>0</v>
      </c>
      <c r="O77">
        <v>0</v>
      </c>
      <c r="P77">
        <v>1</v>
      </c>
      <c r="Q77">
        <v>0</v>
      </c>
      <c r="R77">
        <v>1</v>
      </c>
      <c r="T77">
        <v>1</v>
      </c>
      <c r="U77">
        <v>1</v>
      </c>
      <c r="V77">
        <v>1</v>
      </c>
      <c r="W77">
        <v>4</v>
      </c>
      <c r="X77">
        <v>15</v>
      </c>
      <c r="Y77">
        <v>2</v>
      </c>
      <c r="Z77">
        <v>4</v>
      </c>
      <c r="AA77">
        <v>15</v>
      </c>
      <c r="AB77">
        <v>2</v>
      </c>
      <c r="AC77">
        <v>1</v>
      </c>
      <c r="AD77">
        <v>1</v>
      </c>
      <c r="AE77">
        <v>0</v>
      </c>
      <c r="AF77">
        <v>0</v>
      </c>
      <c r="AG77">
        <v>0</v>
      </c>
      <c r="AH77">
        <v>0</v>
      </c>
      <c r="AJ77">
        <v>1</v>
      </c>
      <c r="AL77">
        <v>1</v>
      </c>
      <c r="AN77">
        <v>1</v>
      </c>
      <c r="AO77">
        <v>1</v>
      </c>
      <c r="AP77">
        <v>4</v>
      </c>
      <c r="AQ77">
        <v>1</v>
      </c>
      <c r="AR77">
        <v>4</v>
      </c>
      <c r="AS77">
        <v>2</v>
      </c>
      <c r="AT77">
        <v>1</v>
      </c>
      <c r="AU77">
        <v>1</v>
      </c>
      <c r="AV77">
        <v>1</v>
      </c>
      <c r="AW77">
        <v>0</v>
      </c>
      <c r="AX77">
        <v>0</v>
      </c>
      <c r="AY77">
        <v>0</v>
      </c>
      <c r="AZ77">
        <v>0</v>
      </c>
      <c r="BA77">
        <v>0</v>
      </c>
      <c r="BC77">
        <v>0</v>
      </c>
      <c r="BD77">
        <v>0</v>
      </c>
      <c r="BE77">
        <v>1</v>
      </c>
      <c r="BF77">
        <v>1</v>
      </c>
      <c r="BG77">
        <v>1</v>
      </c>
      <c r="BH77">
        <v>0</v>
      </c>
      <c r="BI77">
        <v>0</v>
      </c>
      <c r="BJ77">
        <v>1</v>
      </c>
      <c r="BK77">
        <v>0</v>
      </c>
      <c r="BL77">
        <v>0</v>
      </c>
      <c r="BM77">
        <v>0</v>
      </c>
      <c r="BN77">
        <v>0</v>
      </c>
      <c r="BO77">
        <v>0</v>
      </c>
      <c r="BP77">
        <v>0</v>
      </c>
      <c r="BQ77">
        <v>0</v>
      </c>
      <c r="BR77">
        <v>1</v>
      </c>
      <c r="BS77">
        <v>0</v>
      </c>
      <c r="BU77">
        <v>6</v>
      </c>
      <c r="BV77">
        <v>4</v>
      </c>
      <c r="BX77">
        <v>3</v>
      </c>
      <c r="BY77">
        <v>4</v>
      </c>
      <c r="DI77">
        <v>0</v>
      </c>
      <c r="DJ77">
        <v>0</v>
      </c>
      <c r="DK77">
        <v>1</v>
      </c>
      <c r="DL77">
        <v>0</v>
      </c>
      <c r="DM77">
        <v>0</v>
      </c>
      <c r="DN77">
        <v>0</v>
      </c>
      <c r="DO77">
        <v>0</v>
      </c>
      <c r="DP77">
        <v>0</v>
      </c>
      <c r="DQ77">
        <v>1</v>
      </c>
      <c r="DR77">
        <v>0</v>
      </c>
      <c r="DS77" t="s">
        <v>584</v>
      </c>
      <c r="DT77">
        <v>0</v>
      </c>
      <c r="DU77">
        <v>1</v>
      </c>
      <c r="DV77">
        <v>0</v>
      </c>
      <c r="DW77">
        <v>0</v>
      </c>
      <c r="DX77">
        <v>1</v>
      </c>
      <c r="DY77">
        <v>0</v>
      </c>
      <c r="DZ77">
        <v>0</v>
      </c>
      <c r="EA77">
        <v>0</v>
      </c>
      <c r="EB77">
        <v>0</v>
      </c>
      <c r="EC77">
        <v>1</v>
      </c>
      <c r="ED77">
        <v>1</v>
      </c>
      <c r="EE77">
        <v>0</v>
      </c>
      <c r="EF77">
        <v>0</v>
      </c>
      <c r="EI77" t="s">
        <v>585</v>
      </c>
      <c r="EJ77">
        <v>1</v>
      </c>
      <c r="EK77">
        <v>1</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GJ77" t="s">
        <v>586</v>
      </c>
      <c r="GK77">
        <v>1</v>
      </c>
      <c r="GL77">
        <v>0</v>
      </c>
      <c r="GM77">
        <v>0</v>
      </c>
      <c r="GN77">
        <v>0</v>
      </c>
      <c r="GO77">
        <v>0</v>
      </c>
      <c r="GP77">
        <v>0</v>
      </c>
      <c r="GQ77">
        <v>0</v>
      </c>
      <c r="GR77">
        <v>0</v>
      </c>
      <c r="GS77">
        <v>0</v>
      </c>
      <c r="GT77">
        <v>0</v>
      </c>
      <c r="GU77">
        <v>0</v>
      </c>
      <c r="GV77">
        <v>0</v>
      </c>
      <c r="GW77">
        <v>1</v>
      </c>
      <c r="GX77">
        <v>0</v>
      </c>
      <c r="GY77">
        <v>0</v>
      </c>
      <c r="GZ77">
        <v>0</v>
      </c>
      <c r="HA77">
        <v>0</v>
      </c>
      <c r="HB77">
        <v>0</v>
      </c>
      <c r="HC77">
        <v>1</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G77">
        <v>1</v>
      </c>
      <c r="IH77">
        <v>0</v>
      </c>
      <c r="II77">
        <v>1</v>
      </c>
      <c r="IJ77">
        <v>0</v>
      </c>
      <c r="IK77">
        <v>0</v>
      </c>
      <c r="IL77">
        <v>0</v>
      </c>
      <c r="IM77">
        <v>0</v>
      </c>
      <c r="IN77">
        <v>0</v>
      </c>
      <c r="IO77">
        <v>0</v>
      </c>
      <c r="IP77">
        <v>0</v>
      </c>
      <c r="IQ77">
        <v>0</v>
      </c>
      <c r="IS77">
        <v>1</v>
      </c>
      <c r="IT77">
        <v>0</v>
      </c>
      <c r="IU77">
        <v>0</v>
      </c>
      <c r="IV77">
        <v>0</v>
      </c>
      <c r="IW77">
        <v>1</v>
      </c>
      <c r="IX77" t="s">
        <v>587</v>
      </c>
    </row>
    <row r="78" spans="1:258" x14ac:dyDescent="0.35">
      <c r="A78">
        <v>375561</v>
      </c>
      <c r="C78">
        <v>1</v>
      </c>
      <c r="D78" t="s">
        <v>588</v>
      </c>
      <c r="E78" t="s">
        <v>589</v>
      </c>
      <c r="F78" t="s">
        <v>590</v>
      </c>
      <c r="G78">
        <v>6</v>
      </c>
      <c r="I78">
        <v>1</v>
      </c>
      <c r="J78">
        <v>0</v>
      </c>
      <c r="K78">
        <v>1</v>
      </c>
      <c r="L78">
        <v>0</v>
      </c>
      <c r="M78">
        <v>1</v>
      </c>
      <c r="N78">
        <v>0</v>
      </c>
      <c r="O78">
        <v>0</v>
      </c>
      <c r="P78">
        <v>0</v>
      </c>
      <c r="Q78">
        <v>0</v>
      </c>
      <c r="R78">
        <v>1</v>
      </c>
      <c r="T78">
        <v>0</v>
      </c>
      <c r="U78">
        <v>1</v>
      </c>
      <c r="V78">
        <v>0</v>
      </c>
      <c r="X78">
        <v>77</v>
      </c>
      <c r="AA78">
        <v>77</v>
      </c>
      <c r="AC78">
        <v>1</v>
      </c>
      <c r="AD78">
        <v>0</v>
      </c>
      <c r="AE78">
        <v>0</v>
      </c>
      <c r="AF78">
        <v>0</v>
      </c>
      <c r="AG78">
        <v>0</v>
      </c>
      <c r="AH78">
        <v>0</v>
      </c>
      <c r="AJ78">
        <v>1</v>
      </c>
      <c r="AL78">
        <v>1</v>
      </c>
      <c r="AN78">
        <v>1</v>
      </c>
      <c r="AO78">
        <v>1</v>
      </c>
      <c r="AP78">
        <v>4</v>
      </c>
      <c r="AQ78">
        <v>1</v>
      </c>
      <c r="AR78">
        <v>6</v>
      </c>
      <c r="AS78">
        <v>2</v>
      </c>
      <c r="AT78">
        <v>3</v>
      </c>
      <c r="AU78">
        <v>1</v>
      </c>
      <c r="AV78">
        <v>1</v>
      </c>
      <c r="AW78">
        <v>0</v>
      </c>
      <c r="AX78">
        <v>0</v>
      </c>
      <c r="AY78">
        <v>0</v>
      </c>
      <c r="AZ78">
        <v>0</v>
      </c>
      <c r="BA78">
        <v>0</v>
      </c>
      <c r="BC78">
        <v>1</v>
      </c>
      <c r="BD78">
        <v>0</v>
      </c>
      <c r="BE78">
        <v>1</v>
      </c>
      <c r="BF78">
        <v>0</v>
      </c>
      <c r="BG78">
        <v>1</v>
      </c>
      <c r="BH78">
        <v>0</v>
      </c>
      <c r="BI78">
        <v>0</v>
      </c>
      <c r="BJ78">
        <v>0</v>
      </c>
      <c r="BK78">
        <v>1</v>
      </c>
      <c r="BL78">
        <v>0</v>
      </c>
      <c r="BM78">
        <v>0</v>
      </c>
      <c r="BN78">
        <v>1</v>
      </c>
      <c r="BO78">
        <v>0</v>
      </c>
      <c r="BP78">
        <v>1</v>
      </c>
      <c r="BQ78">
        <v>0</v>
      </c>
      <c r="BR78">
        <v>0</v>
      </c>
      <c r="BS78">
        <v>0</v>
      </c>
      <c r="BU78">
        <v>1</v>
      </c>
      <c r="BV78">
        <v>4</v>
      </c>
    </row>
    <row r="79" spans="1:258" x14ac:dyDescent="0.35">
      <c r="A79">
        <v>405476</v>
      </c>
      <c r="C79">
        <v>1</v>
      </c>
      <c r="D79" t="s">
        <v>591</v>
      </c>
      <c r="E79" t="s">
        <v>554</v>
      </c>
      <c r="F79" t="s">
        <v>592</v>
      </c>
      <c r="G79">
        <v>3</v>
      </c>
      <c r="I79">
        <v>1</v>
      </c>
      <c r="J79">
        <v>0</v>
      </c>
      <c r="K79">
        <v>0</v>
      </c>
      <c r="L79">
        <v>0</v>
      </c>
      <c r="M79">
        <v>0</v>
      </c>
      <c r="N79">
        <v>0</v>
      </c>
      <c r="O79">
        <v>0</v>
      </c>
      <c r="P79">
        <v>0</v>
      </c>
      <c r="Q79">
        <v>0</v>
      </c>
      <c r="R79">
        <v>1</v>
      </c>
      <c r="T79">
        <v>0</v>
      </c>
      <c r="U79">
        <v>1</v>
      </c>
      <c r="V79">
        <v>0</v>
      </c>
      <c r="X79">
        <v>100</v>
      </c>
      <c r="AA79">
        <v>100</v>
      </c>
      <c r="AC79">
        <v>1</v>
      </c>
      <c r="AD79">
        <v>0</v>
      </c>
      <c r="AE79">
        <v>0</v>
      </c>
      <c r="AF79">
        <v>0</v>
      </c>
      <c r="AG79">
        <v>0</v>
      </c>
      <c r="AH79">
        <v>0</v>
      </c>
      <c r="AJ79">
        <v>1</v>
      </c>
      <c r="AL79">
        <v>1</v>
      </c>
      <c r="AN79">
        <v>1</v>
      </c>
      <c r="AO79">
        <v>1</v>
      </c>
      <c r="AP79">
        <v>4</v>
      </c>
      <c r="AQ79">
        <v>2</v>
      </c>
      <c r="AS79">
        <v>2</v>
      </c>
      <c r="AT79">
        <v>1</v>
      </c>
      <c r="AU79">
        <v>2</v>
      </c>
      <c r="BC79">
        <v>1</v>
      </c>
      <c r="BD79">
        <v>0</v>
      </c>
      <c r="BE79">
        <v>0</v>
      </c>
      <c r="BF79">
        <v>0</v>
      </c>
      <c r="BG79">
        <v>0</v>
      </c>
      <c r="BH79">
        <v>0</v>
      </c>
      <c r="BI79">
        <v>0</v>
      </c>
      <c r="BJ79">
        <v>0</v>
      </c>
      <c r="BK79">
        <v>1</v>
      </c>
      <c r="BL79">
        <v>0</v>
      </c>
      <c r="BM79">
        <v>0</v>
      </c>
      <c r="BN79">
        <v>1</v>
      </c>
      <c r="BO79">
        <v>0</v>
      </c>
      <c r="BP79">
        <v>1</v>
      </c>
      <c r="BQ79">
        <v>0</v>
      </c>
      <c r="BR79">
        <v>0</v>
      </c>
      <c r="BS79">
        <v>0</v>
      </c>
      <c r="BU79">
        <v>9</v>
      </c>
      <c r="BV79">
        <v>4</v>
      </c>
      <c r="BX79">
        <v>5</v>
      </c>
      <c r="BY79">
        <v>5</v>
      </c>
      <c r="DI79">
        <v>1</v>
      </c>
      <c r="DJ79">
        <v>1</v>
      </c>
      <c r="DK79">
        <v>1</v>
      </c>
      <c r="DL79">
        <v>1</v>
      </c>
      <c r="DM79">
        <v>1</v>
      </c>
      <c r="DN79">
        <v>1</v>
      </c>
      <c r="DO79">
        <v>0</v>
      </c>
      <c r="DP79">
        <v>0</v>
      </c>
      <c r="DQ79">
        <v>0</v>
      </c>
      <c r="DR79">
        <v>0</v>
      </c>
      <c r="DT79">
        <v>1</v>
      </c>
      <c r="DU79">
        <v>1</v>
      </c>
      <c r="DV79">
        <v>1</v>
      </c>
      <c r="DW79">
        <v>0</v>
      </c>
      <c r="DX79">
        <v>0</v>
      </c>
      <c r="DY79">
        <v>0</v>
      </c>
      <c r="DZ79">
        <v>0</v>
      </c>
      <c r="EA79">
        <v>0</v>
      </c>
      <c r="EB79">
        <v>0</v>
      </c>
      <c r="EC79">
        <v>0</v>
      </c>
      <c r="ED79">
        <v>0</v>
      </c>
      <c r="EE79">
        <v>0</v>
      </c>
      <c r="EF79">
        <v>0</v>
      </c>
      <c r="EG79" t="s">
        <v>593</v>
      </c>
      <c r="EH79">
        <v>4</v>
      </c>
      <c r="EI79" t="s">
        <v>274</v>
      </c>
      <c r="EJ79">
        <v>1</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t="s">
        <v>274</v>
      </c>
      <c r="FG79">
        <v>0</v>
      </c>
      <c r="FH79">
        <v>0</v>
      </c>
      <c r="FI79">
        <v>0</v>
      </c>
      <c r="FJ79">
        <v>0</v>
      </c>
      <c r="FK79">
        <v>0</v>
      </c>
      <c r="FL79">
        <v>0</v>
      </c>
      <c r="FM79">
        <v>0</v>
      </c>
      <c r="FN79">
        <v>0</v>
      </c>
      <c r="FO79">
        <v>0</v>
      </c>
      <c r="FP79">
        <v>1</v>
      </c>
      <c r="FQ79">
        <v>0</v>
      </c>
      <c r="FR79">
        <v>0</v>
      </c>
      <c r="FS79">
        <v>0</v>
      </c>
      <c r="FT79">
        <v>0</v>
      </c>
      <c r="FU79">
        <v>0</v>
      </c>
      <c r="FV79">
        <v>0</v>
      </c>
      <c r="FW79">
        <v>0</v>
      </c>
      <c r="FX79">
        <v>0</v>
      </c>
      <c r="FY79">
        <v>0</v>
      </c>
      <c r="IG79">
        <v>1</v>
      </c>
      <c r="IH79">
        <v>0</v>
      </c>
      <c r="II79">
        <v>0</v>
      </c>
      <c r="IJ79">
        <v>1</v>
      </c>
      <c r="IK79">
        <v>0</v>
      </c>
      <c r="IL79">
        <v>0</v>
      </c>
      <c r="IM79">
        <v>0</v>
      </c>
      <c r="IN79">
        <v>0</v>
      </c>
      <c r="IO79">
        <v>0</v>
      </c>
      <c r="IP79">
        <v>0</v>
      </c>
      <c r="IQ79">
        <v>0</v>
      </c>
      <c r="IS79">
        <v>2</v>
      </c>
    </row>
    <row r="80" spans="1:258" x14ac:dyDescent="0.35">
      <c r="A80">
        <v>405516</v>
      </c>
      <c r="C80">
        <v>1</v>
      </c>
      <c r="D80" t="s">
        <v>594</v>
      </c>
      <c r="E80" t="s">
        <v>595</v>
      </c>
      <c r="F80" t="s">
        <v>596</v>
      </c>
      <c r="G80">
        <v>3</v>
      </c>
      <c r="I80">
        <v>0</v>
      </c>
      <c r="J80">
        <v>0</v>
      </c>
      <c r="K80">
        <v>1</v>
      </c>
      <c r="L80">
        <v>0</v>
      </c>
      <c r="M80">
        <v>0</v>
      </c>
      <c r="N80">
        <v>0</v>
      </c>
      <c r="O80">
        <v>0</v>
      </c>
      <c r="P80">
        <v>0</v>
      </c>
      <c r="Q80">
        <v>0</v>
      </c>
      <c r="R80">
        <v>1</v>
      </c>
      <c r="T80">
        <v>0</v>
      </c>
      <c r="U80">
        <v>1</v>
      </c>
      <c r="V80">
        <v>0</v>
      </c>
      <c r="X80">
        <v>4</v>
      </c>
      <c r="AA80">
        <v>4</v>
      </c>
      <c r="AC80">
        <v>1</v>
      </c>
      <c r="AD80">
        <v>0</v>
      </c>
      <c r="AE80">
        <v>0</v>
      </c>
      <c r="AF80">
        <v>0</v>
      </c>
      <c r="AG80">
        <v>0</v>
      </c>
      <c r="AH80">
        <v>0</v>
      </c>
      <c r="AJ80">
        <v>1</v>
      </c>
      <c r="AL80">
        <v>1</v>
      </c>
      <c r="AN80">
        <v>1</v>
      </c>
      <c r="AO80">
        <v>1</v>
      </c>
      <c r="AP80">
        <v>4</v>
      </c>
      <c r="AQ80">
        <v>2</v>
      </c>
      <c r="AS80">
        <v>2</v>
      </c>
      <c r="AT80">
        <v>1</v>
      </c>
      <c r="AU80">
        <v>2</v>
      </c>
      <c r="BC80">
        <v>0</v>
      </c>
      <c r="BD80">
        <v>0</v>
      </c>
      <c r="BE80">
        <v>0</v>
      </c>
      <c r="BF80">
        <v>0</v>
      </c>
      <c r="BG80">
        <v>1</v>
      </c>
      <c r="BH80">
        <v>0</v>
      </c>
      <c r="BI80">
        <v>0</v>
      </c>
      <c r="BJ80">
        <v>0</v>
      </c>
      <c r="BK80">
        <v>0</v>
      </c>
      <c r="BL80">
        <v>0</v>
      </c>
      <c r="BM80">
        <v>0</v>
      </c>
      <c r="BN80">
        <v>1</v>
      </c>
      <c r="BO80">
        <v>0</v>
      </c>
      <c r="BP80">
        <v>1</v>
      </c>
      <c r="BQ80">
        <v>0</v>
      </c>
      <c r="BR80">
        <v>1</v>
      </c>
      <c r="BS80">
        <v>0</v>
      </c>
      <c r="BU80">
        <v>16</v>
      </c>
      <c r="BV80">
        <v>4</v>
      </c>
      <c r="BX80">
        <v>6</v>
      </c>
      <c r="BY80">
        <v>6</v>
      </c>
      <c r="DI80">
        <v>1</v>
      </c>
      <c r="DJ80">
        <v>1</v>
      </c>
      <c r="DK80">
        <v>0</v>
      </c>
      <c r="DL80">
        <v>0</v>
      </c>
      <c r="DM80">
        <v>1</v>
      </c>
      <c r="DN80">
        <v>0</v>
      </c>
      <c r="DO80">
        <v>0</v>
      </c>
      <c r="DP80">
        <v>0</v>
      </c>
      <c r="DQ80">
        <v>0</v>
      </c>
      <c r="DR80">
        <v>0</v>
      </c>
      <c r="DT80">
        <v>0</v>
      </c>
      <c r="DU80">
        <v>0</v>
      </c>
      <c r="DV80">
        <v>0</v>
      </c>
      <c r="DW80">
        <v>0</v>
      </c>
      <c r="DX80">
        <v>1</v>
      </c>
      <c r="DY80">
        <v>0</v>
      </c>
      <c r="DZ80">
        <v>0</v>
      </c>
      <c r="EA80">
        <v>0</v>
      </c>
      <c r="EB80">
        <v>0</v>
      </c>
      <c r="EC80">
        <v>0</v>
      </c>
      <c r="ED80">
        <v>1</v>
      </c>
      <c r="EE80">
        <v>0</v>
      </c>
      <c r="EF80">
        <v>0</v>
      </c>
      <c r="IG80">
        <v>1</v>
      </c>
      <c r="IH80">
        <v>0</v>
      </c>
      <c r="II80">
        <v>1</v>
      </c>
      <c r="IJ80">
        <v>0</v>
      </c>
      <c r="IK80">
        <v>0</v>
      </c>
      <c r="IL80">
        <v>0</v>
      </c>
      <c r="IM80">
        <v>0</v>
      </c>
      <c r="IN80">
        <v>0</v>
      </c>
      <c r="IO80">
        <v>0</v>
      </c>
      <c r="IP80">
        <v>0</v>
      </c>
      <c r="IQ80">
        <v>0</v>
      </c>
      <c r="IS80">
        <v>2</v>
      </c>
    </row>
    <row r="81" spans="1:258" x14ac:dyDescent="0.35">
      <c r="A81">
        <v>393322</v>
      </c>
      <c r="C81">
        <v>1</v>
      </c>
      <c r="D81" t="s">
        <v>597</v>
      </c>
      <c r="E81" t="s">
        <v>598</v>
      </c>
      <c r="F81" t="s">
        <v>599</v>
      </c>
      <c r="G81">
        <v>4</v>
      </c>
      <c r="I81">
        <v>1</v>
      </c>
      <c r="J81">
        <v>0</v>
      </c>
      <c r="K81">
        <v>1</v>
      </c>
      <c r="L81">
        <v>1</v>
      </c>
      <c r="M81">
        <v>0</v>
      </c>
      <c r="N81">
        <v>0</v>
      </c>
      <c r="O81">
        <v>0</v>
      </c>
      <c r="P81">
        <v>1</v>
      </c>
      <c r="Q81">
        <v>0</v>
      </c>
      <c r="R81">
        <v>1</v>
      </c>
      <c r="T81">
        <v>1</v>
      </c>
      <c r="U81">
        <v>1</v>
      </c>
      <c r="V81">
        <v>1</v>
      </c>
      <c r="W81">
        <v>3</v>
      </c>
      <c r="X81">
        <v>38</v>
      </c>
      <c r="Y81">
        <v>5</v>
      </c>
      <c r="Z81">
        <v>3</v>
      </c>
      <c r="AA81">
        <v>38</v>
      </c>
      <c r="AB81">
        <v>5</v>
      </c>
      <c r="AC81">
        <v>1</v>
      </c>
      <c r="AD81">
        <v>0</v>
      </c>
      <c r="AE81">
        <v>0</v>
      </c>
      <c r="AF81">
        <v>1</v>
      </c>
      <c r="AG81">
        <v>1</v>
      </c>
      <c r="AH81">
        <v>0</v>
      </c>
      <c r="AJ81">
        <v>4</v>
      </c>
      <c r="AL81">
        <v>1</v>
      </c>
      <c r="AN81">
        <v>1</v>
      </c>
      <c r="AO81">
        <v>1</v>
      </c>
      <c r="AP81">
        <v>2</v>
      </c>
      <c r="AQ81">
        <v>1</v>
      </c>
      <c r="AR81">
        <v>1</v>
      </c>
      <c r="AS81">
        <v>2</v>
      </c>
      <c r="AT81">
        <v>1</v>
      </c>
      <c r="BX81">
        <v>5</v>
      </c>
      <c r="BY81">
        <v>5</v>
      </c>
      <c r="BZ81">
        <v>0</v>
      </c>
      <c r="CA81">
        <v>1</v>
      </c>
      <c r="CB81">
        <v>0</v>
      </c>
      <c r="CC81">
        <v>0</v>
      </c>
      <c r="CD81">
        <v>0</v>
      </c>
      <c r="CE81">
        <v>1</v>
      </c>
      <c r="CF81">
        <v>0</v>
      </c>
      <c r="CG81">
        <v>0</v>
      </c>
      <c r="CH81">
        <v>0</v>
      </c>
      <c r="CI81">
        <v>0</v>
      </c>
      <c r="CJ81">
        <v>0</v>
      </c>
      <c r="CK81">
        <v>1</v>
      </c>
      <c r="CL81">
        <v>0</v>
      </c>
      <c r="CM81">
        <v>0</v>
      </c>
      <c r="CN81">
        <v>0</v>
      </c>
      <c r="CO81">
        <v>0</v>
      </c>
      <c r="CQ81" t="s">
        <v>600</v>
      </c>
      <c r="CR81">
        <v>1</v>
      </c>
      <c r="CS81">
        <v>1</v>
      </c>
      <c r="CU81">
        <v>1</v>
      </c>
      <c r="CW81">
        <v>1</v>
      </c>
      <c r="CY81" t="s">
        <v>601</v>
      </c>
      <c r="CZ81">
        <v>1</v>
      </c>
      <c r="DB81">
        <v>11</v>
      </c>
      <c r="DD81" t="s">
        <v>602</v>
      </c>
      <c r="DE81">
        <v>3</v>
      </c>
    </row>
    <row r="82" spans="1:258" x14ac:dyDescent="0.35">
      <c r="A82">
        <v>396956</v>
      </c>
      <c r="C82">
        <v>1</v>
      </c>
      <c r="D82" t="s">
        <v>603</v>
      </c>
      <c r="E82" t="s">
        <v>604</v>
      </c>
      <c r="F82" t="s">
        <v>599</v>
      </c>
      <c r="G82">
        <v>3</v>
      </c>
      <c r="I82">
        <v>0</v>
      </c>
      <c r="J82">
        <v>0</v>
      </c>
      <c r="K82">
        <v>1</v>
      </c>
      <c r="L82">
        <v>0</v>
      </c>
      <c r="M82">
        <v>0</v>
      </c>
      <c r="N82">
        <v>0</v>
      </c>
      <c r="O82">
        <v>0</v>
      </c>
      <c r="P82">
        <v>0</v>
      </c>
      <c r="Q82">
        <v>0</v>
      </c>
      <c r="R82">
        <v>1</v>
      </c>
      <c r="T82">
        <v>0</v>
      </c>
      <c r="U82">
        <v>1</v>
      </c>
      <c r="V82">
        <v>0</v>
      </c>
      <c r="X82">
        <v>101</v>
      </c>
      <c r="AA82">
        <v>101</v>
      </c>
      <c r="AC82">
        <v>1</v>
      </c>
      <c r="AD82">
        <v>0</v>
      </c>
      <c r="AE82">
        <v>0</v>
      </c>
      <c r="AF82">
        <v>1</v>
      </c>
      <c r="AG82">
        <v>0</v>
      </c>
      <c r="AH82">
        <v>0</v>
      </c>
      <c r="AJ82">
        <v>1</v>
      </c>
      <c r="AL82">
        <v>1</v>
      </c>
      <c r="AN82">
        <v>1</v>
      </c>
      <c r="AO82">
        <v>1</v>
      </c>
      <c r="AP82">
        <v>2</v>
      </c>
      <c r="AQ82">
        <v>1</v>
      </c>
      <c r="AR82">
        <v>6</v>
      </c>
      <c r="AS82">
        <v>1</v>
      </c>
      <c r="AT82">
        <v>1</v>
      </c>
      <c r="AU82">
        <v>1</v>
      </c>
      <c r="AV82">
        <v>1</v>
      </c>
      <c r="AW82">
        <v>1</v>
      </c>
      <c r="AX82">
        <v>1</v>
      </c>
      <c r="AY82">
        <v>0</v>
      </c>
      <c r="AZ82">
        <v>0</v>
      </c>
      <c r="BA82">
        <v>0</v>
      </c>
      <c r="BC82">
        <v>0</v>
      </c>
      <c r="BD82">
        <v>0</v>
      </c>
      <c r="BE82">
        <v>1</v>
      </c>
      <c r="BF82">
        <v>0</v>
      </c>
      <c r="BG82">
        <v>1</v>
      </c>
      <c r="BH82">
        <v>0</v>
      </c>
      <c r="BI82">
        <v>0</v>
      </c>
      <c r="BJ82">
        <v>0</v>
      </c>
      <c r="BK82">
        <v>1</v>
      </c>
      <c r="BL82">
        <v>0</v>
      </c>
      <c r="BM82">
        <v>0</v>
      </c>
      <c r="BN82">
        <v>1</v>
      </c>
      <c r="BO82">
        <v>0</v>
      </c>
      <c r="BP82">
        <v>1</v>
      </c>
      <c r="BQ82">
        <v>0</v>
      </c>
      <c r="BR82">
        <v>0</v>
      </c>
      <c r="BS82">
        <v>0</v>
      </c>
      <c r="BU82">
        <v>14</v>
      </c>
      <c r="BV82">
        <v>4</v>
      </c>
      <c r="BX82">
        <v>3</v>
      </c>
      <c r="BY82">
        <v>3</v>
      </c>
      <c r="DI82">
        <v>1</v>
      </c>
      <c r="DJ82">
        <v>0</v>
      </c>
      <c r="DK82">
        <v>1</v>
      </c>
      <c r="DL82">
        <v>0</v>
      </c>
      <c r="DM82">
        <v>1</v>
      </c>
      <c r="DN82">
        <v>0</v>
      </c>
      <c r="DO82">
        <v>0</v>
      </c>
      <c r="DP82">
        <v>0</v>
      </c>
      <c r="DQ82">
        <v>1</v>
      </c>
      <c r="DR82">
        <v>0</v>
      </c>
      <c r="DS82" t="s">
        <v>605</v>
      </c>
      <c r="DT82">
        <v>0</v>
      </c>
      <c r="DU82">
        <v>1</v>
      </c>
      <c r="DV82">
        <v>0</v>
      </c>
      <c r="DW82">
        <v>0</v>
      </c>
      <c r="DX82">
        <v>1</v>
      </c>
      <c r="DY82">
        <v>0</v>
      </c>
      <c r="DZ82">
        <v>0</v>
      </c>
      <c r="EA82">
        <v>0</v>
      </c>
      <c r="EB82">
        <v>0</v>
      </c>
      <c r="EC82">
        <v>1</v>
      </c>
      <c r="ED82">
        <v>1</v>
      </c>
      <c r="EE82">
        <v>0</v>
      </c>
      <c r="EF82">
        <v>0</v>
      </c>
      <c r="EI82" t="s">
        <v>430</v>
      </c>
      <c r="EJ82">
        <v>1</v>
      </c>
      <c r="EK82">
        <v>1</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GJ82" t="s">
        <v>606</v>
      </c>
      <c r="GK82">
        <v>0</v>
      </c>
      <c r="GL82">
        <v>0</v>
      </c>
      <c r="GM82">
        <v>0</v>
      </c>
      <c r="GN82">
        <v>0</v>
      </c>
      <c r="GO82">
        <v>0</v>
      </c>
      <c r="GP82">
        <v>0</v>
      </c>
      <c r="GQ82">
        <v>0</v>
      </c>
      <c r="GR82">
        <v>0</v>
      </c>
      <c r="GS82">
        <v>0</v>
      </c>
      <c r="GT82">
        <v>0</v>
      </c>
      <c r="GU82">
        <v>0</v>
      </c>
      <c r="GV82">
        <v>0</v>
      </c>
      <c r="GW82">
        <v>0</v>
      </c>
      <c r="GX82">
        <v>1</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1</v>
      </c>
      <c r="HT82">
        <v>0</v>
      </c>
      <c r="HU82">
        <v>0</v>
      </c>
      <c r="HV82">
        <v>0</v>
      </c>
      <c r="HW82">
        <v>0</v>
      </c>
      <c r="HX82">
        <v>1</v>
      </c>
      <c r="HY82">
        <v>0</v>
      </c>
      <c r="HZ82">
        <v>0</v>
      </c>
      <c r="IA82">
        <v>0</v>
      </c>
      <c r="IB82">
        <v>0</v>
      </c>
      <c r="IC82">
        <v>0</v>
      </c>
      <c r="ID82">
        <v>0</v>
      </c>
      <c r="IG82">
        <v>1</v>
      </c>
      <c r="IH82">
        <v>1</v>
      </c>
      <c r="II82">
        <v>0</v>
      </c>
      <c r="IJ82">
        <v>0</v>
      </c>
      <c r="IK82">
        <v>0</v>
      </c>
      <c r="IL82">
        <v>0</v>
      </c>
      <c r="IM82">
        <v>0</v>
      </c>
      <c r="IN82">
        <v>0</v>
      </c>
      <c r="IO82">
        <v>1</v>
      </c>
      <c r="IP82">
        <v>0</v>
      </c>
      <c r="IQ82">
        <v>0</v>
      </c>
      <c r="IS82">
        <v>2</v>
      </c>
    </row>
    <row r="83" spans="1:258" x14ac:dyDescent="0.35">
      <c r="A83">
        <v>371044</v>
      </c>
      <c r="C83">
        <v>1</v>
      </c>
      <c r="D83" t="s">
        <v>607</v>
      </c>
      <c r="E83" t="s">
        <v>608</v>
      </c>
      <c r="F83" t="s">
        <v>609</v>
      </c>
      <c r="G83">
        <v>3</v>
      </c>
      <c r="I83">
        <v>1</v>
      </c>
      <c r="J83">
        <v>0</v>
      </c>
      <c r="K83">
        <v>1</v>
      </c>
      <c r="L83">
        <v>0</v>
      </c>
      <c r="M83">
        <v>0</v>
      </c>
      <c r="N83">
        <v>0</v>
      </c>
      <c r="O83">
        <v>0</v>
      </c>
      <c r="P83">
        <v>0</v>
      </c>
      <c r="Q83">
        <v>0</v>
      </c>
      <c r="R83">
        <v>1</v>
      </c>
      <c r="T83">
        <v>1</v>
      </c>
      <c r="U83">
        <v>1</v>
      </c>
      <c r="V83">
        <v>1</v>
      </c>
      <c r="W83">
        <v>0</v>
      </c>
      <c r="X83">
        <v>85</v>
      </c>
      <c r="Y83">
        <v>30</v>
      </c>
      <c r="AA83">
        <v>85</v>
      </c>
      <c r="AB83">
        <v>30</v>
      </c>
      <c r="AC83">
        <v>1</v>
      </c>
      <c r="AD83">
        <v>0</v>
      </c>
      <c r="AE83">
        <v>0</v>
      </c>
      <c r="AF83">
        <v>0</v>
      </c>
      <c r="AG83">
        <v>1</v>
      </c>
      <c r="AH83">
        <v>0</v>
      </c>
      <c r="AJ83">
        <v>1</v>
      </c>
      <c r="AL83">
        <v>1</v>
      </c>
      <c r="AN83">
        <v>1</v>
      </c>
      <c r="AO83">
        <v>1</v>
      </c>
      <c r="AP83">
        <v>2</v>
      </c>
      <c r="AQ83">
        <v>2</v>
      </c>
      <c r="AS83">
        <v>1</v>
      </c>
      <c r="AT83">
        <v>1</v>
      </c>
      <c r="BX83">
        <v>4</v>
      </c>
      <c r="BY83">
        <v>5</v>
      </c>
      <c r="BZ83">
        <v>1</v>
      </c>
      <c r="CA83">
        <v>1</v>
      </c>
      <c r="CB83">
        <v>1</v>
      </c>
      <c r="CC83">
        <v>1</v>
      </c>
      <c r="CD83">
        <v>0</v>
      </c>
      <c r="CE83">
        <v>0</v>
      </c>
      <c r="CF83">
        <v>0</v>
      </c>
      <c r="CG83">
        <v>0</v>
      </c>
      <c r="CH83">
        <v>0</v>
      </c>
      <c r="CI83">
        <v>1</v>
      </c>
      <c r="CJ83">
        <v>0</v>
      </c>
      <c r="CK83">
        <v>1</v>
      </c>
      <c r="CL83">
        <v>1</v>
      </c>
      <c r="CM83">
        <v>0</v>
      </c>
      <c r="CN83">
        <v>0</v>
      </c>
      <c r="CO83">
        <v>0</v>
      </c>
      <c r="CQ83" t="s">
        <v>610</v>
      </c>
      <c r="CR83">
        <v>1</v>
      </c>
      <c r="CS83">
        <v>1</v>
      </c>
      <c r="CU83">
        <v>1</v>
      </c>
      <c r="CW83">
        <v>2</v>
      </c>
      <c r="CZ83">
        <v>1</v>
      </c>
      <c r="DB83">
        <v>11</v>
      </c>
      <c r="DD83" t="s">
        <v>611</v>
      </c>
      <c r="DE83">
        <v>3</v>
      </c>
      <c r="DF83" t="s">
        <v>612</v>
      </c>
      <c r="DG83">
        <v>4</v>
      </c>
      <c r="DI83">
        <v>1</v>
      </c>
      <c r="DJ83">
        <v>0</v>
      </c>
      <c r="DK83">
        <v>1</v>
      </c>
      <c r="DL83">
        <v>1</v>
      </c>
      <c r="DM83">
        <v>1</v>
      </c>
      <c r="DN83">
        <v>1</v>
      </c>
      <c r="DO83">
        <v>1</v>
      </c>
      <c r="DP83">
        <v>0</v>
      </c>
      <c r="DQ83">
        <v>0</v>
      </c>
      <c r="DR83">
        <v>0</v>
      </c>
      <c r="DT83">
        <v>1</v>
      </c>
      <c r="DU83">
        <v>1</v>
      </c>
      <c r="DV83">
        <v>0</v>
      </c>
      <c r="DW83">
        <v>1</v>
      </c>
      <c r="DX83">
        <v>1</v>
      </c>
      <c r="DY83">
        <v>0</v>
      </c>
      <c r="DZ83">
        <v>0</v>
      </c>
      <c r="EA83">
        <v>1</v>
      </c>
      <c r="EB83">
        <v>0</v>
      </c>
      <c r="EC83">
        <v>1</v>
      </c>
      <c r="ED83">
        <v>1</v>
      </c>
      <c r="EE83">
        <v>0</v>
      </c>
      <c r="EF83">
        <v>0</v>
      </c>
      <c r="EG83" t="s">
        <v>613</v>
      </c>
      <c r="EH83">
        <v>5</v>
      </c>
      <c r="EI83" t="s">
        <v>614</v>
      </c>
      <c r="EJ83">
        <v>1</v>
      </c>
      <c r="EK83">
        <v>1</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GJ83" t="s">
        <v>615</v>
      </c>
      <c r="GK83">
        <v>0</v>
      </c>
      <c r="GL83">
        <v>0</v>
      </c>
      <c r="GM83">
        <v>0</v>
      </c>
      <c r="GN83">
        <v>0</v>
      </c>
      <c r="GO83">
        <v>0</v>
      </c>
      <c r="GP83">
        <v>0</v>
      </c>
      <c r="GQ83">
        <v>0</v>
      </c>
      <c r="GR83">
        <v>0</v>
      </c>
      <c r="GS83">
        <v>0</v>
      </c>
      <c r="GT83">
        <v>0</v>
      </c>
      <c r="GU83">
        <v>0</v>
      </c>
      <c r="GV83">
        <v>0</v>
      </c>
      <c r="GW83">
        <v>0</v>
      </c>
      <c r="GX83">
        <v>0</v>
      </c>
      <c r="GY83">
        <v>0</v>
      </c>
      <c r="GZ83">
        <v>0</v>
      </c>
      <c r="HA83">
        <v>0</v>
      </c>
      <c r="HB83">
        <v>0</v>
      </c>
      <c r="HC83">
        <v>1</v>
      </c>
      <c r="HD83">
        <v>0</v>
      </c>
      <c r="HE83">
        <v>0</v>
      </c>
      <c r="HF83">
        <v>0</v>
      </c>
      <c r="HG83">
        <v>0</v>
      </c>
      <c r="HH83">
        <v>0</v>
      </c>
      <c r="HI83">
        <v>0</v>
      </c>
      <c r="HJ83">
        <v>0</v>
      </c>
      <c r="HK83">
        <v>0</v>
      </c>
      <c r="HL83">
        <v>0</v>
      </c>
      <c r="HM83">
        <v>0</v>
      </c>
      <c r="HN83">
        <v>0</v>
      </c>
      <c r="HO83">
        <v>0</v>
      </c>
      <c r="HP83">
        <v>0</v>
      </c>
      <c r="HQ83">
        <v>0</v>
      </c>
      <c r="HR83">
        <v>0</v>
      </c>
      <c r="HS83">
        <v>1</v>
      </c>
      <c r="HT83">
        <v>0</v>
      </c>
      <c r="HU83">
        <v>1</v>
      </c>
      <c r="HV83">
        <v>0</v>
      </c>
      <c r="HW83">
        <v>0</v>
      </c>
      <c r="HX83">
        <v>0</v>
      </c>
      <c r="HY83">
        <v>0</v>
      </c>
      <c r="HZ83">
        <v>0</v>
      </c>
      <c r="IA83">
        <v>0</v>
      </c>
      <c r="IB83">
        <v>0</v>
      </c>
      <c r="IC83">
        <v>0</v>
      </c>
      <c r="ID83">
        <v>0</v>
      </c>
      <c r="IG83">
        <v>1</v>
      </c>
      <c r="IH83">
        <v>0</v>
      </c>
      <c r="II83">
        <v>1</v>
      </c>
      <c r="IJ83">
        <v>0</v>
      </c>
      <c r="IK83">
        <v>0</v>
      </c>
      <c r="IL83">
        <v>0</v>
      </c>
      <c r="IM83">
        <v>1</v>
      </c>
      <c r="IN83">
        <v>0</v>
      </c>
      <c r="IO83">
        <v>0</v>
      </c>
      <c r="IP83">
        <v>0</v>
      </c>
      <c r="IQ83">
        <v>0</v>
      </c>
      <c r="IS83">
        <v>1</v>
      </c>
      <c r="IT83">
        <v>1</v>
      </c>
      <c r="IU83">
        <v>1</v>
      </c>
      <c r="IV83">
        <v>1</v>
      </c>
      <c r="IW83">
        <v>0</v>
      </c>
    </row>
    <row r="84" spans="1:258" x14ac:dyDescent="0.35">
      <c r="A84">
        <v>393362</v>
      </c>
      <c r="C84">
        <v>1</v>
      </c>
      <c r="D84" t="s">
        <v>616</v>
      </c>
      <c r="E84" t="s">
        <v>617</v>
      </c>
      <c r="F84" t="s">
        <v>599</v>
      </c>
      <c r="G84">
        <v>3</v>
      </c>
      <c r="I84">
        <v>1</v>
      </c>
      <c r="J84">
        <v>0</v>
      </c>
      <c r="K84">
        <v>1</v>
      </c>
      <c r="L84">
        <v>0</v>
      </c>
      <c r="M84">
        <v>1</v>
      </c>
      <c r="N84">
        <v>0</v>
      </c>
      <c r="O84">
        <v>0</v>
      </c>
      <c r="P84">
        <v>1</v>
      </c>
      <c r="Q84">
        <v>0</v>
      </c>
      <c r="R84">
        <v>1</v>
      </c>
      <c r="T84">
        <v>0</v>
      </c>
      <c r="U84">
        <v>1</v>
      </c>
      <c r="V84">
        <v>1</v>
      </c>
      <c r="X84">
        <v>55</v>
      </c>
      <c r="Y84">
        <v>20</v>
      </c>
      <c r="AA84">
        <v>55</v>
      </c>
      <c r="AB84">
        <v>20</v>
      </c>
      <c r="AC84">
        <v>1</v>
      </c>
      <c r="AD84">
        <v>0</v>
      </c>
      <c r="AE84">
        <v>0</v>
      </c>
      <c r="AF84">
        <v>1</v>
      </c>
      <c r="AG84">
        <v>0</v>
      </c>
      <c r="AH84">
        <v>0</v>
      </c>
      <c r="AJ84">
        <v>4</v>
      </c>
      <c r="AL84">
        <v>1</v>
      </c>
      <c r="AN84">
        <v>1</v>
      </c>
      <c r="AO84">
        <v>1</v>
      </c>
      <c r="AP84">
        <v>2</v>
      </c>
      <c r="AQ84">
        <v>1</v>
      </c>
      <c r="AR84">
        <v>6</v>
      </c>
      <c r="AS84">
        <v>1</v>
      </c>
      <c r="AT84">
        <v>1</v>
      </c>
      <c r="AU84">
        <v>1</v>
      </c>
      <c r="AV84">
        <v>1</v>
      </c>
      <c r="AW84">
        <v>0</v>
      </c>
      <c r="AX84">
        <v>0</v>
      </c>
      <c r="AY84">
        <v>1</v>
      </c>
      <c r="AZ84">
        <v>0</v>
      </c>
      <c r="BA84">
        <v>0</v>
      </c>
    </row>
    <row r="85" spans="1:258" x14ac:dyDescent="0.35">
      <c r="A85">
        <v>405253</v>
      </c>
      <c r="C85">
        <v>1</v>
      </c>
      <c r="D85" t="s">
        <v>618</v>
      </c>
      <c r="E85" t="s">
        <v>619</v>
      </c>
      <c r="F85" t="s">
        <v>599</v>
      </c>
      <c r="G85">
        <v>3</v>
      </c>
      <c r="I85">
        <v>1</v>
      </c>
      <c r="J85">
        <v>1</v>
      </c>
      <c r="K85">
        <v>1</v>
      </c>
      <c r="L85">
        <v>0</v>
      </c>
      <c r="M85">
        <v>0</v>
      </c>
      <c r="N85">
        <v>0</v>
      </c>
      <c r="O85">
        <v>0</v>
      </c>
      <c r="P85">
        <v>0</v>
      </c>
      <c r="Q85">
        <v>0</v>
      </c>
      <c r="R85">
        <v>1</v>
      </c>
      <c r="T85">
        <v>0</v>
      </c>
      <c r="U85">
        <v>1</v>
      </c>
      <c r="V85">
        <v>1</v>
      </c>
      <c r="X85">
        <v>816</v>
      </c>
      <c r="Y85">
        <v>34</v>
      </c>
      <c r="AA85">
        <v>816</v>
      </c>
      <c r="AB85">
        <v>34</v>
      </c>
      <c r="AC85">
        <v>1</v>
      </c>
      <c r="AD85">
        <v>0</v>
      </c>
      <c r="AE85">
        <v>0</v>
      </c>
      <c r="AF85">
        <v>0</v>
      </c>
      <c r="AG85">
        <v>0</v>
      </c>
      <c r="AH85">
        <v>0</v>
      </c>
      <c r="AJ85">
        <v>1</v>
      </c>
      <c r="AL85">
        <v>1</v>
      </c>
      <c r="AN85">
        <v>1</v>
      </c>
      <c r="AO85">
        <v>1</v>
      </c>
      <c r="AP85">
        <v>4</v>
      </c>
      <c r="AQ85">
        <v>1</v>
      </c>
      <c r="AR85">
        <v>6</v>
      </c>
      <c r="AS85">
        <v>1</v>
      </c>
      <c r="AT85">
        <v>1</v>
      </c>
      <c r="AU85">
        <v>1</v>
      </c>
      <c r="AV85">
        <v>1</v>
      </c>
      <c r="AW85">
        <v>1</v>
      </c>
      <c r="AX85">
        <v>0</v>
      </c>
      <c r="AY85">
        <v>0</v>
      </c>
      <c r="AZ85">
        <v>0</v>
      </c>
      <c r="BA85">
        <v>0</v>
      </c>
      <c r="BC85">
        <v>0</v>
      </c>
      <c r="BD85">
        <v>0</v>
      </c>
      <c r="BE85">
        <v>0</v>
      </c>
      <c r="BF85">
        <v>0</v>
      </c>
      <c r="BG85">
        <v>0</v>
      </c>
      <c r="BH85">
        <v>0</v>
      </c>
      <c r="BI85">
        <v>0</v>
      </c>
      <c r="BJ85">
        <v>0</v>
      </c>
      <c r="BK85">
        <v>1</v>
      </c>
      <c r="BL85">
        <v>0</v>
      </c>
      <c r="BM85">
        <v>0</v>
      </c>
      <c r="BN85">
        <v>1</v>
      </c>
      <c r="BO85">
        <v>0</v>
      </c>
      <c r="BP85">
        <v>0</v>
      </c>
      <c r="BQ85">
        <v>0</v>
      </c>
      <c r="BR85">
        <v>0</v>
      </c>
      <c r="BS85">
        <v>0</v>
      </c>
      <c r="BU85">
        <v>16</v>
      </c>
      <c r="BV85">
        <v>4</v>
      </c>
      <c r="BX85">
        <v>5</v>
      </c>
      <c r="BY85">
        <v>4</v>
      </c>
      <c r="DI85">
        <v>1</v>
      </c>
      <c r="DJ85">
        <v>0</v>
      </c>
      <c r="DK85">
        <v>1</v>
      </c>
      <c r="DL85">
        <v>0</v>
      </c>
      <c r="DM85">
        <v>1</v>
      </c>
      <c r="DN85">
        <v>1</v>
      </c>
      <c r="DO85">
        <v>0</v>
      </c>
      <c r="DP85">
        <v>0</v>
      </c>
      <c r="DQ85">
        <v>0</v>
      </c>
      <c r="DR85">
        <v>0</v>
      </c>
      <c r="DT85">
        <v>0</v>
      </c>
      <c r="DU85">
        <v>1</v>
      </c>
      <c r="DV85">
        <v>0</v>
      </c>
      <c r="DW85">
        <v>1</v>
      </c>
      <c r="DX85">
        <v>0</v>
      </c>
      <c r="DY85">
        <v>0</v>
      </c>
      <c r="DZ85">
        <v>0</v>
      </c>
      <c r="EA85">
        <v>0</v>
      </c>
      <c r="EB85">
        <v>0</v>
      </c>
      <c r="EC85">
        <v>0</v>
      </c>
      <c r="ED85">
        <v>1</v>
      </c>
      <c r="EE85">
        <v>0</v>
      </c>
      <c r="EF85">
        <v>0</v>
      </c>
      <c r="EI85" t="s">
        <v>620</v>
      </c>
      <c r="EJ85">
        <v>1</v>
      </c>
      <c r="EK85">
        <v>1</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IG85">
        <v>0</v>
      </c>
      <c r="IH85">
        <v>0</v>
      </c>
      <c r="II85">
        <v>0</v>
      </c>
      <c r="IJ85">
        <v>0</v>
      </c>
      <c r="IK85">
        <v>0</v>
      </c>
      <c r="IL85">
        <v>0</v>
      </c>
      <c r="IM85">
        <v>0</v>
      </c>
      <c r="IN85">
        <v>0</v>
      </c>
      <c r="IO85">
        <v>0</v>
      </c>
      <c r="IP85">
        <v>0</v>
      </c>
      <c r="IQ85">
        <v>1</v>
      </c>
      <c r="IS85">
        <v>2</v>
      </c>
    </row>
    <row r="86" spans="1:258" x14ac:dyDescent="0.35">
      <c r="A86">
        <v>405530</v>
      </c>
      <c r="C86">
        <v>1</v>
      </c>
      <c r="D86" t="s">
        <v>621</v>
      </c>
      <c r="E86" t="s">
        <v>622</v>
      </c>
      <c r="F86" t="s">
        <v>599</v>
      </c>
      <c r="G86">
        <v>4</v>
      </c>
      <c r="I86">
        <v>1</v>
      </c>
      <c r="J86">
        <v>0</v>
      </c>
      <c r="K86">
        <v>0</v>
      </c>
      <c r="L86">
        <v>1</v>
      </c>
      <c r="M86">
        <v>0</v>
      </c>
      <c r="N86">
        <v>0</v>
      </c>
      <c r="O86">
        <v>0</v>
      </c>
      <c r="P86">
        <v>1</v>
      </c>
      <c r="Q86">
        <v>0</v>
      </c>
      <c r="R86">
        <v>1</v>
      </c>
      <c r="T86">
        <v>0</v>
      </c>
      <c r="U86">
        <v>1</v>
      </c>
      <c r="V86">
        <v>0</v>
      </c>
      <c r="X86">
        <v>14</v>
      </c>
      <c r="AA86">
        <v>14</v>
      </c>
      <c r="AC86">
        <v>1</v>
      </c>
      <c r="AD86">
        <v>0</v>
      </c>
      <c r="AE86">
        <v>0</v>
      </c>
      <c r="AF86">
        <v>0</v>
      </c>
      <c r="AG86">
        <v>0</v>
      </c>
      <c r="AH86">
        <v>0</v>
      </c>
      <c r="AJ86">
        <v>1</v>
      </c>
      <c r="AL86">
        <v>1</v>
      </c>
      <c r="AN86">
        <v>1</v>
      </c>
      <c r="AO86">
        <v>1</v>
      </c>
      <c r="AP86">
        <v>3</v>
      </c>
      <c r="AQ86">
        <v>2</v>
      </c>
      <c r="AS86">
        <v>2</v>
      </c>
      <c r="AT86">
        <v>1</v>
      </c>
      <c r="AU86">
        <v>1</v>
      </c>
      <c r="AV86">
        <v>0</v>
      </c>
      <c r="AW86">
        <v>0</v>
      </c>
      <c r="AX86">
        <v>0</v>
      </c>
      <c r="AY86">
        <v>0</v>
      </c>
      <c r="AZ86">
        <v>1</v>
      </c>
      <c r="BA86">
        <v>0</v>
      </c>
      <c r="BC86">
        <v>1</v>
      </c>
      <c r="BD86">
        <v>0</v>
      </c>
      <c r="BE86">
        <v>1</v>
      </c>
      <c r="BF86">
        <v>0</v>
      </c>
      <c r="BG86">
        <v>0</v>
      </c>
      <c r="BH86">
        <v>1</v>
      </c>
      <c r="BI86">
        <v>0</v>
      </c>
      <c r="BJ86">
        <v>0</v>
      </c>
      <c r="BK86">
        <v>1</v>
      </c>
      <c r="BL86">
        <v>0</v>
      </c>
      <c r="BM86">
        <v>0</v>
      </c>
      <c r="BN86">
        <v>1</v>
      </c>
      <c r="BO86">
        <v>0</v>
      </c>
      <c r="BP86">
        <v>1</v>
      </c>
      <c r="BQ86">
        <v>0</v>
      </c>
      <c r="BR86">
        <v>0</v>
      </c>
      <c r="BS86">
        <v>0</v>
      </c>
      <c r="BU86">
        <v>12</v>
      </c>
      <c r="BV86">
        <v>4</v>
      </c>
      <c r="BX86">
        <v>4</v>
      </c>
      <c r="BY86">
        <v>4</v>
      </c>
      <c r="DI86">
        <v>0</v>
      </c>
      <c r="DJ86">
        <v>0</v>
      </c>
      <c r="DK86">
        <v>1</v>
      </c>
      <c r="DL86">
        <v>1</v>
      </c>
      <c r="DM86">
        <v>0</v>
      </c>
      <c r="DN86">
        <v>1</v>
      </c>
      <c r="DO86">
        <v>0</v>
      </c>
      <c r="DP86">
        <v>0</v>
      </c>
      <c r="DQ86">
        <v>0</v>
      </c>
      <c r="DR86">
        <v>0</v>
      </c>
      <c r="DT86">
        <v>0</v>
      </c>
      <c r="DU86">
        <v>0</v>
      </c>
      <c r="DV86">
        <v>1</v>
      </c>
      <c r="DW86">
        <v>1</v>
      </c>
      <c r="DX86">
        <v>1</v>
      </c>
      <c r="DY86">
        <v>0</v>
      </c>
      <c r="DZ86">
        <v>0</v>
      </c>
      <c r="EA86">
        <v>1</v>
      </c>
      <c r="EB86">
        <v>0</v>
      </c>
      <c r="EC86">
        <v>0</v>
      </c>
      <c r="ED86">
        <v>1</v>
      </c>
      <c r="EE86">
        <v>0</v>
      </c>
      <c r="EF86">
        <v>0</v>
      </c>
      <c r="FF86" t="s">
        <v>623</v>
      </c>
      <c r="FG86">
        <v>1</v>
      </c>
      <c r="FH86">
        <v>0</v>
      </c>
      <c r="FI86">
        <v>0</v>
      </c>
      <c r="FJ86">
        <v>1</v>
      </c>
      <c r="FK86">
        <v>0</v>
      </c>
      <c r="FL86">
        <v>0</v>
      </c>
      <c r="FM86">
        <v>0</v>
      </c>
      <c r="FN86">
        <v>0</v>
      </c>
      <c r="FO86">
        <v>0</v>
      </c>
      <c r="FP86">
        <v>0</v>
      </c>
      <c r="FQ86">
        <v>0</v>
      </c>
      <c r="FR86">
        <v>0</v>
      </c>
      <c r="FS86">
        <v>0</v>
      </c>
      <c r="FT86">
        <v>0</v>
      </c>
      <c r="FU86">
        <v>0</v>
      </c>
      <c r="FV86">
        <v>0</v>
      </c>
      <c r="FW86">
        <v>0</v>
      </c>
      <c r="FX86">
        <v>0</v>
      </c>
      <c r="FY86">
        <v>0</v>
      </c>
      <c r="IG86">
        <v>1</v>
      </c>
      <c r="IH86">
        <v>0</v>
      </c>
      <c r="II86">
        <v>0</v>
      </c>
      <c r="IJ86">
        <v>1</v>
      </c>
      <c r="IK86">
        <v>0</v>
      </c>
      <c r="IL86">
        <v>0</v>
      </c>
      <c r="IM86">
        <v>1</v>
      </c>
      <c r="IN86">
        <v>0</v>
      </c>
      <c r="IO86">
        <v>0</v>
      </c>
      <c r="IP86">
        <v>0</v>
      </c>
      <c r="IQ86">
        <v>0</v>
      </c>
      <c r="IS86">
        <v>2</v>
      </c>
    </row>
    <row r="87" spans="1:258" x14ac:dyDescent="0.35">
      <c r="A87">
        <v>362826</v>
      </c>
      <c r="C87">
        <v>1</v>
      </c>
      <c r="D87" t="s">
        <v>624</v>
      </c>
      <c r="E87" t="s">
        <v>625</v>
      </c>
      <c r="F87" t="s">
        <v>626</v>
      </c>
      <c r="G87">
        <v>3</v>
      </c>
      <c r="I87">
        <v>0</v>
      </c>
      <c r="J87">
        <v>0</v>
      </c>
      <c r="K87">
        <v>1</v>
      </c>
      <c r="L87">
        <v>0</v>
      </c>
      <c r="M87">
        <v>0</v>
      </c>
      <c r="N87">
        <v>0</v>
      </c>
      <c r="O87">
        <v>0</v>
      </c>
      <c r="P87">
        <v>0</v>
      </c>
      <c r="Q87">
        <v>0</v>
      </c>
      <c r="R87">
        <v>1</v>
      </c>
      <c r="T87">
        <v>0</v>
      </c>
      <c r="U87">
        <v>1</v>
      </c>
      <c r="V87">
        <v>0</v>
      </c>
      <c r="X87">
        <v>77</v>
      </c>
      <c r="AA87">
        <v>77</v>
      </c>
      <c r="AC87">
        <v>0</v>
      </c>
      <c r="AD87">
        <v>1</v>
      </c>
      <c r="AE87">
        <v>0</v>
      </c>
      <c r="AF87">
        <v>0</v>
      </c>
      <c r="AG87">
        <v>0</v>
      </c>
      <c r="AH87">
        <v>0</v>
      </c>
      <c r="AJ87">
        <v>2</v>
      </c>
      <c r="AL87">
        <v>3</v>
      </c>
      <c r="AN87">
        <v>1</v>
      </c>
      <c r="AO87">
        <v>1</v>
      </c>
      <c r="AP87">
        <v>3</v>
      </c>
      <c r="AQ87">
        <v>1</v>
      </c>
      <c r="AR87">
        <v>6</v>
      </c>
      <c r="AS87">
        <v>2</v>
      </c>
      <c r="AT87">
        <v>1</v>
      </c>
      <c r="AU87">
        <v>2</v>
      </c>
      <c r="BC87">
        <v>0</v>
      </c>
      <c r="BD87">
        <v>0</v>
      </c>
      <c r="BE87">
        <v>0</v>
      </c>
      <c r="BF87">
        <v>0</v>
      </c>
      <c r="BG87">
        <v>0</v>
      </c>
      <c r="BH87">
        <v>0</v>
      </c>
      <c r="BI87">
        <v>0</v>
      </c>
      <c r="BJ87">
        <v>0</v>
      </c>
      <c r="BK87">
        <v>0</v>
      </c>
      <c r="BL87">
        <v>0</v>
      </c>
      <c r="BM87">
        <v>0</v>
      </c>
      <c r="BN87">
        <v>1</v>
      </c>
      <c r="BO87">
        <v>0</v>
      </c>
      <c r="BP87">
        <v>0</v>
      </c>
      <c r="BQ87">
        <v>0</v>
      </c>
      <c r="BR87">
        <v>0</v>
      </c>
      <c r="BS87">
        <v>0</v>
      </c>
      <c r="BU87">
        <v>12</v>
      </c>
      <c r="BV87">
        <v>4</v>
      </c>
      <c r="BX87">
        <v>5</v>
      </c>
      <c r="BY87">
        <v>5</v>
      </c>
      <c r="DI87">
        <v>0</v>
      </c>
      <c r="DJ87">
        <v>0</v>
      </c>
      <c r="DK87">
        <v>0</v>
      </c>
      <c r="DL87">
        <v>0</v>
      </c>
      <c r="DM87">
        <v>0</v>
      </c>
      <c r="DN87">
        <v>1</v>
      </c>
      <c r="DO87">
        <v>0</v>
      </c>
      <c r="DP87">
        <v>0</v>
      </c>
      <c r="DQ87">
        <v>0</v>
      </c>
      <c r="DR87">
        <v>0</v>
      </c>
      <c r="DT87">
        <v>0</v>
      </c>
      <c r="DU87">
        <v>1</v>
      </c>
      <c r="DV87">
        <v>0</v>
      </c>
      <c r="DW87">
        <v>0</v>
      </c>
      <c r="DX87">
        <v>0</v>
      </c>
      <c r="DY87">
        <v>0</v>
      </c>
      <c r="DZ87">
        <v>0</v>
      </c>
      <c r="EA87">
        <v>0</v>
      </c>
      <c r="EB87">
        <v>0</v>
      </c>
      <c r="EC87">
        <v>0</v>
      </c>
      <c r="ED87">
        <v>0</v>
      </c>
      <c r="EE87">
        <v>0</v>
      </c>
      <c r="EF87">
        <v>0</v>
      </c>
      <c r="EI87" t="s">
        <v>627</v>
      </c>
      <c r="EJ87">
        <v>1</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IG87">
        <v>0</v>
      </c>
      <c r="IH87">
        <v>0</v>
      </c>
      <c r="II87">
        <v>0</v>
      </c>
      <c r="IJ87">
        <v>0</v>
      </c>
      <c r="IK87">
        <v>0</v>
      </c>
      <c r="IL87">
        <v>0</v>
      </c>
      <c r="IM87">
        <v>0</v>
      </c>
      <c r="IN87">
        <v>0</v>
      </c>
      <c r="IO87">
        <v>0</v>
      </c>
      <c r="IP87">
        <v>0</v>
      </c>
      <c r="IQ87">
        <v>1</v>
      </c>
      <c r="IS87">
        <v>2</v>
      </c>
    </row>
    <row r="88" spans="1:258" x14ac:dyDescent="0.35">
      <c r="A88">
        <v>405440</v>
      </c>
      <c r="C88">
        <v>1</v>
      </c>
      <c r="D88" t="s">
        <v>628</v>
      </c>
      <c r="E88" t="s">
        <v>629</v>
      </c>
      <c r="F88" t="s">
        <v>626</v>
      </c>
      <c r="G88">
        <v>3</v>
      </c>
      <c r="I88">
        <v>0</v>
      </c>
      <c r="J88">
        <v>0</v>
      </c>
      <c r="K88">
        <v>1</v>
      </c>
      <c r="L88">
        <v>0</v>
      </c>
      <c r="M88">
        <v>0</v>
      </c>
      <c r="N88">
        <v>0</v>
      </c>
      <c r="O88">
        <v>0</v>
      </c>
      <c r="P88">
        <v>0</v>
      </c>
      <c r="Q88">
        <v>0</v>
      </c>
      <c r="R88">
        <v>1</v>
      </c>
      <c r="T88">
        <v>1</v>
      </c>
      <c r="U88">
        <v>1</v>
      </c>
      <c r="V88">
        <v>0</v>
      </c>
      <c r="W88">
        <v>120</v>
      </c>
      <c r="X88">
        <v>250</v>
      </c>
      <c r="Z88">
        <v>120</v>
      </c>
      <c r="AA88">
        <v>250</v>
      </c>
      <c r="AC88">
        <v>1</v>
      </c>
      <c r="AD88">
        <v>0</v>
      </c>
      <c r="AE88">
        <v>0</v>
      </c>
      <c r="AF88">
        <v>0</v>
      </c>
      <c r="AG88">
        <v>0</v>
      </c>
      <c r="AH88">
        <v>0</v>
      </c>
      <c r="AJ88">
        <v>1</v>
      </c>
      <c r="AL88">
        <v>4</v>
      </c>
      <c r="AN88">
        <v>1</v>
      </c>
      <c r="AO88">
        <v>1</v>
      </c>
      <c r="AP88">
        <v>4</v>
      </c>
      <c r="AQ88">
        <v>2</v>
      </c>
      <c r="AS88">
        <v>2</v>
      </c>
      <c r="AT88">
        <v>1</v>
      </c>
      <c r="AU88">
        <v>1</v>
      </c>
      <c r="AV88">
        <v>1</v>
      </c>
      <c r="AW88">
        <v>0</v>
      </c>
      <c r="AX88">
        <v>0</v>
      </c>
      <c r="AY88">
        <v>0</v>
      </c>
      <c r="AZ88">
        <v>0</v>
      </c>
      <c r="BA88">
        <v>0</v>
      </c>
      <c r="BC88">
        <v>1</v>
      </c>
      <c r="BD88">
        <v>0</v>
      </c>
      <c r="BE88">
        <v>0</v>
      </c>
      <c r="BF88">
        <v>0</v>
      </c>
      <c r="BG88">
        <v>1</v>
      </c>
      <c r="BH88">
        <v>1</v>
      </c>
      <c r="BI88">
        <v>0</v>
      </c>
      <c r="BJ88">
        <v>0</v>
      </c>
      <c r="BK88">
        <v>1</v>
      </c>
      <c r="BL88">
        <v>0</v>
      </c>
      <c r="BM88">
        <v>0</v>
      </c>
      <c r="BN88">
        <v>1</v>
      </c>
      <c r="BO88">
        <v>0</v>
      </c>
      <c r="BP88">
        <v>1</v>
      </c>
      <c r="BQ88">
        <v>0</v>
      </c>
      <c r="BR88">
        <v>0</v>
      </c>
      <c r="BS88">
        <v>0</v>
      </c>
      <c r="BU88">
        <v>9</v>
      </c>
      <c r="BV88">
        <v>3</v>
      </c>
      <c r="BW88" t="s">
        <v>630</v>
      </c>
      <c r="BX88">
        <v>3</v>
      </c>
      <c r="BY88">
        <v>3</v>
      </c>
      <c r="DI88">
        <v>1</v>
      </c>
      <c r="DJ88">
        <v>0</v>
      </c>
      <c r="DK88">
        <v>0</v>
      </c>
      <c r="DL88">
        <v>0</v>
      </c>
      <c r="DM88">
        <v>0</v>
      </c>
      <c r="DN88">
        <v>0</v>
      </c>
      <c r="DO88">
        <v>0</v>
      </c>
      <c r="DP88">
        <v>0</v>
      </c>
      <c r="DQ88">
        <v>0</v>
      </c>
      <c r="DR88">
        <v>0</v>
      </c>
      <c r="DT88">
        <v>0</v>
      </c>
      <c r="DU88">
        <v>1</v>
      </c>
      <c r="DV88">
        <v>0</v>
      </c>
      <c r="DW88">
        <v>0</v>
      </c>
      <c r="DX88">
        <v>0</v>
      </c>
      <c r="DY88">
        <v>0</v>
      </c>
      <c r="DZ88">
        <v>0</v>
      </c>
      <c r="EA88">
        <v>0</v>
      </c>
      <c r="EB88">
        <v>0</v>
      </c>
      <c r="EC88">
        <v>0</v>
      </c>
      <c r="ED88">
        <v>0</v>
      </c>
      <c r="EE88">
        <v>0</v>
      </c>
      <c r="EF88">
        <v>0</v>
      </c>
      <c r="EI88" t="s">
        <v>274</v>
      </c>
      <c r="EJ88">
        <v>1</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IG88">
        <v>0</v>
      </c>
      <c r="IH88">
        <v>0</v>
      </c>
      <c r="II88">
        <v>0</v>
      </c>
      <c r="IJ88">
        <v>0</v>
      </c>
      <c r="IK88">
        <v>0</v>
      </c>
      <c r="IL88">
        <v>0</v>
      </c>
      <c r="IM88">
        <v>0</v>
      </c>
      <c r="IN88">
        <v>0</v>
      </c>
      <c r="IO88">
        <v>0</v>
      </c>
      <c r="IP88">
        <v>0</v>
      </c>
      <c r="IQ88">
        <v>1</v>
      </c>
      <c r="IS88">
        <v>2</v>
      </c>
    </row>
    <row r="89" spans="1:258" x14ac:dyDescent="0.35">
      <c r="A89">
        <v>405523</v>
      </c>
      <c r="C89">
        <v>1</v>
      </c>
      <c r="D89" t="s">
        <v>631</v>
      </c>
      <c r="E89" t="s">
        <v>632</v>
      </c>
      <c r="F89" t="s">
        <v>626</v>
      </c>
      <c r="G89">
        <v>3</v>
      </c>
      <c r="I89">
        <v>0</v>
      </c>
      <c r="J89">
        <v>0</v>
      </c>
      <c r="K89">
        <v>1</v>
      </c>
      <c r="L89">
        <v>0</v>
      </c>
      <c r="M89">
        <v>0</v>
      </c>
      <c r="N89">
        <v>0</v>
      </c>
      <c r="O89">
        <v>0</v>
      </c>
      <c r="P89">
        <v>0</v>
      </c>
      <c r="Q89">
        <v>0</v>
      </c>
      <c r="R89">
        <v>1</v>
      </c>
      <c r="T89">
        <v>1</v>
      </c>
      <c r="U89">
        <v>1</v>
      </c>
      <c r="V89">
        <v>0</v>
      </c>
      <c r="W89">
        <v>2</v>
      </c>
      <c r="X89">
        <v>24</v>
      </c>
      <c r="Z89">
        <v>2</v>
      </c>
      <c r="AA89">
        <v>24</v>
      </c>
      <c r="AC89">
        <v>1</v>
      </c>
      <c r="AD89">
        <v>1</v>
      </c>
      <c r="AE89">
        <v>0</v>
      </c>
      <c r="AF89">
        <v>0</v>
      </c>
      <c r="AG89">
        <v>0</v>
      </c>
      <c r="AH89">
        <v>0</v>
      </c>
      <c r="AJ89">
        <v>4</v>
      </c>
      <c r="AL89">
        <v>1</v>
      </c>
      <c r="AN89">
        <v>1</v>
      </c>
      <c r="AO89">
        <v>1</v>
      </c>
      <c r="AP89">
        <v>4</v>
      </c>
      <c r="AQ89">
        <v>2</v>
      </c>
      <c r="AS89">
        <v>2</v>
      </c>
      <c r="AT89">
        <v>1</v>
      </c>
      <c r="AU89">
        <v>1</v>
      </c>
      <c r="AV89">
        <v>1</v>
      </c>
      <c r="AW89">
        <v>0</v>
      </c>
      <c r="AX89">
        <v>0</v>
      </c>
      <c r="AY89">
        <v>0</v>
      </c>
      <c r="AZ89">
        <v>0</v>
      </c>
      <c r="BA89">
        <v>0</v>
      </c>
      <c r="BC89">
        <v>0</v>
      </c>
      <c r="BD89">
        <v>0</v>
      </c>
      <c r="BE89">
        <v>1</v>
      </c>
      <c r="BF89">
        <v>1</v>
      </c>
      <c r="BG89">
        <v>1</v>
      </c>
      <c r="BH89">
        <v>0</v>
      </c>
      <c r="BI89">
        <v>0</v>
      </c>
      <c r="BJ89">
        <v>0</v>
      </c>
      <c r="BK89">
        <v>1</v>
      </c>
      <c r="BL89">
        <v>1</v>
      </c>
      <c r="BM89">
        <v>0</v>
      </c>
      <c r="BN89">
        <v>1</v>
      </c>
      <c r="BO89">
        <v>0</v>
      </c>
      <c r="BP89">
        <v>1</v>
      </c>
      <c r="BQ89">
        <v>0</v>
      </c>
      <c r="BR89">
        <v>1</v>
      </c>
      <c r="BS89">
        <v>0</v>
      </c>
      <c r="BU89">
        <v>14</v>
      </c>
      <c r="BV89">
        <v>4</v>
      </c>
      <c r="BX89">
        <v>5</v>
      </c>
      <c r="BY89">
        <v>5</v>
      </c>
      <c r="DI89">
        <v>0</v>
      </c>
      <c r="DJ89">
        <v>0</v>
      </c>
      <c r="DK89">
        <v>0</v>
      </c>
      <c r="DL89">
        <v>0</v>
      </c>
      <c r="DM89">
        <v>1</v>
      </c>
      <c r="DN89">
        <v>0</v>
      </c>
      <c r="DO89">
        <v>0</v>
      </c>
      <c r="DP89">
        <v>0</v>
      </c>
      <c r="DQ89">
        <v>1</v>
      </c>
      <c r="DR89">
        <v>0</v>
      </c>
      <c r="DS89" t="s">
        <v>633</v>
      </c>
      <c r="DT89">
        <v>0</v>
      </c>
      <c r="DU89">
        <v>0</v>
      </c>
      <c r="DV89">
        <v>0</v>
      </c>
      <c r="DW89">
        <v>1</v>
      </c>
      <c r="DX89">
        <v>1</v>
      </c>
      <c r="DY89">
        <v>0</v>
      </c>
      <c r="DZ89">
        <v>0</v>
      </c>
      <c r="EA89">
        <v>0</v>
      </c>
      <c r="EB89">
        <v>0</v>
      </c>
      <c r="EC89">
        <v>0</v>
      </c>
      <c r="ED89">
        <v>1</v>
      </c>
      <c r="EE89">
        <v>0</v>
      </c>
      <c r="EF89">
        <v>0</v>
      </c>
      <c r="IG89">
        <v>1</v>
      </c>
      <c r="IH89">
        <v>0</v>
      </c>
      <c r="II89">
        <v>1</v>
      </c>
      <c r="IJ89">
        <v>0</v>
      </c>
      <c r="IK89">
        <v>0</v>
      </c>
      <c r="IL89">
        <v>0</v>
      </c>
      <c r="IM89">
        <v>0</v>
      </c>
      <c r="IN89">
        <v>0</v>
      </c>
      <c r="IO89">
        <v>0</v>
      </c>
      <c r="IP89">
        <v>0</v>
      </c>
      <c r="IQ89">
        <v>0</v>
      </c>
      <c r="IS89">
        <v>1</v>
      </c>
      <c r="IT89">
        <v>0</v>
      </c>
      <c r="IU89">
        <v>0</v>
      </c>
      <c r="IV89">
        <v>0</v>
      </c>
      <c r="IW89">
        <v>1</v>
      </c>
      <c r="IX89" t="s">
        <v>634</v>
      </c>
    </row>
    <row r="90" spans="1:258" x14ac:dyDescent="0.35">
      <c r="A90">
        <v>370287</v>
      </c>
      <c r="C90">
        <v>1</v>
      </c>
      <c r="D90" t="s">
        <v>635</v>
      </c>
      <c r="E90" t="s">
        <v>636</v>
      </c>
      <c r="F90" t="s">
        <v>637</v>
      </c>
      <c r="G90">
        <v>3</v>
      </c>
      <c r="I90">
        <v>0</v>
      </c>
      <c r="J90">
        <v>0</v>
      </c>
      <c r="K90">
        <v>1</v>
      </c>
      <c r="L90">
        <v>0</v>
      </c>
      <c r="M90">
        <v>0</v>
      </c>
      <c r="N90">
        <v>0</v>
      </c>
      <c r="O90">
        <v>0</v>
      </c>
      <c r="P90">
        <v>0</v>
      </c>
      <c r="Q90">
        <v>0</v>
      </c>
      <c r="R90">
        <v>1</v>
      </c>
      <c r="T90">
        <v>1</v>
      </c>
      <c r="U90">
        <v>1</v>
      </c>
      <c r="V90">
        <v>0</v>
      </c>
      <c r="W90">
        <v>13</v>
      </c>
      <c r="X90">
        <v>45</v>
      </c>
      <c r="Z90">
        <v>13</v>
      </c>
      <c r="AA90">
        <v>45</v>
      </c>
      <c r="AC90">
        <v>1</v>
      </c>
      <c r="AD90">
        <v>1</v>
      </c>
      <c r="AE90">
        <v>0</v>
      </c>
      <c r="AF90">
        <v>0</v>
      </c>
      <c r="AG90">
        <v>0</v>
      </c>
      <c r="AH90">
        <v>0</v>
      </c>
      <c r="AJ90">
        <v>1</v>
      </c>
      <c r="AL90">
        <v>4</v>
      </c>
      <c r="AN90">
        <v>1</v>
      </c>
      <c r="AO90">
        <v>1</v>
      </c>
      <c r="AP90">
        <v>5</v>
      </c>
      <c r="AQ90">
        <v>1</v>
      </c>
      <c r="AR90">
        <v>4</v>
      </c>
      <c r="AS90">
        <v>1</v>
      </c>
      <c r="AT90">
        <v>1</v>
      </c>
      <c r="AU90">
        <v>1</v>
      </c>
      <c r="AV90">
        <v>1</v>
      </c>
      <c r="AW90">
        <v>1</v>
      </c>
      <c r="AX90">
        <v>1</v>
      </c>
      <c r="AY90">
        <v>0</v>
      </c>
      <c r="AZ90">
        <v>0</v>
      </c>
      <c r="BA90">
        <v>0</v>
      </c>
      <c r="BC90">
        <v>0</v>
      </c>
      <c r="BD90">
        <v>0</v>
      </c>
      <c r="BE90">
        <v>1</v>
      </c>
      <c r="BF90">
        <v>1</v>
      </c>
      <c r="BG90">
        <v>1</v>
      </c>
      <c r="BH90">
        <v>0</v>
      </c>
      <c r="BI90">
        <v>0</v>
      </c>
      <c r="BJ90">
        <v>0</v>
      </c>
      <c r="BK90">
        <v>1</v>
      </c>
      <c r="BL90">
        <v>0</v>
      </c>
      <c r="BM90">
        <v>1</v>
      </c>
      <c r="BN90">
        <v>1</v>
      </c>
      <c r="BO90">
        <v>0</v>
      </c>
      <c r="BP90">
        <v>1</v>
      </c>
      <c r="BQ90">
        <v>0</v>
      </c>
      <c r="BR90">
        <v>0</v>
      </c>
      <c r="BS90">
        <v>0</v>
      </c>
      <c r="BU90">
        <v>3</v>
      </c>
      <c r="BV90">
        <v>3</v>
      </c>
      <c r="BW90" t="s">
        <v>638</v>
      </c>
      <c r="BX90">
        <v>2</v>
      </c>
      <c r="BY90">
        <v>3</v>
      </c>
      <c r="DI90">
        <v>0</v>
      </c>
      <c r="DJ90">
        <v>0</v>
      </c>
      <c r="DK90">
        <v>1</v>
      </c>
      <c r="DL90">
        <v>0</v>
      </c>
      <c r="DM90">
        <v>0</v>
      </c>
      <c r="DN90">
        <v>0</v>
      </c>
      <c r="DO90">
        <v>0</v>
      </c>
      <c r="DP90">
        <v>0</v>
      </c>
      <c r="DQ90">
        <v>1</v>
      </c>
      <c r="DR90">
        <v>0</v>
      </c>
      <c r="DS90" t="s">
        <v>639</v>
      </c>
      <c r="DT90">
        <v>0</v>
      </c>
      <c r="DU90">
        <v>1</v>
      </c>
      <c r="DV90">
        <v>0</v>
      </c>
      <c r="DW90">
        <v>0</v>
      </c>
      <c r="DX90">
        <v>1</v>
      </c>
      <c r="DY90">
        <v>0</v>
      </c>
      <c r="DZ90">
        <v>0</v>
      </c>
      <c r="EA90">
        <v>0</v>
      </c>
      <c r="EB90">
        <v>1</v>
      </c>
      <c r="EC90">
        <v>1</v>
      </c>
      <c r="ED90">
        <v>1</v>
      </c>
      <c r="EE90">
        <v>0</v>
      </c>
      <c r="EF90">
        <v>0</v>
      </c>
      <c r="EI90" t="s">
        <v>640</v>
      </c>
      <c r="EJ90">
        <v>0</v>
      </c>
      <c r="EK90">
        <v>0</v>
      </c>
      <c r="EL90">
        <v>0</v>
      </c>
      <c r="EM90">
        <v>0</v>
      </c>
      <c r="EN90">
        <v>0</v>
      </c>
      <c r="EO90">
        <v>0</v>
      </c>
      <c r="EP90">
        <v>0</v>
      </c>
      <c r="EQ90">
        <v>0</v>
      </c>
      <c r="ER90">
        <v>0</v>
      </c>
      <c r="ES90">
        <v>0</v>
      </c>
      <c r="ET90">
        <v>0</v>
      </c>
      <c r="EU90">
        <v>0</v>
      </c>
      <c r="EV90">
        <v>0</v>
      </c>
      <c r="EW90">
        <v>0</v>
      </c>
      <c r="EX90">
        <v>0</v>
      </c>
      <c r="EY90">
        <v>1</v>
      </c>
      <c r="EZ90">
        <v>0</v>
      </c>
      <c r="FA90">
        <v>0</v>
      </c>
      <c r="FB90">
        <v>0</v>
      </c>
      <c r="FC90">
        <v>0</v>
      </c>
      <c r="FD90">
        <v>0</v>
      </c>
      <c r="FE90">
        <v>0</v>
      </c>
      <c r="GJ90" t="s">
        <v>641</v>
      </c>
      <c r="GK90">
        <v>0</v>
      </c>
      <c r="GL90">
        <v>0</v>
      </c>
      <c r="GM90">
        <v>0</v>
      </c>
      <c r="GN90">
        <v>0</v>
      </c>
      <c r="GO90">
        <v>0</v>
      </c>
      <c r="GP90">
        <v>0</v>
      </c>
      <c r="GQ90">
        <v>0</v>
      </c>
      <c r="GR90">
        <v>0</v>
      </c>
      <c r="GS90">
        <v>0</v>
      </c>
      <c r="GT90">
        <v>0</v>
      </c>
      <c r="GU90">
        <v>0</v>
      </c>
      <c r="GV90">
        <v>0</v>
      </c>
      <c r="GW90">
        <v>0</v>
      </c>
      <c r="GX90">
        <v>0</v>
      </c>
      <c r="GY90">
        <v>1</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G90">
        <v>1</v>
      </c>
      <c r="IH90">
        <v>0</v>
      </c>
      <c r="II90">
        <v>1</v>
      </c>
      <c r="IJ90">
        <v>0</v>
      </c>
      <c r="IK90">
        <v>0</v>
      </c>
      <c r="IL90">
        <v>0</v>
      </c>
      <c r="IM90">
        <v>1</v>
      </c>
      <c r="IN90">
        <v>0</v>
      </c>
      <c r="IO90">
        <v>0</v>
      </c>
      <c r="IP90">
        <v>0</v>
      </c>
      <c r="IQ90">
        <v>0</v>
      </c>
      <c r="IS90">
        <v>1</v>
      </c>
      <c r="IT90">
        <v>1</v>
      </c>
      <c r="IU90">
        <v>1</v>
      </c>
      <c r="IV90">
        <v>0</v>
      </c>
      <c r="IW90">
        <v>1</v>
      </c>
      <c r="IX90" t="s">
        <v>642</v>
      </c>
    </row>
    <row r="91" spans="1:258" x14ac:dyDescent="0.35">
      <c r="A91">
        <v>405486</v>
      </c>
      <c r="C91">
        <v>1</v>
      </c>
      <c r="D91" t="s">
        <v>643</v>
      </c>
      <c r="E91" t="s">
        <v>644</v>
      </c>
      <c r="F91" t="s">
        <v>637</v>
      </c>
      <c r="G91">
        <v>3</v>
      </c>
      <c r="I91">
        <v>0</v>
      </c>
      <c r="J91">
        <v>0</v>
      </c>
      <c r="K91">
        <v>0</v>
      </c>
      <c r="L91">
        <v>0</v>
      </c>
      <c r="M91">
        <v>0</v>
      </c>
      <c r="N91">
        <v>1</v>
      </c>
      <c r="O91">
        <v>0</v>
      </c>
      <c r="P91">
        <v>0</v>
      </c>
      <c r="Q91">
        <v>0</v>
      </c>
      <c r="R91">
        <v>1</v>
      </c>
      <c r="T91">
        <v>1</v>
      </c>
      <c r="U91">
        <v>0</v>
      </c>
      <c r="V91">
        <v>0</v>
      </c>
      <c r="W91">
        <v>12</v>
      </c>
      <c r="Z91">
        <v>12</v>
      </c>
      <c r="AC91">
        <v>1</v>
      </c>
      <c r="AD91">
        <v>1</v>
      </c>
      <c r="AE91">
        <v>0</v>
      </c>
      <c r="AF91">
        <v>0</v>
      </c>
      <c r="AG91">
        <v>0</v>
      </c>
      <c r="AH91">
        <v>0</v>
      </c>
      <c r="AJ91">
        <v>2</v>
      </c>
      <c r="AL91">
        <v>4</v>
      </c>
      <c r="AN91">
        <v>1</v>
      </c>
      <c r="AO91">
        <v>1</v>
      </c>
      <c r="AP91">
        <v>3</v>
      </c>
      <c r="AQ91">
        <v>2</v>
      </c>
      <c r="AS91">
        <v>2</v>
      </c>
      <c r="AT91">
        <v>1</v>
      </c>
      <c r="AU91">
        <v>1</v>
      </c>
      <c r="AV91">
        <v>1</v>
      </c>
      <c r="AW91">
        <v>0</v>
      </c>
      <c r="AX91">
        <v>1</v>
      </c>
      <c r="AY91">
        <v>1</v>
      </c>
      <c r="AZ91">
        <v>0</v>
      </c>
      <c r="BA91">
        <v>0</v>
      </c>
      <c r="BC91">
        <v>1</v>
      </c>
      <c r="BD91">
        <v>0</v>
      </c>
      <c r="BE91">
        <v>0</v>
      </c>
      <c r="BF91">
        <v>0</v>
      </c>
      <c r="BG91">
        <v>0</v>
      </c>
      <c r="BH91">
        <v>0</v>
      </c>
      <c r="BI91">
        <v>0</v>
      </c>
      <c r="BJ91">
        <v>1</v>
      </c>
      <c r="BK91">
        <v>1</v>
      </c>
      <c r="BL91">
        <v>0</v>
      </c>
      <c r="BM91">
        <v>0</v>
      </c>
      <c r="BN91">
        <v>1</v>
      </c>
      <c r="BO91">
        <v>0</v>
      </c>
      <c r="BP91">
        <v>0</v>
      </c>
      <c r="BQ91">
        <v>0</v>
      </c>
      <c r="BR91">
        <v>0</v>
      </c>
      <c r="BS91">
        <v>0</v>
      </c>
      <c r="BU91">
        <v>2</v>
      </c>
      <c r="BV91">
        <v>3</v>
      </c>
      <c r="BW91" t="s">
        <v>645</v>
      </c>
      <c r="BX91">
        <v>2</v>
      </c>
      <c r="BY91">
        <v>3</v>
      </c>
      <c r="DI91">
        <v>1</v>
      </c>
      <c r="DJ91">
        <v>1</v>
      </c>
      <c r="DK91">
        <v>0</v>
      </c>
      <c r="DL91">
        <v>0</v>
      </c>
      <c r="DM91">
        <v>0</v>
      </c>
      <c r="DN91">
        <v>1</v>
      </c>
      <c r="DO91">
        <v>0</v>
      </c>
      <c r="DP91">
        <v>0</v>
      </c>
      <c r="DQ91">
        <v>0</v>
      </c>
      <c r="DR91">
        <v>0</v>
      </c>
      <c r="DT91">
        <v>0</v>
      </c>
      <c r="DU91">
        <v>0</v>
      </c>
      <c r="DV91">
        <v>0</v>
      </c>
      <c r="DW91">
        <v>1</v>
      </c>
      <c r="DX91">
        <v>1</v>
      </c>
      <c r="DY91">
        <v>0</v>
      </c>
      <c r="DZ91">
        <v>0</v>
      </c>
      <c r="EA91">
        <v>0</v>
      </c>
      <c r="EB91">
        <v>0</v>
      </c>
      <c r="EC91">
        <v>0</v>
      </c>
      <c r="ED91">
        <v>1</v>
      </c>
      <c r="EE91">
        <v>0</v>
      </c>
      <c r="EF91">
        <v>0</v>
      </c>
      <c r="IG91">
        <v>0</v>
      </c>
      <c r="IH91">
        <v>0</v>
      </c>
      <c r="II91">
        <v>1</v>
      </c>
      <c r="IJ91">
        <v>0</v>
      </c>
      <c r="IK91">
        <v>0</v>
      </c>
      <c r="IL91">
        <v>0</v>
      </c>
      <c r="IM91">
        <v>0</v>
      </c>
      <c r="IN91">
        <v>0</v>
      </c>
      <c r="IO91">
        <v>1</v>
      </c>
      <c r="IP91">
        <v>0</v>
      </c>
      <c r="IQ91">
        <v>0</v>
      </c>
      <c r="IS91">
        <v>1</v>
      </c>
      <c r="IT91">
        <v>1</v>
      </c>
      <c r="IU91">
        <v>0</v>
      </c>
      <c r="IV91">
        <v>0</v>
      </c>
      <c r="IW91">
        <v>0</v>
      </c>
    </row>
    <row r="92" spans="1:258" x14ac:dyDescent="0.35">
      <c r="A92">
        <v>363320</v>
      </c>
      <c r="C92">
        <v>1</v>
      </c>
      <c r="D92" t="s">
        <v>646</v>
      </c>
      <c r="E92" t="s">
        <v>647</v>
      </c>
      <c r="F92" t="s">
        <v>648</v>
      </c>
      <c r="G92">
        <v>5</v>
      </c>
      <c r="I92">
        <v>0</v>
      </c>
      <c r="J92">
        <v>0</v>
      </c>
      <c r="K92">
        <v>0</v>
      </c>
      <c r="L92">
        <v>0</v>
      </c>
      <c r="M92">
        <v>0</v>
      </c>
      <c r="N92">
        <v>1</v>
      </c>
      <c r="O92">
        <v>0</v>
      </c>
      <c r="P92">
        <v>0</v>
      </c>
      <c r="Q92">
        <v>0</v>
      </c>
      <c r="R92">
        <v>1</v>
      </c>
    </row>
    <row r="93" spans="1:258" x14ac:dyDescent="0.35">
      <c r="A93">
        <v>405239</v>
      </c>
      <c r="C93">
        <v>1</v>
      </c>
      <c r="D93" t="s">
        <v>649</v>
      </c>
      <c r="E93" t="s">
        <v>650</v>
      </c>
      <c r="F93" t="s">
        <v>648</v>
      </c>
      <c r="G93">
        <v>3</v>
      </c>
      <c r="I93">
        <v>1</v>
      </c>
      <c r="J93">
        <v>0</v>
      </c>
      <c r="K93">
        <v>1</v>
      </c>
      <c r="L93">
        <v>0</v>
      </c>
      <c r="M93">
        <v>0</v>
      </c>
      <c r="N93">
        <v>0</v>
      </c>
      <c r="O93">
        <v>0</v>
      </c>
      <c r="P93">
        <v>0</v>
      </c>
      <c r="Q93">
        <v>0</v>
      </c>
      <c r="R93">
        <v>1</v>
      </c>
      <c r="T93">
        <v>1</v>
      </c>
      <c r="U93">
        <v>1</v>
      </c>
      <c r="V93">
        <v>0</v>
      </c>
      <c r="W93">
        <v>1</v>
      </c>
      <c r="X93">
        <v>36</v>
      </c>
      <c r="Z93">
        <v>1</v>
      </c>
      <c r="AA93">
        <v>36</v>
      </c>
      <c r="AC93">
        <v>1</v>
      </c>
      <c r="AD93">
        <v>1</v>
      </c>
      <c r="AE93">
        <v>0</v>
      </c>
      <c r="AF93">
        <v>0</v>
      </c>
      <c r="AG93">
        <v>0</v>
      </c>
      <c r="AH93">
        <v>0</v>
      </c>
      <c r="AJ93">
        <v>4</v>
      </c>
      <c r="AL93">
        <v>1</v>
      </c>
      <c r="AN93">
        <v>1</v>
      </c>
      <c r="AO93">
        <v>1</v>
      </c>
      <c r="AP93">
        <v>4</v>
      </c>
      <c r="AQ93">
        <v>1</v>
      </c>
      <c r="AR93">
        <v>4</v>
      </c>
      <c r="AS93">
        <v>2</v>
      </c>
      <c r="AT93">
        <v>3</v>
      </c>
      <c r="AU93">
        <v>2</v>
      </c>
      <c r="BC93">
        <v>1</v>
      </c>
      <c r="BD93">
        <v>0</v>
      </c>
      <c r="BE93">
        <v>0</v>
      </c>
      <c r="BF93">
        <v>1</v>
      </c>
      <c r="BG93">
        <v>0</v>
      </c>
      <c r="BH93">
        <v>1</v>
      </c>
      <c r="BI93">
        <v>0</v>
      </c>
      <c r="BJ93">
        <v>1</v>
      </c>
      <c r="BK93">
        <v>1</v>
      </c>
      <c r="BL93">
        <v>0</v>
      </c>
      <c r="BM93">
        <v>1</v>
      </c>
      <c r="BN93">
        <v>1</v>
      </c>
      <c r="BO93">
        <v>0</v>
      </c>
      <c r="BP93">
        <v>1</v>
      </c>
      <c r="BQ93">
        <v>0</v>
      </c>
      <c r="BR93">
        <v>0</v>
      </c>
      <c r="BS93">
        <v>0</v>
      </c>
      <c r="BU93">
        <v>8</v>
      </c>
      <c r="BV93">
        <v>3</v>
      </c>
      <c r="BW93" t="s">
        <v>651</v>
      </c>
      <c r="BX93">
        <v>3</v>
      </c>
      <c r="BY93">
        <v>3</v>
      </c>
      <c r="DI93">
        <v>0</v>
      </c>
      <c r="DJ93">
        <v>0</v>
      </c>
      <c r="DK93">
        <v>0</v>
      </c>
      <c r="DL93">
        <v>0</v>
      </c>
      <c r="DM93">
        <v>1</v>
      </c>
      <c r="DN93">
        <v>0</v>
      </c>
      <c r="DO93">
        <v>1</v>
      </c>
      <c r="DP93">
        <v>1</v>
      </c>
      <c r="DQ93">
        <v>0</v>
      </c>
      <c r="DR93">
        <v>0</v>
      </c>
      <c r="DT93">
        <v>0</v>
      </c>
      <c r="DU93">
        <v>0</v>
      </c>
      <c r="DV93">
        <v>0</v>
      </c>
      <c r="DW93">
        <v>1</v>
      </c>
      <c r="DX93">
        <v>1</v>
      </c>
      <c r="DY93">
        <v>0</v>
      </c>
      <c r="DZ93">
        <v>0</v>
      </c>
      <c r="EA93">
        <v>1</v>
      </c>
      <c r="EB93">
        <v>1</v>
      </c>
      <c r="EC93">
        <v>1</v>
      </c>
      <c r="ED93">
        <v>1</v>
      </c>
      <c r="EE93">
        <v>0</v>
      </c>
      <c r="EF93">
        <v>0</v>
      </c>
      <c r="GJ93" t="s">
        <v>652</v>
      </c>
      <c r="GK93">
        <v>0</v>
      </c>
      <c r="GL93">
        <v>0</v>
      </c>
      <c r="GM93">
        <v>0</v>
      </c>
      <c r="GN93">
        <v>0</v>
      </c>
      <c r="GO93">
        <v>0</v>
      </c>
      <c r="GP93">
        <v>0</v>
      </c>
      <c r="GQ93">
        <v>0</v>
      </c>
      <c r="GR93">
        <v>0</v>
      </c>
      <c r="GS93">
        <v>0</v>
      </c>
      <c r="GT93">
        <v>0</v>
      </c>
      <c r="GU93">
        <v>0</v>
      </c>
      <c r="GV93">
        <v>0</v>
      </c>
      <c r="GW93">
        <v>0</v>
      </c>
      <c r="GX93">
        <v>0</v>
      </c>
      <c r="GY93">
        <v>0</v>
      </c>
      <c r="GZ93">
        <v>0</v>
      </c>
      <c r="HA93">
        <v>0</v>
      </c>
      <c r="HB93">
        <v>0</v>
      </c>
      <c r="HC93">
        <v>1</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G93">
        <v>1</v>
      </c>
      <c r="IH93">
        <v>1</v>
      </c>
      <c r="II93">
        <v>0</v>
      </c>
      <c r="IJ93">
        <v>0</v>
      </c>
      <c r="IK93">
        <v>0</v>
      </c>
      <c r="IL93">
        <v>0</v>
      </c>
      <c r="IM93">
        <v>1</v>
      </c>
      <c r="IN93">
        <v>0</v>
      </c>
      <c r="IO93">
        <v>0</v>
      </c>
      <c r="IP93">
        <v>0</v>
      </c>
      <c r="IQ93">
        <v>0</v>
      </c>
      <c r="IS93">
        <v>1</v>
      </c>
      <c r="IT93">
        <v>0</v>
      </c>
      <c r="IU93">
        <v>1</v>
      </c>
      <c r="IV93">
        <v>0</v>
      </c>
      <c r="IW93">
        <v>0</v>
      </c>
    </row>
    <row r="94" spans="1:258" x14ac:dyDescent="0.35">
      <c r="A94">
        <v>405345</v>
      </c>
      <c r="C94">
        <v>1</v>
      </c>
      <c r="D94" t="s">
        <v>653</v>
      </c>
      <c r="E94" t="s">
        <v>654</v>
      </c>
      <c r="F94" t="s">
        <v>655</v>
      </c>
      <c r="G94">
        <v>3</v>
      </c>
      <c r="I94">
        <v>0</v>
      </c>
      <c r="J94">
        <v>0</v>
      </c>
      <c r="K94">
        <v>1</v>
      </c>
      <c r="L94">
        <v>0</v>
      </c>
      <c r="M94">
        <v>0</v>
      </c>
      <c r="N94">
        <v>0</v>
      </c>
      <c r="O94">
        <v>0</v>
      </c>
      <c r="P94">
        <v>0</v>
      </c>
      <c r="Q94">
        <v>0</v>
      </c>
      <c r="R94">
        <v>1</v>
      </c>
      <c r="T94">
        <v>1</v>
      </c>
      <c r="U94">
        <v>1</v>
      </c>
      <c r="V94">
        <v>1</v>
      </c>
      <c r="W94">
        <v>1</v>
      </c>
      <c r="X94">
        <v>65</v>
      </c>
      <c r="Y94">
        <v>2</v>
      </c>
      <c r="Z94">
        <v>1</v>
      </c>
      <c r="AA94">
        <v>65</v>
      </c>
      <c r="AB94">
        <v>2</v>
      </c>
      <c r="AC94">
        <v>1</v>
      </c>
      <c r="AD94">
        <v>0</v>
      </c>
      <c r="AE94">
        <v>0</v>
      </c>
      <c r="AF94">
        <v>1</v>
      </c>
      <c r="AG94">
        <v>0</v>
      </c>
      <c r="AH94">
        <v>0</v>
      </c>
      <c r="AJ94">
        <v>1</v>
      </c>
      <c r="AL94">
        <v>4</v>
      </c>
      <c r="AN94">
        <v>1</v>
      </c>
      <c r="AO94">
        <v>1</v>
      </c>
      <c r="AP94">
        <v>4</v>
      </c>
      <c r="AQ94">
        <v>1</v>
      </c>
      <c r="AR94">
        <v>5</v>
      </c>
      <c r="AS94">
        <v>1</v>
      </c>
      <c r="AT94">
        <v>1</v>
      </c>
      <c r="AU94">
        <v>1</v>
      </c>
      <c r="AV94">
        <v>0</v>
      </c>
      <c r="AW94">
        <v>0</v>
      </c>
      <c r="AX94">
        <v>0</v>
      </c>
      <c r="AY94">
        <v>0</v>
      </c>
      <c r="AZ94">
        <v>1</v>
      </c>
      <c r="BA94">
        <v>0</v>
      </c>
      <c r="BC94">
        <v>0</v>
      </c>
      <c r="BD94">
        <v>0</v>
      </c>
      <c r="BE94">
        <v>1</v>
      </c>
      <c r="BF94">
        <v>0</v>
      </c>
      <c r="BG94">
        <v>0</v>
      </c>
      <c r="BH94">
        <v>0</v>
      </c>
      <c r="BI94">
        <v>0</v>
      </c>
      <c r="BJ94">
        <v>0</v>
      </c>
      <c r="BK94">
        <v>0</v>
      </c>
      <c r="BL94">
        <v>0</v>
      </c>
      <c r="BM94">
        <v>0</v>
      </c>
      <c r="BN94">
        <v>0</v>
      </c>
      <c r="BO94">
        <v>0</v>
      </c>
      <c r="BP94">
        <v>1</v>
      </c>
      <c r="BQ94">
        <v>0</v>
      </c>
      <c r="BR94">
        <v>0</v>
      </c>
      <c r="BS94">
        <v>0</v>
      </c>
      <c r="BU94">
        <v>1</v>
      </c>
      <c r="BV94">
        <v>4</v>
      </c>
      <c r="BX94">
        <v>4</v>
      </c>
      <c r="BY94">
        <v>4</v>
      </c>
      <c r="DI94">
        <v>0</v>
      </c>
      <c r="DJ94">
        <v>0</v>
      </c>
      <c r="DK94">
        <v>0</v>
      </c>
      <c r="DL94">
        <v>0</v>
      </c>
      <c r="DM94">
        <v>1</v>
      </c>
      <c r="DN94">
        <v>1</v>
      </c>
      <c r="DO94">
        <v>0</v>
      </c>
      <c r="DP94">
        <v>0</v>
      </c>
      <c r="DQ94">
        <v>0</v>
      </c>
      <c r="DR94">
        <v>0</v>
      </c>
      <c r="DT94">
        <v>0</v>
      </c>
      <c r="DU94">
        <v>1</v>
      </c>
      <c r="DV94">
        <v>0</v>
      </c>
      <c r="DW94">
        <v>0</v>
      </c>
      <c r="DX94">
        <v>0</v>
      </c>
      <c r="DY94">
        <v>0</v>
      </c>
      <c r="DZ94">
        <v>0</v>
      </c>
      <c r="EA94">
        <v>0</v>
      </c>
      <c r="EB94">
        <v>0</v>
      </c>
      <c r="EC94">
        <v>0</v>
      </c>
      <c r="ED94">
        <v>0</v>
      </c>
      <c r="EE94">
        <v>0</v>
      </c>
      <c r="EF94">
        <v>0</v>
      </c>
      <c r="EI94" t="s">
        <v>656</v>
      </c>
      <c r="EJ94">
        <v>1</v>
      </c>
      <c r="EK94">
        <v>1</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IG94">
        <v>0</v>
      </c>
      <c r="IH94">
        <v>0</v>
      </c>
      <c r="II94">
        <v>0</v>
      </c>
      <c r="IJ94">
        <v>0</v>
      </c>
      <c r="IK94">
        <v>0</v>
      </c>
      <c r="IL94">
        <v>0</v>
      </c>
      <c r="IM94">
        <v>0</v>
      </c>
      <c r="IN94">
        <v>0</v>
      </c>
      <c r="IO94">
        <v>0</v>
      </c>
      <c r="IP94">
        <v>0</v>
      </c>
      <c r="IQ94">
        <v>1</v>
      </c>
      <c r="IS94">
        <v>1</v>
      </c>
      <c r="IT94">
        <v>0</v>
      </c>
      <c r="IU94">
        <v>1</v>
      </c>
      <c r="IV94">
        <v>0</v>
      </c>
      <c r="IW94">
        <v>0</v>
      </c>
    </row>
    <row r="95" spans="1:258" x14ac:dyDescent="0.35">
      <c r="A95">
        <v>405536</v>
      </c>
      <c r="C95">
        <v>1</v>
      </c>
      <c r="D95" t="s">
        <v>657</v>
      </c>
      <c r="E95" t="s">
        <v>658</v>
      </c>
      <c r="F95" t="s">
        <v>659</v>
      </c>
      <c r="G95">
        <v>4</v>
      </c>
      <c r="I95">
        <v>0</v>
      </c>
      <c r="J95">
        <v>0</v>
      </c>
      <c r="K95">
        <v>0</v>
      </c>
      <c r="L95">
        <v>1</v>
      </c>
      <c r="M95">
        <v>0</v>
      </c>
      <c r="N95">
        <v>0</v>
      </c>
      <c r="O95">
        <v>0</v>
      </c>
      <c r="P95">
        <v>0</v>
      </c>
      <c r="Q95">
        <v>0</v>
      </c>
      <c r="R95">
        <v>1</v>
      </c>
      <c r="T95">
        <v>1</v>
      </c>
      <c r="U95">
        <v>1</v>
      </c>
      <c r="V95">
        <v>0</v>
      </c>
      <c r="W95">
        <v>8</v>
      </c>
      <c r="X95">
        <v>20</v>
      </c>
      <c r="Z95">
        <v>8</v>
      </c>
      <c r="AA95">
        <v>20</v>
      </c>
      <c r="AC95">
        <v>1</v>
      </c>
      <c r="AD95">
        <v>1</v>
      </c>
      <c r="AE95">
        <v>0</v>
      </c>
      <c r="AF95">
        <v>0</v>
      </c>
      <c r="AG95">
        <v>0</v>
      </c>
      <c r="AH95">
        <v>0</v>
      </c>
      <c r="AJ95">
        <v>1</v>
      </c>
      <c r="AL95">
        <v>1</v>
      </c>
      <c r="AN95">
        <v>1</v>
      </c>
      <c r="AO95">
        <v>1</v>
      </c>
      <c r="AP95">
        <v>4</v>
      </c>
      <c r="AQ95">
        <v>1</v>
      </c>
      <c r="AR95">
        <v>5</v>
      </c>
      <c r="AS95">
        <v>1</v>
      </c>
      <c r="AT95">
        <v>1</v>
      </c>
      <c r="AU95">
        <v>2</v>
      </c>
      <c r="BC95">
        <v>1</v>
      </c>
      <c r="BD95">
        <v>0</v>
      </c>
      <c r="BE95">
        <v>1</v>
      </c>
      <c r="BF95">
        <v>1</v>
      </c>
      <c r="BG95">
        <v>1</v>
      </c>
      <c r="BH95">
        <v>1</v>
      </c>
      <c r="BI95">
        <v>0</v>
      </c>
      <c r="BJ95">
        <v>1</v>
      </c>
      <c r="BK95">
        <v>1</v>
      </c>
      <c r="BL95">
        <v>0</v>
      </c>
      <c r="BM95">
        <v>1</v>
      </c>
      <c r="BN95">
        <v>1</v>
      </c>
      <c r="BO95">
        <v>0</v>
      </c>
      <c r="BP95">
        <v>1</v>
      </c>
      <c r="BQ95">
        <v>0</v>
      </c>
      <c r="BR95">
        <v>1</v>
      </c>
      <c r="BS95">
        <v>0</v>
      </c>
      <c r="BU95">
        <v>16</v>
      </c>
      <c r="BV95">
        <v>4</v>
      </c>
      <c r="BX95">
        <v>3</v>
      </c>
      <c r="BY95">
        <v>3</v>
      </c>
      <c r="DI95">
        <v>1</v>
      </c>
      <c r="DJ95">
        <v>0</v>
      </c>
      <c r="DK95">
        <v>1</v>
      </c>
      <c r="DL95">
        <v>0</v>
      </c>
      <c r="DM95">
        <v>1</v>
      </c>
      <c r="DN95">
        <v>1</v>
      </c>
      <c r="DO95">
        <v>0</v>
      </c>
      <c r="DP95">
        <v>0</v>
      </c>
      <c r="DQ95">
        <v>1</v>
      </c>
      <c r="DR95">
        <v>0</v>
      </c>
      <c r="DS95" t="s">
        <v>660</v>
      </c>
      <c r="DT95">
        <v>0</v>
      </c>
      <c r="DU95">
        <v>1</v>
      </c>
      <c r="DV95">
        <v>0</v>
      </c>
      <c r="DW95">
        <v>1</v>
      </c>
      <c r="DX95">
        <v>1</v>
      </c>
      <c r="DY95">
        <v>0</v>
      </c>
      <c r="DZ95">
        <v>0</v>
      </c>
      <c r="EA95">
        <v>1</v>
      </c>
      <c r="EB95">
        <v>1</v>
      </c>
      <c r="EC95">
        <v>1</v>
      </c>
      <c r="ED95">
        <v>1</v>
      </c>
      <c r="EE95">
        <v>0</v>
      </c>
      <c r="EF95">
        <v>0</v>
      </c>
      <c r="EI95" t="s">
        <v>661</v>
      </c>
      <c r="EJ95">
        <v>1</v>
      </c>
      <c r="EK95">
        <v>1</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GJ95" t="s">
        <v>662</v>
      </c>
      <c r="GK95">
        <v>0</v>
      </c>
      <c r="GL95">
        <v>0</v>
      </c>
      <c r="GM95">
        <v>0</v>
      </c>
      <c r="GN95">
        <v>0</v>
      </c>
      <c r="GO95">
        <v>0</v>
      </c>
      <c r="GP95">
        <v>0</v>
      </c>
      <c r="GQ95">
        <v>0</v>
      </c>
      <c r="GR95">
        <v>0</v>
      </c>
      <c r="GS95">
        <v>0</v>
      </c>
      <c r="GT95">
        <v>0</v>
      </c>
      <c r="GU95">
        <v>0</v>
      </c>
      <c r="GV95">
        <v>0</v>
      </c>
      <c r="GW95">
        <v>0</v>
      </c>
      <c r="GX95">
        <v>0</v>
      </c>
      <c r="GY95">
        <v>1</v>
      </c>
      <c r="GZ95">
        <v>0</v>
      </c>
      <c r="HA95">
        <v>0</v>
      </c>
      <c r="HB95">
        <v>0</v>
      </c>
      <c r="HC95">
        <v>1</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G95">
        <v>1</v>
      </c>
      <c r="IH95">
        <v>0</v>
      </c>
      <c r="II95">
        <v>1</v>
      </c>
      <c r="IJ95">
        <v>0</v>
      </c>
      <c r="IK95">
        <v>1</v>
      </c>
      <c r="IL95">
        <v>0</v>
      </c>
      <c r="IM95">
        <v>0</v>
      </c>
      <c r="IN95">
        <v>0</v>
      </c>
      <c r="IO95">
        <v>0</v>
      </c>
      <c r="IP95">
        <v>0</v>
      </c>
      <c r="IQ95">
        <v>0</v>
      </c>
      <c r="IS95">
        <v>1</v>
      </c>
      <c r="IT95">
        <v>0</v>
      </c>
      <c r="IU95">
        <v>1</v>
      </c>
      <c r="IV95">
        <v>0</v>
      </c>
      <c r="IW95">
        <v>0</v>
      </c>
    </row>
    <row r="96" spans="1:258" x14ac:dyDescent="0.35">
      <c r="A96">
        <v>405438</v>
      </c>
      <c r="C96">
        <v>1</v>
      </c>
      <c r="D96" t="s">
        <v>663</v>
      </c>
      <c r="E96" t="s">
        <v>664</v>
      </c>
      <c r="F96" t="s">
        <v>665</v>
      </c>
      <c r="G96">
        <v>10</v>
      </c>
      <c r="I96">
        <v>0</v>
      </c>
      <c r="J96">
        <v>0</v>
      </c>
      <c r="K96">
        <v>1</v>
      </c>
      <c r="L96">
        <v>0</v>
      </c>
      <c r="M96">
        <v>0</v>
      </c>
      <c r="N96">
        <v>0</v>
      </c>
      <c r="O96">
        <v>0</v>
      </c>
      <c r="P96">
        <v>0</v>
      </c>
      <c r="Q96">
        <v>0</v>
      </c>
      <c r="R96">
        <v>1</v>
      </c>
      <c r="T96">
        <v>0</v>
      </c>
      <c r="U96">
        <v>1</v>
      </c>
      <c r="V96">
        <v>0</v>
      </c>
      <c r="X96">
        <v>1200</v>
      </c>
      <c r="AA96">
        <v>1200</v>
      </c>
      <c r="AC96">
        <v>1</v>
      </c>
      <c r="AD96">
        <v>0</v>
      </c>
      <c r="AE96">
        <v>0</v>
      </c>
      <c r="AF96">
        <v>0</v>
      </c>
      <c r="AG96">
        <v>1</v>
      </c>
      <c r="AH96">
        <v>0</v>
      </c>
      <c r="AJ96">
        <v>1</v>
      </c>
      <c r="AL96">
        <v>1</v>
      </c>
      <c r="AN96">
        <v>1</v>
      </c>
      <c r="AO96">
        <v>1</v>
      </c>
      <c r="AP96">
        <v>5</v>
      </c>
      <c r="AQ96">
        <v>2</v>
      </c>
      <c r="AS96">
        <v>1</v>
      </c>
      <c r="AT96">
        <v>2</v>
      </c>
      <c r="BX96">
        <v>6</v>
      </c>
      <c r="BY96">
        <v>6</v>
      </c>
    </row>
    <row r="97" spans="1:257" x14ac:dyDescent="0.35">
      <c r="A97">
        <v>396993</v>
      </c>
      <c r="C97">
        <v>1</v>
      </c>
      <c r="D97" t="s">
        <v>666</v>
      </c>
      <c r="E97" t="s">
        <v>667</v>
      </c>
      <c r="F97" t="s">
        <v>668</v>
      </c>
      <c r="G97">
        <v>3</v>
      </c>
      <c r="I97">
        <v>1</v>
      </c>
      <c r="J97">
        <v>0</v>
      </c>
      <c r="K97">
        <v>1</v>
      </c>
      <c r="L97">
        <v>0</v>
      </c>
      <c r="M97">
        <v>0</v>
      </c>
      <c r="N97">
        <v>1</v>
      </c>
      <c r="O97">
        <v>0</v>
      </c>
      <c r="P97">
        <v>0</v>
      </c>
      <c r="Q97">
        <v>0</v>
      </c>
      <c r="R97">
        <v>1</v>
      </c>
      <c r="T97">
        <v>1</v>
      </c>
      <c r="U97">
        <v>1</v>
      </c>
      <c r="V97">
        <v>1</v>
      </c>
      <c r="W97">
        <v>2</v>
      </c>
      <c r="X97">
        <v>5</v>
      </c>
      <c r="Y97">
        <v>15</v>
      </c>
      <c r="Z97">
        <v>2</v>
      </c>
      <c r="AA97">
        <v>5</v>
      </c>
      <c r="AB97">
        <v>15</v>
      </c>
      <c r="AC97">
        <v>1</v>
      </c>
      <c r="AD97">
        <v>0</v>
      </c>
      <c r="AE97">
        <v>0</v>
      </c>
      <c r="AF97">
        <v>1</v>
      </c>
      <c r="AG97">
        <v>0</v>
      </c>
      <c r="AH97">
        <v>0</v>
      </c>
      <c r="AJ97">
        <v>1</v>
      </c>
      <c r="AL97">
        <v>1</v>
      </c>
      <c r="AN97">
        <v>1</v>
      </c>
      <c r="AO97">
        <v>1</v>
      </c>
      <c r="AP97">
        <v>4</v>
      </c>
      <c r="AQ97">
        <v>2</v>
      </c>
      <c r="AS97">
        <v>2</v>
      </c>
      <c r="AT97">
        <v>1</v>
      </c>
      <c r="AU97">
        <v>1</v>
      </c>
      <c r="AV97">
        <v>1</v>
      </c>
      <c r="AW97">
        <v>0</v>
      </c>
      <c r="AX97">
        <v>0</v>
      </c>
      <c r="AY97">
        <v>0</v>
      </c>
      <c r="AZ97">
        <v>0</v>
      </c>
      <c r="BA97">
        <v>0</v>
      </c>
      <c r="BC97">
        <v>0</v>
      </c>
      <c r="BD97">
        <v>0</v>
      </c>
      <c r="BE97">
        <v>0</v>
      </c>
      <c r="BF97">
        <v>0</v>
      </c>
      <c r="BG97">
        <v>0</v>
      </c>
      <c r="BH97">
        <v>0</v>
      </c>
      <c r="BI97">
        <v>0</v>
      </c>
      <c r="BJ97">
        <v>0</v>
      </c>
      <c r="BK97">
        <v>1</v>
      </c>
      <c r="BL97">
        <v>0</v>
      </c>
      <c r="BM97">
        <v>0</v>
      </c>
      <c r="BN97">
        <v>0</v>
      </c>
      <c r="BO97">
        <v>0</v>
      </c>
      <c r="BP97">
        <v>0</v>
      </c>
      <c r="BQ97">
        <v>0</v>
      </c>
      <c r="BR97">
        <v>0</v>
      </c>
      <c r="BS97">
        <v>0</v>
      </c>
      <c r="BU97">
        <v>9</v>
      </c>
      <c r="BV97">
        <v>1</v>
      </c>
      <c r="BW97" t="s">
        <v>669</v>
      </c>
      <c r="BX97">
        <v>5</v>
      </c>
      <c r="BY97">
        <v>1</v>
      </c>
      <c r="DI97">
        <v>0</v>
      </c>
      <c r="DJ97">
        <v>0</v>
      </c>
      <c r="DK97">
        <v>1</v>
      </c>
      <c r="DL97">
        <v>1</v>
      </c>
      <c r="DM97">
        <v>0</v>
      </c>
      <c r="DN97">
        <v>0</v>
      </c>
      <c r="DO97">
        <v>0</v>
      </c>
      <c r="DP97">
        <v>0</v>
      </c>
      <c r="DQ97">
        <v>0</v>
      </c>
      <c r="DR97">
        <v>0</v>
      </c>
      <c r="DT97">
        <v>0</v>
      </c>
      <c r="DU97">
        <v>1</v>
      </c>
      <c r="DV97">
        <v>1</v>
      </c>
      <c r="DW97">
        <v>1</v>
      </c>
      <c r="DX97">
        <v>0</v>
      </c>
      <c r="DY97">
        <v>0</v>
      </c>
      <c r="DZ97">
        <v>0</v>
      </c>
      <c r="EA97">
        <v>0</v>
      </c>
      <c r="EB97">
        <v>0</v>
      </c>
      <c r="EC97">
        <v>0</v>
      </c>
      <c r="ED97">
        <v>0</v>
      </c>
      <c r="EE97">
        <v>0</v>
      </c>
      <c r="EF97">
        <v>0</v>
      </c>
      <c r="EI97" t="s">
        <v>274</v>
      </c>
      <c r="EJ97">
        <v>1</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t="s">
        <v>670</v>
      </c>
      <c r="FG97">
        <v>0</v>
      </c>
      <c r="FH97">
        <v>0</v>
      </c>
      <c r="FI97">
        <v>0</v>
      </c>
      <c r="FJ97">
        <v>0</v>
      </c>
      <c r="FK97">
        <v>0</v>
      </c>
      <c r="FL97">
        <v>0</v>
      </c>
      <c r="FM97">
        <v>0</v>
      </c>
      <c r="FN97">
        <v>0</v>
      </c>
      <c r="FO97">
        <v>0</v>
      </c>
      <c r="FP97">
        <v>0</v>
      </c>
      <c r="FQ97">
        <v>0</v>
      </c>
      <c r="FR97">
        <v>0</v>
      </c>
      <c r="FS97">
        <v>0</v>
      </c>
      <c r="FT97">
        <v>0</v>
      </c>
      <c r="FU97">
        <v>0</v>
      </c>
      <c r="FV97">
        <v>0</v>
      </c>
      <c r="FW97">
        <v>0</v>
      </c>
      <c r="FX97">
        <v>1</v>
      </c>
      <c r="FY97">
        <v>0</v>
      </c>
      <c r="IG97">
        <v>1</v>
      </c>
      <c r="IH97">
        <v>0</v>
      </c>
      <c r="II97">
        <v>0</v>
      </c>
      <c r="IJ97">
        <v>0</v>
      </c>
      <c r="IK97">
        <v>0</v>
      </c>
      <c r="IL97">
        <v>0</v>
      </c>
      <c r="IM97">
        <v>0</v>
      </c>
      <c r="IN97">
        <v>0</v>
      </c>
      <c r="IO97">
        <v>0</v>
      </c>
      <c r="IP97">
        <v>0</v>
      </c>
      <c r="IQ97">
        <v>0</v>
      </c>
      <c r="IS97">
        <v>1</v>
      </c>
      <c r="IT97">
        <v>1</v>
      </c>
      <c r="IU97">
        <v>1</v>
      </c>
      <c r="IV97">
        <v>1</v>
      </c>
      <c r="IW97">
        <v>0</v>
      </c>
    </row>
    <row r="98" spans="1:257" x14ac:dyDescent="0.35">
      <c r="A98">
        <v>405333</v>
      </c>
      <c r="C98">
        <v>1</v>
      </c>
      <c r="D98" t="s">
        <v>671</v>
      </c>
      <c r="E98" t="s">
        <v>672</v>
      </c>
      <c r="F98" t="s">
        <v>668</v>
      </c>
      <c r="G98">
        <v>13</v>
      </c>
      <c r="I98">
        <v>0</v>
      </c>
      <c r="J98">
        <v>0</v>
      </c>
      <c r="K98">
        <v>1</v>
      </c>
      <c r="L98">
        <v>1</v>
      </c>
      <c r="M98">
        <v>0</v>
      </c>
      <c r="N98">
        <v>1</v>
      </c>
      <c r="O98">
        <v>1</v>
      </c>
      <c r="P98">
        <v>0</v>
      </c>
      <c r="Q98">
        <v>0</v>
      </c>
      <c r="R98">
        <v>1</v>
      </c>
      <c r="T98">
        <v>1</v>
      </c>
      <c r="U98">
        <v>1</v>
      </c>
      <c r="V98">
        <v>0</v>
      </c>
      <c r="W98">
        <v>6</v>
      </c>
      <c r="X98">
        <v>7</v>
      </c>
      <c r="Z98">
        <v>6</v>
      </c>
      <c r="AA98">
        <v>7</v>
      </c>
      <c r="AC98">
        <v>1</v>
      </c>
      <c r="AD98">
        <v>1</v>
      </c>
      <c r="AE98">
        <v>0</v>
      </c>
      <c r="AF98">
        <v>0</v>
      </c>
      <c r="AG98">
        <v>0</v>
      </c>
      <c r="AH98">
        <v>0</v>
      </c>
      <c r="AJ98">
        <v>1</v>
      </c>
      <c r="AL98">
        <v>1</v>
      </c>
      <c r="AN98">
        <v>1</v>
      </c>
      <c r="AO98">
        <v>1</v>
      </c>
      <c r="AP98">
        <v>4</v>
      </c>
      <c r="AQ98">
        <v>1</v>
      </c>
      <c r="AR98">
        <v>5</v>
      </c>
      <c r="AS98">
        <v>1</v>
      </c>
      <c r="AT98">
        <v>1</v>
      </c>
      <c r="AU98">
        <v>2</v>
      </c>
      <c r="BC98">
        <v>0</v>
      </c>
      <c r="BD98">
        <v>0</v>
      </c>
      <c r="BE98">
        <v>0</v>
      </c>
      <c r="BF98">
        <v>0</v>
      </c>
      <c r="BG98">
        <v>1</v>
      </c>
      <c r="BH98">
        <v>0</v>
      </c>
      <c r="BI98">
        <v>0</v>
      </c>
      <c r="BJ98">
        <v>0</v>
      </c>
      <c r="BK98">
        <v>1</v>
      </c>
      <c r="BL98">
        <v>0</v>
      </c>
      <c r="BM98">
        <v>0</v>
      </c>
      <c r="BN98">
        <v>0</v>
      </c>
      <c r="BO98">
        <v>0</v>
      </c>
      <c r="BP98">
        <v>1</v>
      </c>
      <c r="BQ98">
        <v>0</v>
      </c>
      <c r="BR98">
        <v>0</v>
      </c>
      <c r="BS98">
        <v>0</v>
      </c>
      <c r="BU98">
        <v>3</v>
      </c>
      <c r="BV98">
        <v>4</v>
      </c>
      <c r="BX98">
        <v>5</v>
      </c>
      <c r="BY98">
        <v>5</v>
      </c>
      <c r="DI98">
        <v>1</v>
      </c>
      <c r="DJ98">
        <v>1</v>
      </c>
      <c r="DK98">
        <v>1</v>
      </c>
      <c r="DL98">
        <v>1</v>
      </c>
      <c r="DM98">
        <v>1</v>
      </c>
      <c r="DN98">
        <v>1</v>
      </c>
      <c r="DO98">
        <v>1</v>
      </c>
      <c r="DP98">
        <v>1</v>
      </c>
      <c r="DQ98">
        <v>0</v>
      </c>
      <c r="DR98">
        <v>0</v>
      </c>
      <c r="DT98">
        <v>0</v>
      </c>
      <c r="DU98">
        <v>0</v>
      </c>
      <c r="DV98">
        <v>0</v>
      </c>
      <c r="DW98">
        <v>0</v>
      </c>
      <c r="DX98">
        <v>0</v>
      </c>
      <c r="DY98">
        <v>1</v>
      </c>
      <c r="DZ98">
        <v>0</v>
      </c>
      <c r="EA98">
        <v>0</v>
      </c>
      <c r="EB98">
        <v>1</v>
      </c>
      <c r="EC98">
        <v>0</v>
      </c>
      <c r="ED98">
        <v>0</v>
      </c>
      <c r="EE98">
        <v>0</v>
      </c>
      <c r="EF98">
        <v>0</v>
      </c>
      <c r="IG98">
        <v>1</v>
      </c>
      <c r="IH98">
        <v>0</v>
      </c>
      <c r="II98">
        <v>1</v>
      </c>
      <c r="IJ98">
        <v>0</v>
      </c>
      <c r="IK98">
        <v>0</v>
      </c>
      <c r="IL98">
        <v>0</v>
      </c>
      <c r="IM98">
        <v>0</v>
      </c>
      <c r="IN98">
        <v>0</v>
      </c>
      <c r="IO98">
        <v>0</v>
      </c>
      <c r="IP98">
        <v>0</v>
      </c>
      <c r="IQ98">
        <v>0</v>
      </c>
      <c r="IS98">
        <v>2</v>
      </c>
    </row>
    <row r="99" spans="1:257" x14ac:dyDescent="0.35">
      <c r="A99">
        <v>405201</v>
      </c>
      <c r="C99">
        <v>1</v>
      </c>
      <c r="D99" t="s">
        <v>673</v>
      </c>
      <c r="E99" t="s">
        <v>674</v>
      </c>
      <c r="F99" t="s">
        <v>668</v>
      </c>
      <c r="G99">
        <v>2</v>
      </c>
      <c r="I99">
        <v>1</v>
      </c>
      <c r="J99">
        <v>1</v>
      </c>
      <c r="K99">
        <v>1</v>
      </c>
      <c r="L99">
        <v>0</v>
      </c>
      <c r="M99">
        <v>0</v>
      </c>
      <c r="N99">
        <v>0</v>
      </c>
      <c r="O99">
        <v>0</v>
      </c>
      <c r="P99">
        <v>1</v>
      </c>
      <c r="Q99">
        <v>0</v>
      </c>
      <c r="R99">
        <v>1</v>
      </c>
      <c r="T99">
        <v>0</v>
      </c>
      <c r="U99">
        <v>1</v>
      </c>
      <c r="V99">
        <v>0</v>
      </c>
      <c r="X99">
        <v>9</v>
      </c>
      <c r="AA99">
        <v>9</v>
      </c>
      <c r="AC99">
        <v>1</v>
      </c>
      <c r="AD99">
        <v>0</v>
      </c>
      <c r="AE99">
        <v>0</v>
      </c>
      <c r="AF99">
        <v>0</v>
      </c>
      <c r="AG99">
        <v>0</v>
      </c>
      <c r="AH99">
        <v>0</v>
      </c>
      <c r="AJ99">
        <v>1</v>
      </c>
      <c r="AL99">
        <v>1</v>
      </c>
      <c r="AN99">
        <v>1</v>
      </c>
      <c r="AO99">
        <v>1</v>
      </c>
      <c r="AP99">
        <v>5</v>
      </c>
      <c r="AQ99">
        <v>2</v>
      </c>
      <c r="AS99">
        <v>2</v>
      </c>
      <c r="AT99">
        <v>1</v>
      </c>
      <c r="AU99">
        <v>2</v>
      </c>
      <c r="BC99">
        <v>0</v>
      </c>
      <c r="BD99">
        <v>0</v>
      </c>
      <c r="BE99">
        <v>1</v>
      </c>
      <c r="BF99">
        <v>1</v>
      </c>
      <c r="BG99">
        <v>1</v>
      </c>
      <c r="BH99">
        <v>1</v>
      </c>
      <c r="BI99">
        <v>0</v>
      </c>
      <c r="BJ99">
        <v>1</v>
      </c>
      <c r="BK99">
        <v>1</v>
      </c>
      <c r="BL99">
        <v>0</v>
      </c>
      <c r="BM99">
        <v>0</v>
      </c>
      <c r="BN99">
        <v>1</v>
      </c>
      <c r="BO99">
        <v>0</v>
      </c>
      <c r="BP99">
        <v>1</v>
      </c>
      <c r="BQ99">
        <v>0</v>
      </c>
      <c r="BR99">
        <v>0</v>
      </c>
      <c r="BS99">
        <v>0</v>
      </c>
      <c r="BU99">
        <v>12</v>
      </c>
      <c r="BV99">
        <v>4</v>
      </c>
      <c r="BX99">
        <v>3</v>
      </c>
      <c r="BY99">
        <v>2</v>
      </c>
      <c r="DI99">
        <v>1</v>
      </c>
      <c r="DJ99">
        <v>0</v>
      </c>
      <c r="DK99">
        <v>1</v>
      </c>
      <c r="DL99">
        <v>0</v>
      </c>
      <c r="DM99">
        <v>1</v>
      </c>
      <c r="DN99">
        <v>1</v>
      </c>
      <c r="DO99">
        <v>0</v>
      </c>
      <c r="DP99">
        <v>0</v>
      </c>
      <c r="DQ99">
        <v>0</v>
      </c>
      <c r="DR99">
        <v>0</v>
      </c>
      <c r="DT99">
        <v>0</v>
      </c>
      <c r="DU99">
        <v>0</v>
      </c>
      <c r="DV99">
        <v>0</v>
      </c>
      <c r="DW99">
        <v>1</v>
      </c>
      <c r="DX99">
        <v>0</v>
      </c>
      <c r="DY99">
        <v>0</v>
      </c>
      <c r="DZ99">
        <v>0</v>
      </c>
      <c r="EA99">
        <v>0</v>
      </c>
      <c r="EB99">
        <v>0</v>
      </c>
      <c r="EC99">
        <v>0</v>
      </c>
      <c r="ED99">
        <v>0</v>
      </c>
      <c r="EE99">
        <v>1</v>
      </c>
      <c r="EF99">
        <v>0</v>
      </c>
      <c r="IE99" t="s">
        <v>675</v>
      </c>
      <c r="IF99">
        <v>1</v>
      </c>
      <c r="IG99">
        <v>1</v>
      </c>
      <c r="IH99">
        <v>0</v>
      </c>
      <c r="II99">
        <v>0</v>
      </c>
      <c r="IJ99">
        <v>0</v>
      </c>
      <c r="IK99">
        <v>0</v>
      </c>
      <c r="IL99">
        <v>1</v>
      </c>
      <c r="IM99">
        <v>0</v>
      </c>
      <c r="IN99">
        <v>0</v>
      </c>
      <c r="IO99">
        <v>0</v>
      </c>
      <c r="IP99">
        <v>0</v>
      </c>
      <c r="IQ99">
        <v>0</v>
      </c>
      <c r="IS99">
        <v>2</v>
      </c>
    </row>
    <row r="100" spans="1:257" x14ac:dyDescent="0.35">
      <c r="A100">
        <v>370091</v>
      </c>
      <c r="C100">
        <v>1</v>
      </c>
      <c r="D100" t="s">
        <v>676</v>
      </c>
      <c r="E100" t="s">
        <v>677</v>
      </c>
      <c r="F100" t="s">
        <v>678</v>
      </c>
      <c r="G100">
        <v>3</v>
      </c>
      <c r="I100">
        <v>0</v>
      </c>
      <c r="J100">
        <v>0</v>
      </c>
      <c r="K100">
        <v>1</v>
      </c>
      <c r="L100">
        <v>0</v>
      </c>
      <c r="M100">
        <v>0</v>
      </c>
      <c r="N100">
        <v>0</v>
      </c>
      <c r="O100">
        <v>0</v>
      </c>
      <c r="P100">
        <v>0</v>
      </c>
      <c r="Q100">
        <v>0</v>
      </c>
      <c r="R100">
        <v>1</v>
      </c>
      <c r="T100">
        <v>0</v>
      </c>
      <c r="U100">
        <v>1</v>
      </c>
      <c r="V100">
        <v>0</v>
      </c>
      <c r="X100">
        <v>16</v>
      </c>
      <c r="AA100">
        <v>16</v>
      </c>
      <c r="AC100">
        <v>1</v>
      </c>
      <c r="AD100">
        <v>1</v>
      </c>
      <c r="AE100">
        <v>0</v>
      </c>
      <c r="AF100">
        <v>0</v>
      </c>
      <c r="AG100">
        <v>0</v>
      </c>
      <c r="AH100">
        <v>0</v>
      </c>
      <c r="AJ100">
        <v>1</v>
      </c>
      <c r="AL100">
        <v>1</v>
      </c>
      <c r="AN100">
        <v>1</v>
      </c>
      <c r="AO100">
        <v>1</v>
      </c>
      <c r="AP100">
        <v>4</v>
      </c>
      <c r="AQ100">
        <v>1</v>
      </c>
      <c r="AR100">
        <v>4</v>
      </c>
      <c r="AS100">
        <v>2</v>
      </c>
      <c r="AT100">
        <v>1</v>
      </c>
      <c r="AU100">
        <v>1</v>
      </c>
      <c r="AV100">
        <v>1</v>
      </c>
      <c r="AW100">
        <v>0</v>
      </c>
      <c r="AX100">
        <v>0</v>
      </c>
      <c r="AY100">
        <v>0</v>
      </c>
      <c r="AZ100">
        <v>0</v>
      </c>
      <c r="BA100">
        <v>0</v>
      </c>
      <c r="BC100">
        <v>0</v>
      </c>
      <c r="BD100">
        <v>0</v>
      </c>
      <c r="BE100">
        <v>0</v>
      </c>
      <c r="BF100">
        <v>0</v>
      </c>
      <c r="BG100">
        <v>1</v>
      </c>
      <c r="BH100">
        <v>0</v>
      </c>
      <c r="BI100">
        <v>0</v>
      </c>
      <c r="BJ100">
        <v>0</v>
      </c>
      <c r="BK100">
        <v>0</v>
      </c>
      <c r="BL100">
        <v>0</v>
      </c>
      <c r="BM100">
        <v>0</v>
      </c>
      <c r="BN100">
        <v>0</v>
      </c>
      <c r="BO100">
        <v>0</v>
      </c>
      <c r="BP100">
        <v>0</v>
      </c>
      <c r="BQ100">
        <v>0</v>
      </c>
      <c r="BR100">
        <v>0</v>
      </c>
      <c r="BS100">
        <v>0</v>
      </c>
      <c r="BU100">
        <v>5</v>
      </c>
      <c r="BV100">
        <v>4</v>
      </c>
      <c r="BX100">
        <v>4</v>
      </c>
      <c r="BY100">
        <v>4</v>
      </c>
      <c r="DI100">
        <v>0</v>
      </c>
      <c r="DJ100">
        <v>0</v>
      </c>
      <c r="DK100">
        <v>0</v>
      </c>
      <c r="DL100">
        <v>1</v>
      </c>
      <c r="DM100">
        <v>1</v>
      </c>
      <c r="DN100">
        <v>0</v>
      </c>
      <c r="DO100">
        <v>0</v>
      </c>
      <c r="DP100">
        <v>0</v>
      </c>
      <c r="DQ100">
        <v>0</v>
      </c>
      <c r="DR100">
        <v>0</v>
      </c>
      <c r="DT100">
        <v>0</v>
      </c>
      <c r="DU100">
        <v>0</v>
      </c>
      <c r="DV100">
        <v>0</v>
      </c>
      <c r="DW100">
        <v>0</v>
      </c>
      <c r="DX100">
        <v>0</v>
      </c>
      <c r="DY100">
        <v>0</v>
      </c>
      <c r="DZ100">
        <v>0</v>
      </c>
      <c r="EA100">
        <v>0</v>
      </c>
      <c r="EB100">
        <v>0</v>
      </c>
      <c r="EC100">
        <v>0</v>
      </c>
      <c r="ED100">
        <v>1</v>
      </c>
      <c r="EE100">
        <v>0</v>
      </c>
      <c r="EF100">
        <v>0</v>
      </c>
      <c r="IG100">
        <v>1</v>
      </c>
      <c r="IH100">
        <v>1</v>
      </c>
      <c r="II100">
        <v>1</v>
      </c>
      <c r="IJ100">
        <v>0</v>
      </c>
      <c r="IK100">
        <v>0</v>
      </c>
      <c r="IL100">
        <v>0</v>
      </c>
      <c r="IM100">
        <v>0</v>
      </c>
      <c r="IN100">
        <v>0</v>
      </c>
      <c r="IO100">
        <v>0</v>
      </c>
      <c r="IP100">
        <v>0</v>
      </c>
      <c r="IQ100">
        <v>0</v>
      </c>
      <c r="IS100">
        <v>1</v>
      </c>
      <c r="IT100">
        <v>1</v>
      </c>
      <c r="IU100">
        <v>1</v>
      </c>
      <c r="IV100">
        <v>0</v>
      </c>
      <c r="IW100">
        <v>0</v>
      </c>
    </row>
    <row r="101" spans="1:257" x14ac:dyDescent="0.35">
      <c r="A101">
        <v>405384</v>
      </c>
      <c r="C101">
        <v>1</v>
      </c>
      <c r="D101" t="s">
        <v>679</v>
      </c>
      <c r="E101" t="s">
        <v>680</v>
      </c>
      <c r="F101" t="s">
        <v>668</v>
      </c>
      <c r="G101">
        <v>3</v>
      </c>
      <c r="I101">
        <v>1</v>
      </c>
      <c r="J101">
        <v>0</v>
      </c>
      <c r="K101">
        <v>1</v>
      </c>
      <c r="L101">
        <v>0</v>
      </c>
      <c r="M101">
        <v>0</v>
      </c>
      <c r="N101">
        <v>0</v>
      </c>
      <c r="O101">
        <v>0</v>
      </c>
      <c r="P101">
        <v>1</v>
      </c>
      <c r="Q101">
        <v>0</v>
      </c>
      <c r="R101">
        <v>1</v>
      </c>
      <c r="T101">
        <v>0</v>
      </c>
      <c r="U101">
        <v>1</v>
      </c>
      <c r="V101">
        <v>0</v>
      </c>
      <c r="X101">
        <v>35</v>
      </c>
      <c r="AA101">
        <v>35</v>
      </c>
      <c r="AC101">
        <v>1</v>
      </c>
      <c r="AD101">
        <v>0</v>
      </c>
      <c r="AE101">
        <v>0</v>
      </c>
      <c r="AF101">
        <v>0</v>
      </c>
      <c r="AG101">
        <v>0</v>
      </c>
      <c r="AH101">
        <v>0</v>
      </c>
      <c r="AJ101">
        <v>1</v>
      </c>
      <c r="AL101">
        <v>1</v>
      </c>
      <c r="AN101">
        <v>1</v>
      </c>
      <c r="AO101">
        <v>1</v>
      </c>
      <c r="AP101">
        <v>1</v>
      </c>
      <c r="AQ101">
        <v>1</v>
      </c>
      <c r="AR101">
        <v>5</v>
      </c>
      <c r="AS101">
        <v>1</v>
      </c>
      <c r="AT101">
        <v>1</v>
      </c>
      <c r="AU101">
        <v>1</v>
      </c>
      <c r="AV101">
        <v>1</v>
      </c>
      <c r="AW101">
        <v>0</v>
      </c>
      <c r="AX101">
        <v>0</v>
      </c>
      <c r="AY101">
        <v>1</v>
      </c>
      <c r="AZ101">
        <v>0</v>
      </c>
      <c r="BA101">
        <v>0</v>
      </c>
      <c r="BC101">
        <v>1</v>
      </c>
      <c r="BD101">
        <v>0</v>
      </c>
      <c r="BE101">
        <v>1</v>
      </c>
      <c r="BF101">
        <v>0</v>
      </c>
      <c r="BG101">
        <v>0</v>
      </c>
      <c r="BH101">
        <v>0</v>
      </c>
      <c r="BI101">
        <v>0</v>
      </c>
      <c r="BJ101">
        <v>0</v>
      </c>
      <c r="BK101">
        <v>1</v>
      </c>
      <c r="BL101">
        <v>0</v>
      </c>
      <c r="BM101">
        <v>0</v>
      </c>
      <c r="BN101">
        <v>0</v>
      </c>
      <c r="BO101">
        <v>0</v>
      </c>
      <c r="BP101">
        <v>0</v>
      </c>
      <c r="BQ101">
        <v>0</v>
      </c>
      <c r="BR101">
        <v>0</v>
      </c>
      <c r="BS101">
        <v>0</v>
      </c>
      <c r="BU101">
        <v>2</v>
      </c>
      <c r="BV101">
        <v>4</v>
      </c>
      <c r="BX101">
        <v>3</v>
      </c>
      <c r="BY101">
        <v>3</v>
      </c>
      <c r="DI101">
        <v>0</v>
      </c>
      <c r="DJ101">
        <v>1</v>
      </c>
      <c r="DK101">
        <v>0</v>
      </c>
      <c r="DL101">
        <v>1</v>
      </c>
      <c r="DM101">
        <v>1</v>
      </c>
      <c r="DN101">
        <v>1</v>
      </c>
      <c r="DO101">
        <v>0</v>
      </c>
      <c r="DP101">
        <v>0</v>
      </c>
      <c r="DQ101">
        <v>0</v>
      </c>
      <c r="DR101">
        <v>0</v>
      </c>
      <c r="DT101">
        <v>1</v>
      </c>
      <c r="DU101">
        <v>1</v>
      </c>
      <c r="DV101">
        <v>0</v>
      </c>
      <c r="DW101">
        <v>0</v>
      </c>
      <c r="DX101">
        <v>0</v>
      </c>
      <c r="DY101">
        <v>0</v>
      </c>
      <c r="DZ101">
        <v>0</v>
      </c>
      <c r="EA101">
        <v>0</v>
      </c>
      <c r="EB101">
        <v>0</v>
      </c>
      <c r="EC101">
        <v>0</v>
      </c>
      <c r="ED101">
        <v>0</v>
      </c>
      <c r="EE101">
        <v>1</v>
      </c>
      <c r="EF101">
        <v>0</v>
      </c>
      <c r="EG101" t="s">
        <v>681</v>
      </c>
      <c r="EH101">
        <v>6</v>
      </c>
      <c r="EI101" t="s">
        <v>274</v>
      </c>
      <c r="EJ101">
        <v>1</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IE101" t="s">
        <v>641</v>
      </c>
      <c r="IF101">
        <v>5</v>
      </c>
      <c r="IG101">
        <v>1</v>
      </c>
      <c r="IH101">
        <v>1</v>
      </c>
      <c r="II101">
        <v>1</v>
      </c>
      <c r="IJ101">
        <v>0</v>
      </c>
      <c r="IK101">
        <v>0</v>
      </c>
      <c r="IL101">
        <v>0</v>
      </c>
      <c r="IM101">
        <v>0</v>
      </c>
      <c r="IN101">
        <v>0</v>
      </c>
      <c r="IO101">
        <v>0</v>
      </c>
      <c r="IP101">
        <v>0</v>
      </c>
      <c r="IQ101">
        <v>0</v>
      </c>
      <c r="IS101">
        <v>1</v>
      </c>
      <c r="IT101">
        <v>1</v>
      </c>
      <c r="IU101">
        <v>1</v>
      </c>
      <c r="IV101">
        <v>0</v>
      </c>
      <c r="IW101">
        <v>0</v>
      </c>
    </row>
    <row r="102" spans="1:257" x14ac:dyDescent="0.35">
      <c r="A102">
        <v>405340</v>
      </c>
      <c r="C102">
        <v>1</v>
      </c>
      <c r="D102" t="s">
        <v>682</v>
      </c>
      <c r="E102" t="s">
        <v>683</v>
      </c>
      <c r="F102" t="s">
        <v>668</v>
      </c>
      <c r="G102">
        <v>1</v>
      </c>
      <c r="I102">
        <v>1</v>
      </c>
      <c r="J102">
        <v>0</v>
      </c>
      <c r="K102">
        <v>0</v>
      </c>
      <c r="L102">
        <v>0</v>
      </c>
      <c r="M102">
        <v>0</v>
      </c>
      <c r="N102">
        <v>0</v>
      </c>
      <c r="O102">
        <v>0</v>
      </c>
      <c r="P102">
        <v>0</v>
      </c>
      <c r="Q102">
        <v>0</v>
      </c>
      <c r="R102">
        <v>1</v>
      </c>
      <c r="T102">
        <v>0</v>
      </c>
      <c r="U102">
        <v>1</v>
      </c>
      <c r="V102">
        <v>0</v>
      </c>
      <c r="X102">
        <v>2</v>
      </c>
      <c r="AA102">
        <v>2</v>
      </c>
      <c r="AC102">
        <v>1</v>
      </c>
      <c r="AD102">
        <v>0</v>
      </c>
      <c r="AE102">
        <v>0</v>
      </c>
      <c r="AF102">
        <v>0</v>
      </c>
      <c r="AG102">
        <v>0</v>
      </c>
      <c r="AH102">
        <v>0</v>
      </c>
      <c r="AJ102">
        <v>1</v>
      </c>
      <c r="AL102">
        <v>1</v>
      </c>
      <c r="AN102">
        <v>1</v>
      </c>
      <c r="AO102">
        <v>1</v>
      </c>
      <c r="AP102">
        <v>2</v>
      </c>
      <c r="AQ102">
        <v>1</v>
      </c>
      <c r="AR102">
        <v>2</v>
      </c>
      <c r="AS102">
        <v>2</v>
      </c>
      <c r="AT102">
        <v>1</v>
      </c>
      <c r="AU102">
        <v>1</v>
      </c>
      <c r="AV102">
        <v>1</v>
      </c>
      <c r="AW102">
        <v>0</v>
      </c>
      <c r="AX102">
        <v>0</v>
      </c>
      <c r="AY102">
        <v>0</v>
      </c>
      <c r="AZ102">
        <v>0</v>
      </c>
      <c r="BA102">
        <v>0</v>
      </c>
      <c r="BC102">
        <v>1</v>
      </c>
      <c r="BD102">
        <v>0</v>
      </c>
      <c r="BE102">
        <v>1</v>
      </c>
      <c r="BF102">
        <v>0</v>
      </c>
      <c r="BG102">
        <v>1</v>
      </c>
      <c r="BH102">
        <v>0</v>
      </c>
      <c r="BI102">
        <v>0</v>
      </c>
      <c r="BJ102">
        <v>1</v>
      </c>
      <c r="BK102">
        <v>1</v>
      </c>
      <c r="BL102">
        <v>0</v>
      </c>
      <c r="BM102">
        <v>0</v>
      </c>
      <c r="BN102">
        <v>1</v>
      </c>
      <c r="BO102">
        <v>0</v>
      </c>
      <c r="BP102">
        <v>1</v>
      </c>
      <c r="BQ102">
        <v>0</v>
      </c>
      <c r="BR102">
        <v>0</v>
      </c>
      <c r="BS102">
        <v>0</v>
      </c>
      <c r="BU102">
        <v>3</v>
      </c>
      <c r="BV102">
        <v>2</v>
      </c>
      <c r="BW102" t="s">
        <v>684</v>
      </c>
      <c r="BX102">
        <v>4</v>
      </c>
      <c r="BY102">
        <v>3</v>
      </c>
      <c r="DI102">
        <v>0</v>
      </c>
      <c r="DJ102">
        <v>0</v>
      </c>
      <c r="DK102">
        <v>1</v>
      </c>
      <c r="DL102">
        <v>0</v>
      </c>
      <c r="DM102">
        <v>0</v>
      </c>
      <c r="DN102">
        <v>1</v>
      </c>
      <c r="DO102">
        <v>0</v>
      </c>
      <c r="DP102">
        <v>0</v>
      </c>
      <c r="DQ102">
        <v>0</v>
      </c>
      <c r="DR102">
        <v>0</v>
      </c>
      <c r="DT102">
        <v>0</v>
      </c>
      <c r="DU102">
        <v>1</v>
      </c>
      <c r="DV102">
        <v>0</v>
      </c>
      <c r="DW102">
        <v>0</v>
      </c>
      <c r="DX102">
        <v>1</v>
      </c>
      <c r="DY102">
        <v>0</v>
      </c>
      <c r="DZ102">
        <v>0</v>
      </c>
      <c r="EA102">
        <v>0</v>
      </c>
      <c r="EB102">
        <v>1</v>
      </c>
      <c r="EC102">
        <v>0</v>
      </c>
      <c r="ED102">
        <v>1</v>
      </c>
      <c r="EE102">
        <v>0</v>
      </c>
      <c r="EF102">
        <v>0</v>
      </c>
      <c r="EI102" t="s">
        <v>685</v>
      </c>
      <c r="EJ102">
        <v>0</v>
      </c>
      <c r="EK102">
        <v>1</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IG102">
        <v>1</v>
      </c>
      <c r="IH102">
        <v>0</v>
      </c>
      <c r="II102">
        <v>0</v>
      </c>
      <c r="IJ102">
        <v>0</v>
      </c>
      <c r="IK102">
        <v>0</v>
      </c>
      <c r="IL102">
        <v>0</v>
      </c>
      <c r="IM102">
        <v>1</v>
      </c>
      <c r="IN102">
        <v>0</v>
      </c>
      <c r="IO102">
        <v>0</v>
      </c>
      <c r="IP102">
        <v>0</v>
      </c>
      <c r="IQ102">
        <v>0</v>
      </c>
      <c r="IS102">
        <v>1</v>
      </c>
      <c r="IT102">
        <v>1</v>
      </c>
      <c r="IU102">
        <v>1</v>
      </c>
      <c r="IV102">
        <v>1</v>
      </c>
      <c r="IW102">
        <v>0</v>
      </c>
    </row>
    <row r="103" spans="1:257" x14ac:dyDescent="0.35">
      <c r="A103">
        <v>355551</v>
      </c>
      <c r="C103">
        <v>1</v>
      </c>
      <c r="D103" t="s">
        <v>686</v>
      </c>
      <c r="E103" t="s">
        <v>687</v>
      </c>
      <c r="F103" t="s">
        <v>668</v>
      </c>
      <c r="G103">
        <v>3</v>
      </c>
      <c r="I103">
        <v>1</v>
      </c>
      <c r="J103">
        <v>0</v>
      </c>
      <c r="K103">
        <v>1</v>
      </c>
      <c r="L103">
        <v>0</v>
      </c>
      <c r="M103">
        <v>0</v>
      </c>
      <c r="N103">
        <v>0</v>
      </c>
      <c r="O103">
        <v>1</v>
      </c>
      <c r="P103">
        <v>1</v>
      </c>
      <c r="Q103">
        <v>0</v>
      </c>
      <c r="R103">
        <v>1</v>
      </c>
      <c r="T103">
        <v>1</v>
      </c>
      <c r="U103">
        <v>1</v>
      </c>
      <c r="V103">
        <v>0</v>
      </c>
      <c r="W103">
        <v>1</v>
      </c>
      <c r="X103">
        <v>14</v>
      </c>
      <c r="Z103">
        <v>1</v>
      </c>
      <c r="AA103">
        <v>14</v>
      </c>
      <c r="AC103">
        <v>1</v>
      </c>
      <c r="AD103">
        <v>0</v>
      </c>
      <c r="AE103">
        <v>0</v>
      </c>
      <c r="AF103">
        <v>0</v>
      </c>
      <c r="AG103">
        <v>0</v>
      </c>
      <c r="AH103">
        <v>0</v>
      </c>
      <c r="AJ103">
        <v>1</v>
      </c>
      <c r="AL103">
        <v>1</v>
      </c>
      <c r="AN103">
        <v>1</v>
      </c>
      <c r="AO103">
        <v>1</v>
      </c>
      <c r="AP103">
        <v>5</v>
      </c>
      <c r="AQ103">
        <v>1</v>
      </c>
      <c r="AR103">
        <v>6</v>
      </c>
      <c r="AS103">
        <v>1</v>
      </c>
      <c r="AT103">
        <v>1</v>
      </c>
      <c r="AU103">
        <v>2</v>
      </c>
      <c r="BC103">
        <v>0</v>
      </c>
      <c r="BD103">
        <v>0</v>
      </c>
      <c r="BE103">
        <v>1</v>
      </c>
      <c r="BF103">
        <v>0</v>
      </c>
      <c r="BG103">
        <v>1</v>
      </c>
      <c r="BH103">
        <v>0</v>
      </c>
      <c r="BI103">
        <v>0</v>
      </c>
      <c r="BJ103">
        <v>0</v>
      </c>
      <c r="BK103">
        <v>1</v>
      </c>
      <c r="BL103">
        <v>0</v>
      </c>
      <c r="BM103">
        <v>0</v>
      </c>
      <c r="BN103">
        <v>1</v>
      </c>
      <c r="BO103">
        <v>0</v>
      </c>
      <c r="BP103">
        <v>0</v>
      </c>
      <c r="BQ103">
        <v>0</v>
      </c>
      <c r="BR103">
        <v>0</v>
      </c>
      <c r="BS103">
        <v>0</v>
      </c>
      <c r="BU103">
        <v>3</v>
      </c>
      <c r="BV103">
        <v>4</v>
      </c>
      <c r="BX103">
        <v>4</v>
      </c>
      <c r="BY103">
        <v>6</v>
      </c>
      <c r="DI103">
        <v>1</v>
      </c>
      <c r="DJ103">
        <v>0</v>
      </c>
      <c r="DK103">
        <v>0</v>
      </c>
      <c r="DL103">
        <v>0</v>
      </c>
      <c r="DM103">
        <v>1</v>
      </c>
      <c r="DN103">
        <v>0</v>
      </c>
      <c r="DO103">
        <v>0</v>
      </c>
      <c r="DP103">
        <v>0</v>
      </c>
      <c r="DQ103">
        <v>0</v>
      </c>
      <c r="DR103">
        <v>0</v>
      </c>
      <c r="DT103">
        <v>0</v>
      </c>
      <c r="DU103">
        <v>1</v>
      </c>
      <c r="DV103">
        <v>1</v>
      </c>
      <c r="DW103">
        <v>1</v>
      </c>
      <c r="DX103">
        <v>1</v>
      </c>
      <c r="DY103">
        <v>0</v>
      </c>
      <c r="DZ103">
        <v>0</v>
      </c>
      <c r="EA103">
        <v>1</v>
      </c>
      <c r="EB103">
        <v>1</v>
      </c>
      <c r="EC103">
        <v>1</v>
      </c>
      <c r="ED103">
        <v>1</v>
      </c>
      <c r="EE103">
        <v>0</v>
      </c>
      <c r="EF103">
        <v>0</v>
      </c>
      <c r="EI103" t="s">
        <v>274</v>
      </c>
      <c r="EJ103">
        <v>1</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t="s">
        <v>688</v>
      </c>
      <c r="FG103">
        <v>0</v>
      </c>
      <c r="FH103">
        <v>0</v>
      </c>
      <c r="FI103">
        <v>0</v>
      </c>
      <c r="FJ103">
        <v>1</v>
      </c>
      <c r="FK103">
        <v>0</v>
      </c>
      <c r="FL103">
        <v>0</v>
      </c>
      <c r="FM103">
        <v>0</v>
      </c>
      <c r="FN103">
        <v>0</v>
      </c>
      <c r="FO103">
        <v>0</v>
      </c>
      <c r="FP103">
        <v>0</v>
      </c>
      <c r="FQ103">
        <v>0</v>
      </c>
      <c r="FR103">
        <v>0</v>
      </c>
      <c r="FS103">
        <v>0</v>
      </c>
      <c r="FT103">
        <v>0</v>
      </c>
      <c r="FU103">
        <v>0</v>
      </c>
      <c r="FV103">
        <v>0</v>
      </c>
      <c r="FW103">
        <v>0</v>
      </c>
      <c r="FX103">
        <v>0</v>
      </c>
      <c r="FY103">
        <v>0</v>
      </c>
      <c r="GJ103" t="s">
        <v>641</v>
      </c>
      <c r="GK103">
        <v>0</v>
      </c>
      <c r="GL103">
        <v>0</v>
      </c>
      <c r="GM103">
        <v>0</v>
      </c>
      <c r="GN103">
        <v>0</v>
      </c>
      <c r="GO103">
        <v>0</v>
      </c>
      <c r="GP103">
        <v>0</v>
      </c>
      <c r="GQ103">
        <v>0</v>
      </c>
      <c r="GR103">
        <v>0</v>
      </c>
      <c r="GS103">
        <v>0</v>
      </c>
      <c r="GT103">
        <v>0</v>
      </c>
      <c r="GU103">
        <v>0</v>
      </c>
      <c r="GV103">
        <v>0</v>
      </c>
      <c r="GW103">
        <v>0</v>
      </c>
      <c r="GX103">
        <v>0</v>
      </c>
      <c r="GY103">
        <v>1</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G103">
        <v>1</v>
      </c>
      <c r="IH103">
        <v>0</v>
      </c>
      <c r="II103">
        <v>0</v>
      </c>
      <c r="IJ103">
        <v>0</v>
      </c>
      <c r="IK103">
        <v>0</v>
      </c>
      <c r="IL103">
        <v>0</v>
      </c>
      <c r="IM103">
        <v>1</v>
      </c>
      <c r="IN103">
        <v>0</v>
      </c>
      <c r="IO103">
        <v>0</v>
      </c>
      <c r="IP103">
        <v>0</v>
      </c>
      <c r="IQ103">
        <v>0</v>
      </c>
      <c r="IS103">
        <v>2</v>
      </c>
    </row>
    <row r="104" spans="1:257" x14ac:dyDescent="0.35">
      <c r="A104">
        <v>405337</v>
      </c>
      <c r="C104">
        <v>1</v>
      </c>
      <c r="D104" t="s">
        <v>689</v>
      </c>
      <c r="E104" t="s">
        <v>690</v>
      </c>
      <c r="F104" t="s">
        <v>668</v>
      </c>
      <c r="G104">
        <v>3</v>
      </c>
      <c r="I104">
        <v>0</v>
      </c>
      <c r="J104">
        <v>0</v>
      </c>
      <c r="K104">
        <v>1</v>
      </c>
      <c r="L104">
        <v>0</v>
      </c>
      <c r="M104">
        <v>0</v>
      </c>
      <c r="N104">
        <v>1</v>
      </c>
      <c r="O104">
        <v>0</v>
      </c>
      <c r="P104">
        <v>1</v>
      </c>
      <c r="Q104">
        <v>0</v>
      </c>
      <c r="R104">
        <v>1</v>
      </c>
      <c r="T104">
        <v>0</v>
      </c>
      <c r="U104">
        <v>1</v>
      </c>
      <c r="V104">
        <v>1</v>
      </c>
      <c r="X104">
        <v>15</v>
      </c>
      <c r="Y104">
        <v>1</v>
      </c>
      <c r="AA104">
        <v>15</v>
      </c>
      <c r="AB104">
        <v>1</v>
      </c>
      <c r="AC104">
        <v>1</v>
      </c>
      <c r="AD104">
        <v>0</v>
      </c>
      <c r="AE104">
        <v>0</v>
      </c>
      <c r="AF104">
        <v>0</v>
      </c>
      <c r="AG104">
        <v>0</v>
      </c>
      <c r="AH104">
        <v>0</v>
      </c>
      <c r="AJ104">
        <v>1</v>
      </c>
      <c r="AL104">
        <v>1</v>
      </c>
      <c r="AN104">
        <v>1</v>
      </c>
      <c r="AO104">
        <v>1</v>
      </c>
      <c r="AP104">
        <v>4</v>
      </c>
      <c r="AQ104">
        <v>1</v>
      </c>
      <c r="AR104">
        <v>4</v>
      </c>
      <c r="AS104">
        <v>1</v>
      </c>
      <c r="AT104">
        <v>1</v>
      </c>
      <c r="AU104">
        <v>1</v>
      </c>
      <c r="AV104">
        <v>1</v>
      </c>
      <c r="AW104">
        <v>0</v>
      </c>
      <c r="AX104">
        <v>0</v>
      </c>
      <c r="AY104">
        <v>0</v>
      </c>
      <c r="AZ104">
        <v>0</v>
      </c>
      <c r="BA104">
        <v>0</v>
      </c>
      <c r="BC104">
        <v>0</v>
      </c>
      <c r="BD104">
        <v>0</v>
      </c>
      <c r="BE104">
        <v>0</v>
      </c>
      <c r="BF104">
        <v>0</v>
      </c>
      <c r="BG104">
        <v>0</v>
      </c>
      <c r="BH104">
        <v>0</v>
      </c>
      <c r="BI104">
        <v>0</v>
      </c>
      <c r="BJ104">
        <v>0</v>
      </c>
      <c r="BK104">
        <v>0</v>
      </c>
      <c r="BL104">
        <v>0</v>
      </c>
      <c r="BM104">
        <v>0</v>
      </c>
      <c r="BN104">
        <v>0</v>
      </c>
      <c r="BO104">
        <v>0</v>
      </c>
      <c r="BP104">
        <v>0</v>
      </c>
      <c r="BQ104">
        <v>0</v>
      </c>
      <c r="BR104">
        <v>0</v>
      </c>
      <c r="BS104">
        <v>1</v>
      </c>
      <c r="BT104" t="s">
        <v>691</v>
      </c>
      <c r="BU104">
        <v>12</v>
      </c>
      <c r="BV104">
        <v>4</v>
      </c>
      <c r="BX104">
        <v>4</v>
      </c>
      <c r="BY104">
        <v>4</v>
      </c>
      <c r="DI104">
        <v>1</v>
      </c>
      <c r="DJ104">
        <v>0</v>
      </c>
      <c r="DK104">
        <v>0</v>
      </c>
      <c r="DL104">
        <v>0</v>
      </c>
      <c r="DM104">
        <v>0</v>
      </c>
      <c r="DN104">
        <v>0</v>
      </c>
      <c r="DO104">
        <v>0</v>
      </c>
      <c r="DP104">
        <v>0</v>
      </c>
      <c r="DQ104">
        <v>0</v>
      </c>
      <c r="DR104">
        <v>0</v>
      </c>
      <c r="DT104">
        <v>0</v>
      </c>
      <c r="DU104">
        <v>0</v>
      </c>
      <c r="DV104">
        <v>0</v>
      </c>
      <c r="DW104">
        <v>0</v>
      </c>
      <c r="DX104">
        <v>0</v>
      </c>
      <c r="DY104">
        <v>0</v>
      </c>
      <c r="DZ104">
        <v>0</v>
      </c>
      <c r="EA104">
        <v>1</v>
      </c>
      <c r="EB104">
        <v>1</v>
      </c>
      <c r="EC104">
        <v>0</v>
      </c>
      <c r="ED104">
        <v>1</v>
      </c>
      <c r="EE104">
        <v>0</v>
      </c>
      <c r="EF104">
        <v>0</v>
      </c>
      <c r="IG104">
        <v>1</v>
      </c>
      <c r="IH104">
        <v>1</v>
      </c>
      <c r="II104">
        <v>0</v>
      </c>
      <c r="IJ104">
        <v>0</v>
      </c>
      <c r="IK104">
        <v>1</v>
      </c>
      <c r="IL104">
        <v>0</v>
      </c>
      <c r="IM104">
        <v>0</v>
      </c>
      <c r="IN104">
        <v>0</v>
      </c>
      <c r="IO104">
        <v>0</v>
      </c>
      <c r="IP104">
        <v>0</v>
      </c>
      <c r="IQ104">
        <v>0</v>
      </c>
      <c r="IS104">
        <v>1</v>
      </c>
      <c r="IT104">
        <v>1</v>
      </c>
      <c r="IU104">
        <v>1</v>
      </c>
      <c r="IV104">
        <v>1</v>
      </c>
      <c r="IW104">
        <v>0</v>
      </c>
    </row>
    <row r="105" spans="1:257" x14ac:dyDescent="0.35">
      <c r="A105">
        <v>397313</v>
      </c>
      <c r="C105">
        <v>1</v>
      </c>
      <c r="D105" t="s">
        <v>673</v>
      </c>
      <c r="E105" t="s">
        <v>674</v>
      </c>
      <c r="F105" t="s">
        <v>692</v>
      </c>
      <c r="G105">
        <v>3</v>
      </c>
      <c r="I105">
        <v>1</v>
      </c>
      <c r="J105">
        <v>0</v>
      </c>
      <c r="K105">
        <v>1</v>
      </c>
      <c r="L105">
        <v>0</v>
      </c>
      <c r="M105">
        <v>0</v>
      </c>
      <c r="N105">
        <v>0</v>
      </c>
      <c r="O105">
        <v>0</v>
      </c>
      <c r="P105">
        <v>1</v>
      </c>
      <c r="Q105">
        <v>0</v>
      </c>
      <c r="R105">
        <v>1</v>
      </c>
      <c r="T105">
        <v>0</v>
      </c>
      <c r="U105">
        <v>1</v>
      </c>
      <c r="V105">
        <v>0</v>
      </c>
      <c r="X105">
        <v>9</v>
      </c>
      <c r="AA105">
        <v>9</v>
      </c>
      <c r="AC105">
        <v>1</v>
      </c>
      <c r="AD105">
        <v>0</v>
      </c>
      <c r="AE105">
        <v>0</v>
      </c>
      <c r="AF105">
        <v>0</v>
      </c>
      <c r="AG105">
        <v>0</v>
      </c>
      <c r="AH105">
        <v>0</v>
      </c>
      <c r="AJ105">
        <v>1</v>
      </c>
      <c r="AL105">
        <v>1</v>
      </c>
      <c r="AN105">
        <v>1</v>
      </c>
      <c r="AO105">
        <v>1</v>
      </c>
      <c r="AP105">
        <v>5</v>
      </c>
      <c r="AQ105">
        <v>2</v>
      </c>
      <c r="AS105">
        <v>2</v>
      </c>
      <c r="AT105">
        <v>1</v>
      </c>
      <c r="AU105">
        <v>1</v>
      </c>
      <c r="AV105">
        <v>1</v>
      </c>
      <c r="AW105">
        <v>0</v>
      </c>
      <c r="AX105">
        <v>0</v>
      </c>
      <c r="AY105">
        <v>0</v>
      </c>
      <c r="AZ105">
        <v>1</v>
      </c>
      <c r="BA105">
        <v>0</v>
      </c>
      <c r="BC105">
        <v>0</v>
      </c>
      <c r="BD105">
        <v>0</v>
      </c>
      <c r="BE105">
        <v>0</v>
      </c>
      <c r="BF105">
        <v>0</v>
      </c>
      <c r="BG105">
        <v>0</v>
      </c>
      <c r="BH105">
        <v>1</v>
      </c>
      <c r="BI105">
        <v>0</v>
      </c>
      <c r="BJ105">
        <v>0</v>
      </c>
      <c r="BK105">
        <v>0</v>
      </c>
      <c r="BL105">
        <v>0</v>
      </c>
      <c r="BM105">
        <v>1</v>
      </c>
      <c r="BN105">
        <v>1</v>
      </c>
      <c r="BO105">
        <v>0</v>
      </c>
      <c r="BP105">
        <v>0</v>
      </c>
      <c r="BQ105">
        <v>0</v>
      </c>
      <c r="BR105">
        <v>0</v>
      </c>
      <c r="BS105">
        <v>1</v>
      </c>
      <c r="BT105" t="s">
        <v>693</v>
      </c>
      <c r="BU105">
        <v>12</v>
      </c>
      <c r="BV105">
        <v>4</v>
      </c>
      <c r="BX105">
        <v>4</v>
      </c>
      <c r="BY105">
        <v>6</v>
      </c>
      <c r="DI105">
        <v>0</v>
      </c>
      <c r="DJ105">
        <v>0</v>
      </c>
      <c r="DK105">
        <v>1</v>
      </c>
      <c r="DL105">
        <v>0</v>
      </c>
      <c r="DM105">
        <v>0</v>
      </c>
      <c r="DN105">
        <v>1</v>
      </c>
      <c r="DO105">
        <v>1</v>
      </c>
      <c r="DP105">
        <v>1</v>
      </c>
      <c r="DQ105">
        <v>0</v>
      </c>
      <c r="DR105">
        <v>0</v>
      </c>
      <c r="DT105">
        <v>0</v>
      </c>
      <c r="DU105">
        <v>1</v>
      </c>
      <c r="DV105">
        <v>0</v>
      </c>
      <c r="DW105">
        <v>1</v>
      </c>
      <c r="DX105">
        <v>0</v>
      </c>
      <c r="DY105">
        <v>0</v>
      </c>
      <c r="DZ105">
        <v>0</v>
      </c>
      <c r="EA105">
        <v>1</v>
      </c>
      <c r="EB105">
        <v>0</v>
      </c>
      <c r="EC105">
        <v>0</v>
      </c>
      <c r="ED105">
        <v>1</v>
      </c>
      <c r="EE105">
        <v>0</v>
      </c>
      <c r="EF105">
        <v>0</v>
      </c>
      <c r="EI105" t="s">
        <v>442</v>
      </c>
      <c r="EJ105">
        <v>1</v>
      </c>
      <c r="EK105">
        <v>1</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IG105">
        <v>1</v>
      </c>
      <c r="IH105">
        <v>0</v>
      </c>
      <c r="II105">
        <v>0</v>
      </c>
      <c r="IJ105">
        <v>0</v>
      </c>
      <c r="IK105">
        <v>0</v>
      </c>
      <c r="IL105">
        <v>0</v>
      </c>
      <c r="IM105">
        <v>0</v>
      </c>
      <c r="IN105">
        <v>0</v>
      </c>
      <c r="IO105">
        <v>0</v>
      </c>
      <c r="IP105">
        <v>0</v>
      </c>
      <c r="IQ105">
        <v>0</v>
      </c>
      <c r="IS105">
        <v>2</v>
      </c>
    </row>
    <row r="106" spans="1:257" x14ac:dyDescent="0.35">
      <c r="A106">
        <v>370487</v>
      </c>
      <c r="C106">
        <v>1</v>
      </c>
      <c r="D106" t="s">
        <v>694</v>
      </c>
      <c r="E106" t="s">
        <v>695</v>
      </c>
      <c r="F106" t="s">
        <v>692</v>
      </c>
      <c r="G106">
        <v>4</v>
      </c>
      <c r="I106">
        <v>0</v>
      </c>
      <c r="J106">
        <v>0</v>
      </c>
      <c r="K106">
        <v>0</v>
      </c>
      <c r="L106">
        <v>1</v>
      </c>
      <c r="M106">
        <v>0</v>
      </c>
      <c r="N106">
        <v>0</v>
      </c>
      <c r="O106">
        <v>0</v>
      </c>
      <c r="P106">
        <v>0</v>
      </c>
      <c r="Q106">
        <v>0</v>
      </c>
      <c r="R106">
        <v>1</v>
      </c>
      <c r="T106">
        <v>0</v>
      </c>
      <c r="U106">
        <v>1</v>
      </c>
      <c r="V106">
        <v>0</v>
      </c>
      <c r="X106">
        <v>91</v>
      </c>
      <c r="AA106">
        <v>91</v>
      </c>
      <c r="AC106">
        <v>1</v>
      </c>
      <c r="AD106">
        <v>1</v>
      </c>
      <c r="AE106">
        <v>0</v>
      </c>
      <c r="AF106">
        <v>0</v>
      </c>
      <c r="AG106">
        <v>0</v>
      </c>
      <c r="AH106">
        <v>0</v>
      </c>
      <c r="AJ106">
        <v>1</v>
      </c>
      <c r="AL106">
        <v>1</v>
      </c>
      <c r="AN106">
        <v>1</v>
      </c>
      <c r="AO106">
        <v>1</v>
      </c>
      <c r="AP106">
        <v>4</v>
      </c>
      <c r="AQ106">
        <v>1</v>
      </c>
      <c r="AR106">
        <v>4</v>
      </c>
      <c r="AS106">
        <v>1</v>
      </c>
      <c r="AT106">
        <v>1</v>
      </c>
      <c r="AU106">
        <v>1</v>
      </c>
      <c r="AV106">
        <v>1</v>
      </c>
      <c r="AW106">
        <v>0</v>
      </c>
      <c r="AX106">
        <v>0</v>
      </c>
      <c r="AY106">
        <v>0</v>
      </c>
      <c r="AZ106">
        <v>0</v>
      </c>
      <c r="BA106">
        <v>0</v>
      </c>
      <c r="BC106">
        <v>0</v>
      </c>
      <c r="BD106">
        <v>0</v>
      </c>
      <c r="BE106">
        <v>0</v>
      </c>
      <c r="BF106">
        <v>0</v>
      </c>
      <c r="BG106">
        <v>0</v>
      </c>
      <c r="BH106">
        <v>0</v>
      </c>
      <c r="BI106">
        <v>0</v>
      </c>
      <c r="BJ106">
        <v>0</v>
      </c>
      <c r="BK106">
        <v>1</v>
      </c>
      <c r="BL106">
        <v>0</v>
      </c>
      <c r="BM106">
        <v>0</v>
      </c>
      <c r="BN106">
        <v>0</v>
      </c>
      <c r="BO106">
        <v>0</v>
      </c>
      <c r="BP106">
        <v>1</v>
      </c>
      <c r="BQ106">
        <v>0</v>
      </c>
      <c r="BR106">
        <v>1</v>
      </c>
      <c r="BS106">
        <v>0</v>
      </c>
      <c r="BU106">
        <v>16</v>
      </c>
      <c r="BV106">
        <v>4</v>
      </c>
    </row>
    <row r="107" spans="1:257" x14ac:dyDescent="0.35">
      <c r="A107">
        <v>405398</v>
      </c>
      <c r="C107">
        <v>1</v>
      </c>
      <c r="D107" t="s">
        <v>696</v>
      </c>
      <c r="E107" t="s">
        <v>697</v>
      </c>
      <c r="F107" t="s">
        <v>698</v>
      </c>
      <c r="G107">
        <v>4</v>
      </c>
      <c r="I107">
        <v>0</v>
      </c>
      <c r="J107">
        <v>0</v>
      </c>
      <c r="K107">
        <v>1</v>
      </c>
      <c r="L107">
        <v>0</v>
      </c>
      <c r="M107">
        <v>0</v>
      </c>
      <c r="N107">
        <v>0</v>
      </c>
      <c r="O107">
        <v>0</v>
      </c>
      <c r="P107">
        <v>0</v>
      </c>
      <c r="Q107">
        <v>0</v>
      </c>
      <c r="R107">
        <v>1</v>
      </c>
      <c r="T107">
        <v>0</v>
      </c>
      <c r="U107">
        <v>1</v>
      </c>
      <c r="V107">
        <v>0</v>
      </c>
      <c r="X107">
        <v>8</v>
      </c>
      <c r="AA107">
        <v>8</v>
      </c>
      <c r="AC107">
        <v>1</v>
      </c>
      <c r="AD107">
        <v>0</v>
      </c>
      <c r="AE107">
        <v>0</v>
      </c>
      <c r="AF107">
        <v>0</v>
      </c>
      <c r="AG107">
        <v>0</v>
      </c>
      <c r="AH107">
        <v>0</v>
      </c>
      <c r="AJ107">
        <v>1</v>
      </c>
      <c r="AL107">
        <v>2</v>
      </c>
      <c r="AN107">
        <v>3</v>
      </c>
      <c r="AQ107">
        <v>2</v>
      </c>
      <c r="AS107">
        <v>2</v>
      </c>
      <c r="AT107">
        <v>2</v>
      </c>
      <c r="AU107">
        <v>2</v>
      </c>
      <c r="BC107">
        <v>0</v>
      </c>
      <c r="BD107">
        <v>0</v>
      </c>
      <c r="BE107">
        <v>0</v>
      </c>
      <c r="BF107">
        <v>0</v>
      </c>
      <c r="BG107">
        <v>0</v>
      </c>
      <c r="BH107">
        <v>0</v>
      </c>
      <c r="BI107">
        <v>0</v>
      </c>
      <c r="BJ107">
        <v>0</v>
      </c>
      <c r="BK107">
        <v>0</v>
      </c>
      <c r="BL107">
        <v>0</v>
      </c>
      <c r="BM107">
        <v>0</v>
      </c>
      <c r="BN107">
        <v>0</v>
      </c>
      <c r="BO107">
        <v>0</v>
      </c>
      <c r="BP107">
        <v>0</v>
      </c>
      <c r="BQ107">
        <v>0</v>
      </c>
      <c r="BR107">
        <v>0</v>
      </c>
      <c r="BS107">
        <v>1</v>
      </c>
      <c r="BT107" t="s">
        <v>699</v>
      </c>
      <c r="BU107">
        <v>16</v>
      </c>
      <c r="BV107">
        <v>4</v>
      </c>
      <c r="BX107">
        <v>6</v>
      </c>
      <c r="BY107">
        <v>6</v>
      </c>
      <c r="DI107">
        <v>0</v>
      </c>
      <c r="DJ107">
        <v>0</v>
      </c>
      <c r="DK107">
        <v>0</v>
      </c>
      <c r="DL107">
        <v>0</v>
      </c>
      <c r="DM107">
        <v>0</v>
      </c>
      <c r="DN107">
        <v>1</v>
      </c>
      <c r="DO107">
        <v>0</v>
      </c>
      <c r="DP107">
        <v>0</v>
      </c>
      <c r="DQ107">
        <v>0</v>
      </c>
      <c r="DR107">
        <v>0</v>
      </c>
      <c r="DT107">
        <v>0</v>
      </c>
      <c r="DU107">
        <v>0</v>
      </c>
      <c r="DV107">
        <v>0</v>
      </c>
      <c r="DW107">
        <v>1</v>
      </c>
      <c r="DX107">
        <v>0</v>
      </c>
      <c r="DY107">
        <v>0</v>
      </c>
      <c r="DZ107">
        <v>0</v>
      </c>
      <c r="EA107">
        <v>0</v>
      </c>
      <c r="EB107">
        <v>0</v>
      </c>
      <c r="EC107">
        <v>0</v>
      </c>
      <c r="ED107">
        <v>0</v>
      </c>
      <c r="EE107">
        <v>0</v>
      </c>
      <c r="EF107">
        <v>0</v>
      </c>
      <c r="IG107">
        <v>1</v>
      </c>
      <c r="IH107">
        <v>0</v>
      </c>
      <c r="II107">
        <v>1</v>
      </c>
      <c r="IJ107">
        <v>0</v>
      </c>
      <c r="IK107">
        <v>0</v>
      </c>
      <c r="IL107">
        <v>0</v>
      </c>
      <c r="IM107">
        <v>0</v>
      </c>
      <c r="IN107">
        <v>0</v>
      </c>
      <c r="IO107">
        <v>1</v>
      </c>
      <c r="IP107">
        <v>0</v>
      </c>
      <c r="IQ107">
        <v>0</v>
      </c>
      <c r="IS107">
        <v>2</v>
      </c>
    </row>
    <row r="108" spans="1:257" x14ac:dyDescent="0.35">
      <c r="A108">
        <v>405351</v>
      </c>
      <c r="C108">
        <v>1</v>
      </c>
      <c r="D108" t="s">
        <v>700</v>
      </c>
      <c r="E108" t="s">
        <v>701</v>
      </c>
      <c r="F108" t="s">
        <v>692</v>
      </c>
      <c r="G108">
        <v>5</v>
      </c>
      <c r="I108">
        <v>0</v>
      </c>
      <c r="J108">
        <v>0</v>
      </c>
      <c r="K108">
        <v>1</v>
      </c>
      <c r="L108">
        <v>0</v>
      </c>
      <c r="M108">
        <v>0</v>
      </c>
      <c r="N108">
        <v>0</v>
      </c>
      <c r="O108">
        <v>0</v>
      </c>
      <c r="P108">
        <v>0</v>
      </c>
      <c r="Q108">
        <v>0</v>
      </c>
      <c r="R108">
        <v>1</v>
      </c>
      <c r="T108">
        <v>0</v>
      </c>
      <c r="U108">
        <v>1</v>
      </c>
      <c r="V108">
        <v>0</v>
      </c>
      <c r="X108">
        <v>27</v>
      </c>
      <c r="AA108">
        <v>27</v>
      </c>
      <c r="AC108">
        <v>1</v>
      </c>
      <c r="AD108">
        <v>0</v>
      </c>
      <c r="AE108">
        <v>0</v>
      </c>
      <c r="AF108">
        <v>0</v>
      </c>
      <c r="AG108">
        <v>0</v>
      </c>
      <c r="AH108">
        <v>0</v>
      </c>
      <c r="AJ108">
        <v>1</v>
      </c>
      <c r="AL108">
        <v>1</v>
      </c>
      <c r="AN108">
        <v>1</v>
      </c>
      <c r="AO108">
        <v>1</v>
      </c>
      <c r="AP108">
        <v>3</v>
      </c>
      <c r="AQ108">
        <v>1</v>
      </c>
      <c r="AR108">
        <v>5</v>
      </c>
      <c r="AS108">
        <v>1</v>
      </c>
      <c r="AT108">
        <v>1</v>
      </c>
      <c r="AU108">
        <v>1</v>
      </c>
      <c r="AV108">
        <v>1</v>
      </c>
      <c r="AW108">
        <v>0</v>
      </c>
      <c r="AX108">
        <v>0</v>
      </c>
      <c r="AY108">
        <v>0</v>
      </c>
      <c r="AZ108">
        <v>0</v>
      </c>
      <c r="BA108">
        <v>0</v>
      </c>
      <c r="BC108">
        <v>0</v>
      </c>
      <c r="BD108">
        <v>0</v>
      </c>
      <c r="BE108">
        <v>0</v>
      </c>
      <c r="BF108">
        <v>0</v>
      </c>
      <c r="BG108">
        <v>0</v>
      </c>
      <c r="BH108">
        <v>0</v>
      </c>
      <c r="BI108">
        <v>0</v>
      </c>
      <c r="BJ108">
        <v>0</v>
      </c>
      <c r="BK108">
        <v>0</v>
      </c>
      <c r="BL108">
        <v>0</v>
      </c>
      <c r="BM108">
        <v>0</v>
      </c>
      <c r="BN108">
        <v>0</v>
      </c>
      <c r="BO108">
        <v>0</v>
      </c>
      <c r="BP108">
        <v>0</v>
      </c>
      <c r="BQ108">
        <v>0</v>
      </c>
      <c r="BR108">
        <v>0</v>
      </c>
      <c r="BS108">
        <v>1</v>
      </c>
      <c r="BT108" t="s">
        <v>702</v>
      </c>
      <c r="BU108">
        <v>6</v>
      </c>
      <c r="BV108">
        <v>3</v>
      </c>
      <c r="BW108" t="s">
        <v>703</v>
      </c>
      <c r="BX108">
        <v>2</v>
      </c>
      <c r="BY108">
        <v>2</v>
      </c>
      <c r="DI108">
        <v>0</v>
      </c>
      <c r="DJ108">
        <v>0</v>
      </c>
      <c r="DK108">
        <v>1</v>
      </c>
      <c r="DL108">
        <v>0</v>
      </c>
      <c r="DM108">
        <v>0</v>
      </c>
      <c r="DN108">
        <v>0</v>
      </c>
      <c r="DO108">
        <v>1</v>
      </c>
      <c r="DP108">
        <v>0</v>
      </c>
      <c r="DQ108">
        <v>0</v>
      </c>
      <c r="DR108">
        <v>0</v>
      </c>
      <c r="DT108">
        <v>0</v>
      </c>
      <c r="DU108">
        <v>0</v>
      </c>
      <c r="DV108">
        <v>1</v>
      </c>
      <c r="DW108">
        <v>0</v>
      </c>
      <c r="DX108">
        <v>1</v>
      </c>
      <c r="DY108">
        <v>0</v>
      </c>
      <c r="DZ108">
        <v>0</v>
      </c>
      <c r="EA108">
        <v>0</v>
      </c>
      <c r="EB108">
        <v>0</v>
      </c>
      <c r="EC108">
        <v>0</v>
      </c>
      <c r="ED108">
        <v>0</v>
      </c>
      <c r="EE108">
        <v>0</v>
      </c>
      <c r="EF108">
        <v>0</v>
      </c>
      <c r="FF108" t="s">
        <v>704</v>
      </c>
      <c r="FG108">
        <v>0</v>
      </c>
      <c r="FH108">
        <v>0</v>
      </c>
      <c r="FI108">
        <v>0</v>
      </c>
      <c r="FJ108">
        <v>0</v>
      </c>
      <c r="FK108">
        <v>0</v>
      </c>
      <c r="FL108">
        <v>0</v>
      </c>
      <c r="FM108">
        <v>0</v>
      </c>
      <c r="FN108">
        <v>0</v>
      </c>
      <c r="FO108">
        <v>0</v>
      </c>
      <c r="FP108">
        <v>0</v>
      </c>
      <c r="FQ108">
        <v>0</v>
      </c>
      <c r="FR108">
        <v>0</v>
      </c>
      <c r="FS108">
        <v>0</v>
      </c>
      <c r="FT108">
        <v>0</v>
      </c>
      <c r="FU108">
        <v>0</v>
      </c>
      <c r="FV108">
        <v>0</v>
      </c>
      <c r="FW108">
        <v>0</v>
      </c>
      <c r="FX108">
        <v>1</v>
      </c>
      <c r="FY108">
        <v>0</v>
      </c>
      <c r="IG108">
        <v>1</v>
      </c>
      <c r="IH108">
        <v>0</v>
      </c>
      <c r="II108">
        <v>1</v>
      </c>
      <c r="IJ108">
        <v>0</v>
      </c>
      <c r="IK108">
        <v>0</v>
      </c>
      <c r="IL108">
        <v>0</v>
      </c>
      <c r="IM108">
        <v>0</v>
      </c>
      <c r="IN108">
        <v>0</v>
      </c>
      <c r="IO108">
        <v>0</v>
      </c>
      <c r="IP108">
        <v>0</v>
      </c>
      <c r="IQ108">
        <v>0</v>
      </c>
      <c r="IS108">
        <v>2</v>
      </c>
    </row>
    <row r="109" spans="1:257" x14ac:dyDescent="0.35">
      <c r="A109">
        <v>405240</v>
      </c>
      <c r="C109">
        <v>1</v>
      </c>
      <c r="D109" t="s">
        <v>705</v>
      </c>
      <c r="E109" t="s">
        <v>706</v>
      </c>
      <c r="F109" t="s">
        <v>692</v>
      </c>
      <c r="G109">
        <v>13</v>
      </c>
      <c r="I109">
        <v>1</v>
      </c>
      <c r="J109">
        <v>0</v>
      </c>
      <c r="K109">
        <v>1</v>
      </c>
      <c r="L109">
        <v>0</v>
      </c>
      <c r="M109">
        <v>0</v>
      </c>
      <c r="N109">
        <v>0</v>
      </c>
      <c r="O109">
        <v>1</v>
      </c>
      <c r="P109">
        <v>1</v>
      </c>
      <c r="Q109">
        <v>0</v>
      </c>
      <c r="R109">
        <v>1</v>
      </c>
      <c r="T109">
        <v>0</v>
      </c>
      <c r="U109">
        <v>1</v>
      </c>
      <c r="V109">
        <v>0</v>
      </c>
      <c r="X109">
        <v>17</v>
      </c>
      <c r="AA109">
        <v>17</v>
      </c>
      <c r="AC109">
        <v>1</v>
      </c>
      <c r="AD109">
        <v>1</v>
      </c>
      <c r="AE109">
        <v>0</v>
      </c>
      <c r="AF109">
        <v>1</v>
      </c>
      <c r="AG109">
        <v>0</v>
      </c>
      <c r="AH109">
        <v>0</v>
      </c>
      <c r="AJ109">
        <v>1</v>
      </c>
      <c r="AL109">
        <v>1</v>
      </c>
      <c r="AN109">
        <v>1</v>
      </c>
      <c r="AO109">
        <v>1</v>
      </c>
      <c r="AP109">
        <v>4</v>
      </c>
      <c r="AQ109">
        <v>1</v>
      </c>
      <c r="AR109">
        <v>5</v>
      </c>
      <c r="AS109">
        <v>1</v>
      </c>
      <c r="AT109">
        <v>1</v>
      </c>
      <c r="AU109">
        <v>2</v>
      </c>
      <c r="BC109">
        <v>0</v>
      </c>
      <c r="BD109">
        <v>0</v>
      </c>
      <c r="BE109">
        <v>0</v>
      </c>
      <c r="BF109">
        <v>0</v>
      </c>
      <c r="BG109">
        <v>0</v>
      </c>
      <c r="BH109">
        <v>0</v>
      </c>
      <c r="BI109">
        <v>0</v>
      </c>
      <c r="BJ109">
        <v>0</v>
      </c>
      <c r="BK109">
        <v>0</v>
      </c>
      <c r="BL109">
        <v>0</v>
      </c>
      <c r="BM109">
        <v>0</v>
      </c>
      <c r="BN109">
        <v>0</v>
      </c>
      <c r="BO109">
        <v>0</v>
      </c>
      <c r="BP109">
        <v>0</v>
      </c>
      <c r="BQ109">
        <v>0</v>
      </c>
      <c r="BR109">
        <v>1</v>
      </c>
      <c r="BS109">
        <v>0</v>
      </c>
      <c r="BU109">
        <v>16</v>
      </c>
      <c r="BV109">
        <v>4</v>
      </c>
      <c r="BX109">
        <v>5</v>
      </c>
      <c r="BY109">
        <v>5</v>
      </c>
      <c r="DI109">
        <v>0</v>
      </c>
      <c r="DJ109">
        <v>0</v>
      </c>
      <c r="DK109">
        <v>1</v>
      </c>
      <c r="DL109">
        <v>0</v>
      </c>
      <c r="DM109">
        <v>1</v>
      </c>
      <c r="DN109">
        <v>1</v>
      </c>
      <c r="DO109">
        <v>0</v>
      </c>
      <c r="DP109">
        <v>0</v>
      </c>
      <c r="DQ109">
        <v>0</v>
      </c>
      <c r="DR109">
        <v>0</v>
      </c>
      <c r="DT109">
        <v>0</v>
      </c>
      <c r="DU109">
        <v>0</v>
      </c>
      <c r="DV109">
        <v>0</v>
      </c>
      <c r="DW109">
        <v>0</v>
      </c>
      <c r="DX109">
        <v>1</v>
      </c>
      <c r="DY109">
        <v>0</v>
      </c>
      <c r="DZ109">
        <v>0</v>
      </c>
      <c r="EA109">
        <v>0</v>
      </c>
      <c r="EB109">
        <v>0</v>
      </c>
      <c r="EC109">
        <v>0</v>
      </c>
      <c r="ED109">
        <v>0</v>
      </c>
      <c r="EE109">
        <v>0</v>
      </c>
      <c r="EF109">
        <v>0</v>
      </c>
      <c r="IG109">
        <v>0</v>
      </c>
      <c r="IH109">
        <v>0</v>
      </c>
      <c r="II109">
        <v>0</v>
      </c>
      <c r="IJ109">
        <v>0</v>
      </c>
      <c r="IK109">
        <v>0</v>
      </c>
      <c r="IL109">
        <v>0</v>
      </c>
      <c r="IM109">
        <v>0</v>
      </c>
      <c r="IN109">
        <v>0</v>
      </c>
      <c r="IO109">
        <v>0</v>
      </c>
      <c r="IP109">
        <v>0</v>
      </c>
      <c r="IQ109">
        <v>1</v>
      </c>
      <c r="IS109">
        <v>2</v>
      </c>
    </row>
    <row r="110" spans="1:257" x14ac:dyDescent="0.35">
      <c r="A110">
        <v>370135</v>
      </c>
      <c r="C110">
        <v>1</v>
      </c>
      <c r="D110" t="s">
        <v>707</v>
      </c>
      <c r="E110" t="s">
        <v>708</v>
      </c>
      <c r="F110" t="s">
        <v>692</v>
      </c>
      <c r="G110">
        <v>13</v>
      </c>
      <c r="I110">
        <v>1</v>
      </c>
      <c r="J110">
        <v>0</v>
      </c>
      <c r="K110">
        <v>1</v>
      </c>
      <c r="L110">
        <v>0</v>
      </c>
      <c r="M110">
        <v>1</v>
      </c>
      <c r="N110">
        <v>0</v>
      </c>
      <c r="O110">
        <v>0</v>
      </c>
      <c r="P110">
        <v>0</v>
      </c>
      <c r="Q110">
        <v>0</v>
      </c>
      <c r="R110">
        <v>1</v>
      </c>
      <c r="T110">
        <v>1</v>
      </c>
      <c r="U110">
        <v>0</v>
      </c>
      <c r="V110">
        <v>0</v>
      </c>
      <c r="W110">
        <v>0</v>
      </c>
      <c r="AC110">
        <v>1</v>
      </c>
      <c r="AD110">
        <v>0</v>
      </c>
      <c r="AE110">
        <v>0</v>
      </c>
      <c r="AF110">
        <v>0</v>
      </c>
      <c r="AG110">
        <v>0</v>
      </c>
      <c r="AH110">
        <v>0</v>
      </c>
      <c r="AJ110">
        <v>1</v>
      </c>
      <c r="AL110">
        <v>1</v>
      </c>
      <c r="AN110">
        <v>1</v>
      </c>
      <c r="AO110">
        <v>1</v>
      </c>
      <c r="AP110">
        <v>4</v>
      </c>
      <c r="AQ110">
        <v>1</v>
      </c>
      <c r="AR110">
        <v>4</v>
      </c>
      <c r="AS110">
        <v>1</v>
      </c>
      <c r="AT110">
        <v>3</v>
      </c>
      <c r="AU110">
        <v>2</v>
      </c>
      <c r="BC110">
        <v>1</v>
      </c>
      <c r="BD110">
        <v>0</v>
      </c>
      <c r="BE110">
        <v>1</v>
      </c>
      <c r="BF110">
        <v>1</v>
      </c>
      <c r="BG110">
        <v>1</v>
      </c>
      <c r="BH110">
        <v>0</v>
      </c>
      <c r="BI110">
        <v>0</v>
      </c>
      <c r="BJ110">
        <v>0</v>
      </c>
      <c r="BK110">
        <v>1</v>
      </c>
      <c r="BL110">
        <v>0</v>
      </c>
      <c r="BM110">
        <v>0</v>
      </c>
      <c r="BN110">
        <v>1</v>
      </c>
      <c r="BO110">
        <v>0</v>
      </c>
      <c r="BP110">
        <v>1</v>
      </c>
      <c r="BQ110">
        <v>0</v>
      </c>
      <c r="BR110">
        <v>1</v>
      </c>
      <c r="BS110">
        <v>0</v>
      </c>
      <c r="BU110">
        <v>17</v>
      </c>
      <c r="BV110">
        <v>4</v>
      </c>
      <c r="BX110">
        <v>5</v>
      </c>
      <c r="BY110">
        <v>3</v>
      </c>
      <c r="DI110">
        <v>1</v>
      </c>
      <c r="DJ110">
        <v>1</v>
      </c>
      <c r="DK110">
        <v>0</v>
      </c>
      <c r="DL110">
        <v>0</v>
      </c>
      <c r="DM110">
        <v>0</v>
      </c>
      <c r="DN110">
        <v>1</v>
      </c>
      <c r="DO110">
        <v>0</v>
      </c>
      <c r="DP110">
        <v>0</v>
      </c>
      <c r="DQ110">
        <v>0</v>
      </c>
      <c r="DR110">
        <v>0</v>
      </c>
      <c r="DT110">
        <v>0</v>
      </c>
      <c r="DU110">
        <v>0</v>
      </c>
      <c r="DV110">
        <v>0</v>
      </c>
      <c r="DW110">
        <v>1</v>
      </c>
      <c r="DX110">
        <v>1</v>
      </c>
      <c r="DY110">
        <v>0</v>
      </c>
      <c r="DZ110">
        <v>0</v>
      </c>
      <c r="EA110">
        <v>0</v>
      </c>
      <c r="EB110">
        <v>0</v>
      </c>
      <c r="EC110">
        <v>0</v>
      </c>
      <c r="ED110">
        <v>0</v>
      </c>
      <c r="EE110">
        <v>0</v>
      </c>
      <c r="EF110">
        <v>0</v>
      </c>
      <c r="IG110">
        <v>1</v>
      </c>
      <c r="IH110">
        <v>1</v>
      </c>
      <c r="II110">
        <v>0</v>
      </c>
      <c r="IJ110">
        <v>0</v>
      </c>
      <c r="IK110">
        <v>0</v>
      </c>
      <c r="IL110">
        <v>0</v>
      </c>
      <c r="IM110">
        <v>0</v>
      </c>
      <c r="IN110">
        <v>0</v>
      </c>
      <c r="IO110">
        <v>0</v>
      </c>
      <c r="IP110">
        <v>0</v>
      </c>
      <c r="IQ110">
        <v>0</v>
      </c>
      <c r="IS110">
        <v>2</v>
      </c>
    </row>
    <row r="111" spans="1:257" x14ac:dyDescent="0.35">
      <c r="A111">
        <v>397311</v>
      </c>
      <c r="C111">
        <v>1</v>
      </c>
      <c r="D111" t="s">
        <v>709</v>
      </c>
      <c r="E111" t="s">
        <v>710</v>
      </c>
      <c r="F111" t="s">
        <v>692</v>
      </c>
      <c r="G111">
        <v>3</v>
      </c>
      <c r="I111">
        <v>1</v>
      </c>
      <c r="J111">
        <v>0</v>
      </c>
      <c r="K111">
        <v>1</v>
      </c>
      <c r="L111">
        <v>0</v>
      </c>
      <c r="M111">
        <v>0</v>
      </c>
      <c r="N111">
        <v>0</v>
      </c>
      <c r="O111">
        <v>0</v>
      </c>
      <c r="P111">
        <v>1</v>
      </c>
      <c r="Q111">
        <v>0</v>
      </c>
      <c r="R111">
        <v>1</v>
      </c>
      <c r="T111">
        <v>0</v>
      </c>
      <c r="U111">
        <v>1</v>
      </c>
      <c r="V111">
        <v>0</v>
      </c>
      <c r="X111">
        <v>20</v>
      </c>
      <c r="AA111">
        <v>20</v>
      </c>
      <c r="AC111">
        <v>1</v>
      </c>
      <c r="AD111">
        <v>1</v>
      </c>
      <c r="AE111">
        <v>0</v>
      </c>
      <c r="AF111">
        <v>0</v>
      </c>
      <c r="AG111">
        <v>0</v>
      </c>
      <c r="AH111">
        <v>0</v>
      </c>
      <c r="AJ111">
        <v>1</v>
      </c>
      <c r="AL111">
        <v>1</v>
      </c>
      <c r="AN111">
        <v>1</v>
      </c>
      <c r="AO111">
        <v>3</v>
      </c>
      <c r="AP111">
        <v>3</v>
      </c>
      <c r="AQ111">
        <v>2</v>
      </c>
      <c r="AS111">
        <v>2</v>
      </c>
      <c r="AT111">
        <v>1</v>
      </c>
      <c r="AU111">
        <v>1</v>
      </c>
      <c r="AV111">
        <v>0</v>
      </c>
      <c r="AW111">
        <v>0</v>
      </c>
      <c r="AX111">
        <v>0</v>
      </c>
      <c r="AY111">
        <v>0</v>
      </c>
      <c r="AZ111">
        <v>1</v>
      </c>
      <c r="BA111">
        <v>0</v>
      </c>
      <c r="BC111">
        <v>1</v>
      </c>
      <c r="BD111">
        <v>0</v>
      </c>
      <c r="BE111">
        <v>0</v>
      </c>
      <c r="BF111">
        <v>1</v>
      </c>
      <c r="BG111">
        <v>1</v>
      </c>
      <c r="BH111">
        <v>0</v>
      </c>
      <c r="BI111">
        <v>0</v>
      </c>
      <c r="BJ111">
        <v>0</v>
      </c>
      <c r="BK111">
        <v>0</v>
      </c>
      <c r="BL111">
        <v>0</v>
      </c>
      <c r="BM111">
        <v>1</v>
      </c>
      <c r="BN111">
        <v>1</v>
      </c>
      <c r="BO111">
        <v>0</v>
      </c>
      <c r="BP111">
        <v>1</v>
      </c>
      <c r="BQ111">
        <v>0</v>
      </c>
      <c r="BR111">
        <v>0</v>
      </c>
      <c r="BS111">
        <v>0</v>
      </c>
      <c r="BU111">
        <v>5</v>
      </c>
      <c r="BV111">
        <v>4</v>
      </c>
      <c r="BX111">
        <v>3</v>
      </c>
      <c r="BY111">
        <v>3</v>
      </c>
      <c r="DI111">
        <v>0</v>
      </c>
      <c r="DJ111">
        <v>1</v>
      </c>
      <c r="DK111">
        <v>1</v>
      </c>
      <c r="DL111">
        <v>0</v>
      </c>
      <c r="DM111">
        <v>0</v>
      </c>
      <c r="DN111">
        <v>1</v>
      </c>
      <c r="DO111">
        <v>0</v>
      </c>
      <c r="DP111">
        <v>0</v>
      </c>
      <c r="DQ111">
        <v>0</v>
      </c>
      <c r="DR111">
        <v>0</v>
      </c>
      <c r="DT111">
        <v>0</v>
      </c>
      <c r="DU111">
        <v>1</v>
      </c>
      <c r="DV111">
        <v>0</v>
      </c>
      <c r="DW111">
        <v>1</v>
      </c>
      <c r="DX111">
        <v>1</v>
      </c>
      <c r="DY111">
        <v>0</v>
      </c>
      <c r="DZ111">
        <v>0</v>
      </c>
      <c r="EA111">
        <v>0</v>
      </c>
      <c r="EB111">
        <v>0</v>
      </c>
      <c r="EC111">
        <v>0</v>
      </c>
      <c r="ED111">
        <v>1</v>
      </c>
      <c r="EE111">
        <v>0</v>
      </c>
      <c r="EF111">
        <v>0</v>
      </c>
      <c r="EI111" t="s">
        <v>711</v>
      </c>
      <c r="EJ111">
        <v>0</v>
      </c>
      <c r="EK111">
        <v>1</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IG111">
        <v>0</v>
      </c>
      <c r="IH111">
        <v>0</v>
      </c>
      <c r="II111">
        <v>0</v>
      </c>
      <c r="IJ111">
        <v>0</v>
      </c>
      <c r="IK111">
        <v>0</v>
      </c>
      <c r="IL111">
        <v>0</v>
      </c>
      <c r="IM111">
        <v>0</v>
      </c>
      <c r="IN111">
        <v>0</v>
      </c>
      <c r="IO111">
        <v>0</v>
      </c>
      <c r="IP111">
        <v>0</v>
      </c>
      <c r="IQ111">
        <v>1</v>
      </c>
      <c r="IS111">
        <v>1</v>
      </c>
      <c r="IT111">
        <v>1</v>
      </c>
      <c r="IU111">
        <v>0</v>
      </c>
      <c r="IV111">
        <v>0</v>
      </c>
      <c r="IW111">
        <v>0</v>
      </c>
    </row>
    <row r="112" spans="1:257" x14ac:dyDescent="0.35">
      <c r="A112">
        <v>405210</v>
      </c>
      <c r="C112">
        <v>1</v>
      </c>
      <c r="D112" t="s">
        <v>712</v>
      </c>
      <c r="E112" t="s">
        <v>502</v>
      </c>
      <c r="F112" t="s">
        <v>692</v>
      </c>
      <c r="G112">
        <v>3</v>
      </c>
      <c r="I112">
        <v>0</v>
      </c>
      <c r="J112">
        <v>0</v>
      </c>
      <c r="K112">
        <v>0</v>
      </c>
      <c r="L112">
        <v>0</v>
      </c>
      <c r="M112">
        <v>0</v>
      </c>
      <c r="N112">
        <v>0</v>
      </c>
      <c r="O112">
        <v>0</v>
      </c>
      <c r="P112">
        <v>1</v>
      </c>
      <c r="Q112">
        <v>0</v>
      </c>
      <c r="R112">
        <v>1</v>
      </c>
      <c r="T112">
        <v>0</v>
      </c>
      <c r="U112">
        <v>1</v>
      </c>
      <c r="V112">
        <v>0</v>
      </c>
      <c r="X112">
        <v>49</v>
      </c>
      <c r="AA112">
        <v>49</v>
      </c>
      <c r="AC112">
        <v>1</v>
      </c>
      <c r="AD112">
        <v>0</v>
      </c>
      <c r="AE112">
        <v>0</v>
      </c>
      <c r="AF112">
        <v>0</v>
      </c>
      <c r="AG112">
        <v>0</v>
      </c>
      <c r="AH112">
        <v>0</v>
      </c>
      <c r="AJ112">
        <v>1</v>
      </c>
      <c r="AL112">
        <v>1</v>
      </c>
      <c r="AN112">
        <v>1</v>
      </c>
      <c r="AO112">
        <v>1</v>
      </c>
      <c r="AP112">
        <v>2</v>
      </c>
      <c r="AQ112">
        <v>1</v>
      </c>
      <c r="AR112">
        <v>6</v>
      </c>
      <c r="AS112">
        <v>1</v>
      </c>
      <c r="AT112">
        <v>1</v>
      </c>
      <c r="AU112">
        <v>1</v>
      </c>
      <c r="AV112">
        <v>0</v>
      </c>
      <c r="AW112">
        <v>0</v>
      </c>
      <c r="AX112">
        <v>0</v>
      </c>
      <c r="AY112">
        <v>1</v>
      </c>
      <c r="AZ112">
        <v>0</v>
      </c>
      <c r="BA112">
        <v>0</v>
      </c>
      <c r="BC112">
        <v>0</v>
      </c>
      <c r="BD112">
        <v>0</v>
      </c>
      <c r="BE112">
        <v>1</v>
      </c>
      <c r="BF112">
        <v>0</v>
      </c>
      <c r="BG112">
        <v>0</v>
      </c>
      <c r="BH112">
        <v>0</v>
      </c>
      <c r="BI112">
        <v>0</v>
      </c>
      <c r="BJ112">
        <v>0</v>
      </c>
      <c r="BK112">
        <v>0</v>
      </c>
      <c r="BL112">
        <v>0</v>
      </c>
      <c r="BM112">
        <v>0</v>
      </c>
      <c r="BN112">
        <v>0</v>
      </c>
      <c r="BO112">
        <v>0</v>
      </c>
      <c r="BP112">
        <v>1</v>
      </c>
      <c r="BQ112">
        <v>0</v>
      </c>
      <c r="BR112">
        <v>0</v>
      </c>
      <c r="BS112">
        <v>0</v>
      </c>
      <c r="BU112">
        <v>15</v>
      </c>
      <c r="BV112">
        <v>4</v>
      </c>
      <c r="BX112">
        <v>5</v>
      </c>
      <c r="BY112">
        <v>5</v>
      </c>
      <c r="DI112">
        <v>0</v>
      </c>
      <c r="DJ112">
        <v>0</v>
      </c>
      <c r="DK112">
        <v>0</v>
      </c>
      <c r="DL112">
        <v>0</v>
      </c>
      <c r="DM112">
        <v>0</v>
      </c>
      <c r="DN112">
        <v>0</v>
      </c>
      <c r="DO112">
        <v>0</v>
      </c>
      <c r="DP112">
        <v>0</v>
      </c>
      <c r="DQ112">
        <v>0</v>
      </c>
      <c r="DR112">
        <v>1</v>
      </c>
      <c r="DT112">
        <v>0</v>
      </c>
      <c r="DU112">
        <v>0</v>
      </c>
      <c r="DV112">
        <v>0</v>
      </c>
      <c r="DW112">
        <v>0</v>
      </c>
      <c r="DX112">
        <v>0</v>
      </c>
      <c r="DY112">
        <v>0</v>
      </c>
      <c r="DZ112">
        <v>0</v>
      </c>
      <c r="EA112">
        <v>0</v>
      </c>
      <c r="EB112">
        <v>0</v>
      </c>
      <c r="EC112">
        <v>0</v>
      </c>
      <c r="ED112">
        <v>0</v>
      </c>
      <c r="EE112">
        <v>0</v>
      </c>
      <c r="EF112">
        <v>1</v>
      </c>
      <c r="IG112">
        <v>0</v>
      </c>
      <c r="IH112">
        <v>0</v>
      </c>
      <c r="II112">
        <v>0</v>
      </c>
      <c r="IJ112">
        <v>0</v>
      </c>
      <c r="IK112">
        <v>0</v>
      </c>
      <c r="IL112">
        <v>0</v>
      </c>
      <c r="IM112">
        <v>0</v>
      </c>
      <c r="IN112">
        <v>0</v>
      </c>
      <c r="IO112">
        <v>0</v>
      </c>
      <c r="IP112">
        <v>0</v>
      </c>
      <c r="IQ112">
        <v>1</v>
      </c>
      <c r="IS112">
        <v>2</v>
      </c>
    </row>
    <row r="113" spans="1:257" x14ac:dyDescent="0.35">
      <c r="A113">
        <v>359023</v>
      </c>
      <c r="C113">
        <v>1</v>
      </c>
      <c r="D113" t="s">
        <v>713</v>
      </c>
      <c r="E113" t="s">
        <v>714</v>
      </c>
      <c r="F113" t="s">
        <v>692</v>
      </c>
      <c r="G113">
        <v>3</v>
      </c>
      <c r="I113">
        <v>0</v>
      </c>
      <c r="J113">
        <v>0</v>
      </c>
      <c r="K113">
        <v>1</v>
      </c>
      <c r="L113">
        <v>0</v>
      </c>
      <c r="M113">
        <v>0</v>
      </c>
      <c r="N113">
        <v>0</v>
      </c>
      <c r="O113">
        <v>0</v>
      </c>
      <c r="P113">
        <v>0</v>
      </c>
      <c r="Q113">
        <v>0</v>
      </c>
      <c r="R113">
        <v>1</v>
      </c>
      <c r="T113">
        <v>1</v>
      </c>
      <c r="U113">
        <v>1</v>
      </c>
      <c r="V113">
        <v>0</v>
      </c>
      <c r="W113">
        <v>2</v>
      </c>
      <c r="X113">
        <v>33</v>
      </c>
      <c r="Z113">
        <v>2</v>
      </c>
      <c r="AA113">
        <v>33</v>
      </c>
      <c r="AC113">
        <v>1</v>
      </c>
      <c r="AD113">
        <v>1</v>
      </c>
      <c r="AE113">
        <v>0</v>
      </c>
      <c r="AF113">
        <v>0</v>
      </c>
      <c r="AG113">
        <v>0</v>
      </c>
      <c r="AH113">
        <v>0</v>
      </c>
      <c r="AJ113">
        <v>1</v>
      </c>
      <c r="AL113">
        <v>1</v>
      </c>
      <c r="AN113">
        <v>1</v>
      </c>
      <c r="AO113">
        <v>1</v>
      </c>
      <c r="AP113">
        <v>4</v>
      </c>
      <c r="AQ113">
        <v>1</v>
      </c>
      <c r="AR113">
        <v>4</v>
      </c>
      <c r="AS113">
        <v>1</v>
      </c>
      <c r="AT113">
        <v>1</v>
      </c>
      <c r="AU113">
        <v>2</v>
      </c>
      <c r="BC113">
        <v>0</v>
      </c>
      <c r="BD113">
        <v>0</v>
      </c>
      <c r="BE113">
        <v>1</v>
      </c>
      <c r="BF113">
        <v>0</v>
      </c>
      <c r="BG113">
        <v>0</v>
      </c>
      <c r="BH113">
        <v>0</v>
      </c>
      <c r="BI113">
        <v>0</v>
      </c>
      <c r="BJ113">
        <v>0</v>
      </c>
      <c r="BK113">
        <v>0</v>
      </c>
      <c r="BL113">
        <v>0</v>
      </c>
      <c r="BM113">
        <v>0</v>
      </c>
      <c r="BN113">
        <v>0</v>
      </c>
      <c r="BO113">
        <v>0</v>
      </c>
      <c r="BP113">
        <v>1</v>
      </c>
      <c r="BQ113">
        <v>0</v>
      </c>
      <c r="BR113">
        <v>1</v>
      </c>
      <c r="BS113">
        <v>0</v>
      </c>
      <c r="BU113">
        <v>16</v>
      </c>
      <c r="BV113">
        <v>4</v>
      </c>
      <c r="BX113">
        <v>5</v>
      </c>
      <c r="BY113">
        <v>5</v>
      </c>
      <c r="DI113">
        <v>0</v>
      </c>
      <c r="DJ113">
        <v>1</v>
      </c>
      <c r="DK113">
        <v>1</v>
      </c>
      <c r="DL113">
        <v>1</v>
      </c>
      <c r="DM113">
        <v>1</v>
      </c>
      <c r="DN113">
        <v>1</v>
      </c>
      <c r="DO113">
        <v>0</v>
      </c>
      <c r="DP113">
        <v>0</v>
      </c>
      <c r="DQ113">
        <v>1</v>
      </c>
      <c r="DR113">
        <v>0</v>
      </c>
      <c r="DS113" t="s">
        <v>715</v>
      </c>
      <c r="DT113">
        <v>0</v>
      </c>
      <c r="DU113">
        <v>1</v>
      </c>
      <c r="DV113">
        <v>1</v>
      </c>
      <c r="DW113">
        <v>1</v>
      </c>
      <c r="DX113">
        <v>0</v>
      </c>
      <c r="DY113">
        <v>0</v>
      </c>
      <c r="DZ113">
        <v>0</v>
      </c>
      <c r="EA113">
        <v>1</v>
      </c>
      <c r="EB113">
        <v>1</v>
      </c>
      <c r="EC113">
        <v>1</v>
      </c>
      <c r="ED113">
        <v>1</v>
      </c>
      <c r="EE113">
        <v>0</v>
      </c>
      <c r="EF113">
        <v>0</v>
      </c>
      <c r="EI113" t="s">
        <v>716</v>
      </c>
      <c r="EJ113">
        <v>1</v>
      </c>
      <c r="EK113">
        <v>1</v>
      </c>
      <c r="EL113">
        <v>0</v>
      </c>
      <c r="EM113">
        <v>0</v>
      </c>
      <c r="EN113">
        <v>0</v>
      </c>
      <c r="EO113">
        <v>0</v>
      </c>
      <c r="EP113">
        <v>0</v>
      </c>
      <c r="EQ113">
        <v>1</v>
      </c>
      <c r="ER113">
        <v>0</v>
      </c>
      <c r="ES113">
        <v>0</v>
      </c>
      <c r="ET113">
        <v>0</v>
      </c>
      <c r="EU113">
        <v>0</v>
      </c>
      <c r="EV113">
        <v>0</v>
      </c>
      <c r="EW113">
        <v>0</v>
      </c>
      <c r="EX113">
        <v>0</v>
      </c>
      <c r="EY113">
        <v>0</v>
      </c>
      <c r="EZ113">
        <v>0</v>
      </c>
      <c r="FA113">
        <v>0</v>
      </c>
      <c r="FB113">
        <v>0</v>
      </c>
      <c r="FC113">
        <v>0</v>
      </c>
      <c r="FD113">
        <v>0</v>
      </c>
      <c r="FE113">
        <v>0</v>
      </c>
      <c r="FF113" t="s">
        <v>300</v>
      </c>
      <c r="FG113">
        <v>1</v>
      </c>
      <c r="FH113">
        <v>0</v>
      </c>
      <c r="FI113">
        <v>0</v>
      </c>
      <c r="FJ113">
        <v>0</v>
      </c>
      <c r="FK113">
        <v>0</v>
      </c>
      <c r="FL113">
        <v>0</v>
      </c>
      <c r="FM113">
        <v>0</v>
      </c>
      <c r="FN113">
        <v>0</v>
      </c>
      <c r="FO113">
        <v>0</v>
      </c>
      <c r="FP113">
        <v>0</v>
      </c>
      <c r="FQ113">
        <v>0</v>
      </c>
      <c r="FR113">
        <v>0</v>
      </c>
      <c r="FS113">
        <v>0</v>
      </c>
      <c r="FT113">
        <v>0</v>
      </c>
      <c r="FU113">
        <v>0</v>
      </c>
      <c r="FV113">
        <v>0</v>
      </c>
      <c r="FW113">
        <v>0</v>
      </c>
      <c r="FX113">
        <v>0</v>
      </c>
      <c r="FY113">
        <v>0</v>
      </c>
      <c r="GJ113" t="s">
        <v>717</v>
      </c>
      <c r="GK113">
        <v>1</v>
      </c>
      <c r="GL113">
        <v>0</v>
      </c>
      <c r="GM113">
        <v>0</v>
      </c>
      <c r="GN113">
        <v>0</v>
      </c>
      <c r="GO113">
        <v>0</v>
      </c>
      <c r="GP113">
        <v>0</v>
      </c>
      <c r="GQ113">
        <v>0</v>
      </c>
      <c r="GR113">
        <v>0</v>
      </c>
      <c r="GS113">
        <v>0</v>
      </c>
      <c r="GT113">
        <v>0</v>
      </c>
      <c r="GU113">
        <v>0</v>
      </c>
      <c r="GV113">
        <v>0</v>
      </c>
      <c r="GW113">
        <v>0</v>
      </c>
      <c r="GX113">
        <v>0</v>
      </c>
      <c r="GY113">
        <v>1</v>
      </c>
      <c r="GZ113">
        <v>0</v>
      </c>
      <c r="HA113">
        <v>0</v>
      </c>
      <c r="HB113">
        <v>0</v>
      </c>
      <c r="HC113">
        <v>1</v>
      </c>
      <c r="HD113">
        <v>0</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G113">
        <v>1</v>
      </c>
      <c r="IH113">
        <v>0</v>
      </c>
      <c r="II113">
        <v>0</v>
      </c>
      <c r="IJ113">
        <v>0</v>
      </c>
      <c r="IK113">
        <v>0</v>
      </c>
      <c r="IL113">
        <v>0</v>
      </c>
      <c r="IM113">
        <v>1</v>
      </c>
      <c r="IN113">
        <v>0</v>
      </c>
      <c r="IO113">
        <v>0</v>
      </c>
      <c r="IP113">
        <v>0</v>
      </c>
      <c r="IQ113">
        <v>0</v>
      </c>
      <c r="IS113">
        <v>1</v>
      </c>
      <c r="IT113">
        <v>1</v>
      </c>
      <c r="IU113">
        <v>1</v>
      </c>
      <c r="IV113">
        <v>1</v>
      </c>
      <c r="IW113">
        <v>0</v>
      </c>
    </row>
    <row r="114" spans="1:257" x14ac:dyDescent="0.35">
      <c r="A114">
        <v>397203</v>
      </c>
      <c r="C114">
        <v>1</v>
      </c>
      <c r="D114" t="s">
        <v>718</v>
      </c>
      <c r="E114" t="s">
        <v>719</v>
      </c>
      <c r="F114" t="s">
        <v>692</v>
      </c>
      <c r="G114">
        <v>3</v>
      </c>
      <c r="I114">
        <v>1</v>
      </c>
      <c r="J114">
        <v>0</v>
      </c>
      <c r="K114">
        <v>1</v>
      </c>
      <c r="L114">
        <v>0</v>
      </c>
      <c r="M114">
        <v>0</v>
      </c>
      <c r="N114">
        <v>1</v>
      </c>
      <c r="O114">
        <v>0</v>
      </c>
      <c r="P114">
        <v>1</v>
      </c>
      <c r="Q114">
        <v>0</v>
      </c>
      <c r="R114">
        <v>1</v>
      </c>
      <c r="T114">
        <v>0</v>
      </c>
      <c r="U114">
        <v>1</v>
      </c>
      <c r="V114">
        <v>0</v>
      </c>
      <c r="X114">
        <v>19</v>
      </c>
      <c r="AA114">
        <v>19</v>
      </c>
      <c r="AC114">
        <v>1</v>
      </c>
      <c r="AD114">
        <v>1</v>
      </c>
      <c r="AE114">
        <v>0</v>
      </c>
      <c r="AF114">
        <v>0</v>
      </c>
      <c r="AG114">
        <v>0</v>
      </c>
      <c r="AH114">
        <v>0</v>
      </c>
      <c r="AJ114">
        <v>2</v>
      </c>
      <c r="AL114">
        <v>5</v>
      </c>
      <c r="AM114" t="s">
        <v>720</v>
      </c>
      <c r="AN114">
        <v>1</v>
      </c>
      <c r="AO114">
        <v>1</v>
      </c>
      <c r="AP114">
        <v>5</v>
      </c>
      <c r="AQ114">
        <v>2</v>
      </c>
      <c r="AS114">
        <v>1</v>
      </c>
      <c r="AT114">
        <v>1</v>
      </c>
      <c r="AU114">
        <v>2</v>
      </c>
      <c r="BC114">
        <v>1</v>
      </c>
      <c r="BD114">
        <v>0</v>
      </c>
      <c r="BE114">
        <v>1</v>
      </c>
      <c r="BF114">
        <v>1</v>
      </c>
      <c r="BG114">
        <v>1</v>
      </c>
      <c r="BH114">
        <v>0</v>
      </c>
      <c r="BI114">
        <v>0</v>
      </c>
      <c r="BJ114">
        <v>0</v>
      </c>
      <c r="BK114">
        <v>0</v>
      </c>
      <c r="BL114">
        <v>0</v>
      </c>
      <c r="BM114">
        <v>0</v>
      </c>
      <c r="BN114">
        <v>1</v>
      </c>
      <c r="BO114">
        <v>0</v>
      </c>
      <c r="BP114">
        <v>0</v>
      </c>
      <c r="BQ114">
        <v>0</v>
      </c>
      <c r="BR114">
        <v>0</v>
      </c>
      <c r="BS114">
        <v>0</v>
      </c>
      <c r="BU114">
        <v>16</v>
      </c>
      <c r="BV114">
        <v>4</v>
      </c>
      <c r="BX114">
        <v>6</v>
      </c>
      <c r="BY114">
        <v>6</v>
      </c>
      <c r="DI114">
        <v>0</v>
      </c>
      <c r="DJ114">
        <v>1</v>
      </c>
      <c r="DK114">
        <v>0</v>
      </c>
      <c r="DL114">
        <v>0</v>
      </c>
      <c r="DM114">
        <v>1</v>
      </c>
      <c r="DN114">
        <v>1</v>
      </c>
      <c r="DO114">
        <v>0</v>
      </c>
      <c r="DP114">
        <v>0</v>
      </c>
      <c r="DQ114">
        <v>0</v>
      </c>
      <c r="DR114">
        <v>0</v>
      </c>
      <c r="DT114">
        <v>0</v>
      </c>
      <c r="DU114">
        <v>0</v>
      </c>
      <c r="DV114">
        <v>0</v>
      </c>
      <c r="DW114">
        <v>1</v>
      </c>
      <c r="DX114">
        <v>0</v>
      </c>
      <c r="DY114">
        <v>0</v>
      </c>
      <c r="DZ114">
        <v>0</v>
      </c>
      <c r="EA114">
        <v>0</v>
      </c>
      <c r="EB114">
        <v>1</v>
      </c>
      <c r="EC114">
        <v>0</v>
      </c>
      <c r="ED114">
        <v>1</v>
      </c>
      <c r="EE114">
        <v>0</v>
      </c>
      <c r="EF114">
        <v>0</v>
      </c>
      <c r="IG114">
        <v>0</v>
      </c>
      <c r="IH114">
        <v>0</v>
      </c>
      <c r="II114">
        <v>0</v>
      </c>
      <c r="IJ114">
        <v>0</v>
      </c>
      <c r="IK114">
        <v>0</v>
      </c>
      <c r="IL114">
        <v>0</v>
      </c>
      <c r="IM114">
        <v>0</v>
      </c>
      <c r="IN114">
        <v>0</v>
      </c>
      <c r="IO114">
        <v>0</v>
      </c>
      <c r="IP114">
        <v>0</v>
      </c>
      <c r="IQ114">
        <v>1</v>
      </c>
      <c r="IS114">
        <v>1</v>
      </c>
      <c r="IT114">
        <v>1</v>
      </c>
      <c r="IU114">
        <v>1</v>
      </c>
      <c r="IV114">
        <v>1</v>
      </c>
      <c r="IW114">
        <v>0</v>
      </c>
    </row>
    <row r="115" spans="1:257" x14ac:dyDescent="0.35">
      <c r="A115">
        <v>372390</v>
      </c>
      <c r="C115">
        <v>1</v>
      </c>
      <c r="D115" t="s">
        <v>721</v>
      </c>
      <c r="E115" t="s">
        <v>722</v>
      </c>
      <c r="F115" t="s">
        <v>723</v>
      </c>
      <c r="G115">
        <v>3</v>
      </c>
      <c r="I115">
        <v>0</v>
      </c>
      <c r="J115">
        <v>0</v>
      </c>
      <c r="K115">
        <v>1</v>
      </c>
      <c r="L115">
        <v>0</v>
      </c>
      <c r="M115">
        <v>0</v>
      </c>
      <c r="N115">
        <v>0</v>
      </c>
      <c r="O115">
        <v>0</v>
      </c>
      <c r="P115">
        <v>0</v>
      </c>
      <c r="Q115">
        <v>0</v>
      </c>
      <c r="R115">
        <v>2</v>
      </c>
      <c r="T115">
        <v>0</v>
      </c>
      <c r="U115">
        <v>1</v>
      </c>
      <c r="V115">
        <v>0</v>
      </c>
      <c r="X115">
        <v>31</v>
      </c>
      <c r="AA115">
        <v>31</v>
      </c>
      <c r="AC115">
        <v>1</v>
      </c>
      <c r="AD115">
        <v>0</v>
      </c>
      <c r="AE115">
        <v>0</v>
      </c>
      <c r="AF115">
        <v>0</v>
      </c>
      <c r="AG115">
        <v>0</v>
      </c>
      <c r="AH115">
        <v>0</v>
      </c>
      <c r="AJ115">
        <v>1</v>
      </c>
      <c r="AL115">
        <v>1</v>
      </c>
      <c r="AN115">
        <v>1</v>
      </c>
      <c r="AO115">
        <v>1</v>
      </c>
      <c r="AP115">
        <v>5</v>
      </c>
      <c r="AQ115">
        <v>1</v>
      </c>
      <c r="AR115">
        <v>5</v>
      </c>
      <c r="AS115">
        <v>1</v>
      </c>
      <c r="AT115">
        <v>1</v>
      </c>
      <c r="AU115">
        <v>1</v>
      </c>
      <c r="AV115">
        <v>0</v>
      </c>
      <c r="AW115">
        <v>0</v>
      </c>
      <c r="AX115">
        <v>0</v>
      </c>
      <c r="AY115">
        <v>0</v>
      </c>
      <c r="AZ115">
        <v>1</v>
      </c>
      <c r="BA115">
        <v>0</v>
      </c>
      <c r="BC115">
        <v>1</v>
      </c>
      <c r="BD115">
        <v>0</v>
      </c>
      <c r="BE115">
        <v>1</v>
      </c>
      <c r="BF115">
        <v>0</v>
      </c>
      <c r="BG115">
        <v>0</v>
      </c>
      <c r="BH115">
        <v>0</v>
      </c>
      <c r="BI115">
        <v>0</v>
      </c>
      <c r="BJ115">
        <v>0</v>
      </c>
      <c r="BK115">
        <v>0</v>
      </c>
      <c r="BL115">
        <v>0</v>
      </c>
      <c r="BM115">
        <v>0</v>
      </c>
      <c r="BN115">
        <v>0</v>
      </c>
      <c r="BO115">
        <v>0</v>
      </c>
      <c r="BP115">
        <v>1</v>
      </c>
      <c r="BQ115">
        <v>0</v>
      </c>
      <c r="BR115">
        <v>0</v>
      </c>
      <c r="BS115">
        <v>0</v>
      </c>
      <c r="BU115">
        <v>14</v>
      </c>
      <c r="BV115">
        <v>4</v>
      </c>
      <c r="BX115">
        <v>5</v>
      </c>
      <c r="BY115">
        <v>5</v>
      </c>
      <c r="DI115">
        <v>0</v>
      </c>
      <c r="DJ115">
        <v>0</v>
      </c>
      <c r="DK115">
        <v>1</v>
      </c>
      <c r="DL115">
        <v>0</v>
      </c>
      <c r="DM115">
        <v>0</v>
      </c>
      <c r="DN115">
        <v>1</v>
      </c>
      <c r="DO115">
        <v>0</v>
      </c>
      <c r="DP115">
        <v>1</v>
      </c>
      <c r="DQ115">
        <v>1</v>
      </c>
      <c r="DR115">
        <v>0</v>
      </c>
      <c r="DS115" t="s">
        <v>724</v>
      </c>
      <c r="DT115">
        <v>0</v>
      </c>
      <c r="DU115">
        <v>1</v>
      </c>
      <c r="DV115">
        <v>0</v>
      </c>
      <c r="DW115">
        <v>1</v>
      </c>
      <c r="DX115">
        <v>0</v>
      </c>
      <c r="DY115">
        <v>1</v>
      </c>
      <c r="DZ115">
        <v>0</v>
      </c>
      <c r="EA115">
        <v>0</v>
      </c>
      <c r="EB115">
        <v>0</v>
      </c>
      <c r="EC115">
        <v>0</v>
      </c>
      <c r="ED115">
        <v>1</v>
      </c>
      <c r="EE115">
        <v>0</v>
      </c>
      <c r="EF115">
        <v>0</v>
      </c>
      <c r="EI115" t="s">
        <v>274</v>
      </c>
      <c r="EJ115">
        <v>1</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IG115">
        <v>0</v>
      </c>
      <c r="IH115">
        <v>0</v>
      </c>
      <c r="II115">
        <v>0</v>
      </c>
      <c r="IJ115">
        <v>1</v>
      </c>
      <c r="IK115">
        <v>0</v>
      </c>
      <c r="IL115">
        <v>0</v>
      </c>
      <c r="IM115">
        <v>1</v>
      </c>
      <c r="IN115">
        <v>0</v>
      </c>
      <c r="IO115">
        <v>0</v>
      </c>
      <c r="IP115">
        <v>0</v>
      </c>
      <c r="IQ115">
        <v>0</v>
      </c>
      <c r="IS115">
        <v>2</v>
      </c>
    </row>
    <row r="116" spans="1:257" x14ac:dyDescent="0.35">
      <c r="A116">
        <v>370138</v>
      </c>
      <c r="C116">
        <v>1</v>
      </c>
      <c r="D116" t="s">
        <v>725</v>
      </c>
      <c r="E116" t="s">
        <v>726</v>
      </c>
      <c r="F116" t="s">
        <v>723</v>
      </c>
      <c r="G116">
        <v>4</v>
      </c>
      <c r="I116">
        <v>0</v>
      </c>
      <c r="J116">
        <v>0</v>
      </c>
      <c r="K116">
        <v>0</v>
      </c>
      <c r="L116">
        <v>0</v>
      </c>
      <c r="M116">
        <v>0</v>
      </c>
      <c r="N116">
        <v>0</v>
      </c>
      <c r="O116">
        <v>0</v>
      </c>
      <c r="P116">
        <v>0</v>
      </c>
      <c r="Q116">
        <v>1</v>
      </c>
      <c r="R116">
        <v>1</v>
      </c>
      <c r="T116">
        <v>1</v>
      </c>
      <c r="U116">
        <v>1</v>
      </c>
      <c r="V116">
        <v>0</v>
      </c>
      <c r="W116">
        <v>12</v>
      </c>
      <c r="X116">
        <v>85</v>
      </c>
      <c r="Z116">
        <v>12</v>
      </c>
      <c r="AA116">
        <v>85</v>
      </c>
      <c r="AC116">
        <v>1</v>
      </c>
      <c r="AD116">
        <v>1</v>
      </c>
      <c r="AE116">
        <v>0</v>
      </c>
      <c r="AF116">
        <v>0</v>
      </c>
      <c r="AG116">
        <v>0</v>
      </c>
      <c r="AH116">
        <v>0</v>
      </c>
      <c r="AJ116">
        <v>2</v>
      </c>
      <c r="AL116">
        <v>4</v>
      </c>
      <c r="AN116">
        <v>1</v>
      </c>
      <c r="AO116">
        <v>1</v>
      </c>
      <c r="AP116">
        <v>5</v>
      </c>
      <c r="AQ116">
        <v>2</v>
      </c>
      <c r="AS116">
        <v>2</v>
      </c>
      <c r="AT116">
        <v>1</v>
      </c>
      <c r="AU116">
        <v>2</v>
      </c>
      <c r="BC116">
        <v>1</v>
      </c>
      <c r="BD116">
        <v>0</v>
      </c>
      <c r="BE116">
        <v>1</v>
      </c>
      <c r="BF116">
        <v>1</v>
      </c>
      <c r="BG116">
        <v>1</v>
      </c>
      <c r="BH116">
        <v>1</v>
      </c>
      <c r="BI116">
        <v>1</v>
      </c>
      <c r="BJ116">
        <v>0</v>
      </c>
      <c r="BK116">
        <v>1</v>
      </c>
      <c r="BL116">
        <v>0</v>
      </c>
      <c r="BM116">
        <v>0</v>
      </c>
      <c r="BN116">
        <v>1</v>
      </c>
      <c r="BO116">
        <v>1</v>
      </c>
      <c r="BP116">
        <v>1</v>
      </c>
      <c r="BQ116">
        <v>0</v>
      </c>
      <c r="BR116">
        <v>0</v>
      </c>
      <c r="BS116">
        <v>0</v>
      </c>
      <c r="BU116">
        <v>4</v>
      </c>
      <c r="BV116">
        <v>4</v>
      </c>
      <c r="BX116">
        <v>3</v>
      </c>
      <c r="BY116">
        <v>2</v>
      </c>
      <c r="DI116">
        <v>0</v>
      </c>
      <c r="DJ116">
        <v>0</v>
      </c>
      <c r="DK116">
        <v>1</v>
      </c>
      <c r="DL116">
        <v>1</v>
      </c>
      <c r="DM116">
        <v>0</v>
      </c>
      <c r="DN116">
        <v>0</v>
      </c>
      <c r="DO116">
        <v>0</v>
      </c>
      <c r="DP116">
        <v>0</v>
      </c>
      <c r="DQ116">
        <v>0</v>
      </c>
      <c r="DR116">
        <v>0</v>
      </c>
      <c r="DT116">
        <v>0</v>
      </c>
      <c r="DU116">
        <v>1</v>
      </c>
      <c r="DV116">
        <v>1</v>
      </c>
      <c r="DW116">
        <v>0</v>
      </c>
      <c r="DX116">
        <v>0</v>
      </c>
      <c r="DY116">
        <v>0</v>
      </c>
      <c r="DZ116">
        <v>0</v>
      </c>
      <c r="EA116">
        <v>0</v>
      </c>
      <c r="EB116">
        <v>1</v>
      </c>
      <c r="EC116">
        <v>1</v>
      </c>
      <c r="ED116">
        <v>0</v>
      </c>
      <c r="EE116">
        <v>0</v>
      </c>
      <c r="EF116">
        <v>0</v>
      </c>
      <c r="EI116" t="s">
        <v>727</v>
      </c>
      <c r="EJ116">
        <v>1</v>
      </c>
      <c r="EK116">
        <v>1</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t="s">
        <v>434</v>
      </c>
      <c r="FG116">
        <v>1</v>
      </c>
      <c r="FH116">
        <v>0</v>
      </c>
      <c r="FI116">
        <v>0</v>
      </c>
      <c r="FJ116">
        <v>0</v>
      </c>
      <c r="FK116">
        <v>0</v>
      </c>
      <c r="FL116">
        <v>0</v>
      </c>
      <c r="FM116">
        <v>0</v>
      </c>
      <c r="FN116">
        <v>0</v>
      </c>
      <c r="FO116">
        <v>0</v>
      </c>
      <c r="FP116">
        <v>0</v>
      </c>
      <c r="FQ116">
        <v>0</v>
      </c>
      <c r="FR116">
        <v>0</v>
      </c>
      <c r="FS116">
        <v>0</v>
      </c>
      <c r="FT116">
        <v>0</v>
      </c>
      <c r="FU116">
        <v>0</v>
      </c>
      <c r="FV116">
        <v>0</v>
      </c>
      <c r="FW116">
        <v>0</v>
      </c>
      <c r="FX116">
        <v>0</v>
      </c>
      <c r="FY116">
        <v>0</v>
      </c>
      <c r="GJ116" t="s">
        <v>285</v>
      </c>
      <c r="GK116">
        <v>1</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G116">
        <v>1</v>
      </c>
      <c r="IH116">
        <v>0</v>
      </c>
      <c r="II116">
        <v>0</v>
      </c>
      <c r="IJ116">
        <v>0</v>
      </c>
      <c r="IK116">
        <v>0</v>
      </c>
      <c r="IL116">
        <v>0</v>
      </c>
      <c r="IM116">
        <v>0</v>
      </c>
      <c r="IN116">
        <v>0</v>
      </c>
      <c r="IO116">
        <v>0</v>
      </c>
      <c r="IP116">
        <v>0</v>
      </c>
      <c r="IQ116">
        <v>0</v>
      </c>
      <c r="IS116">
        <v>2</v>
      </c>
    </row>
    <row r="117" spans="1:257" x14ac:dyDescent="0.35">
      <c r="A117">
        <v>397307</v>
      </c>
      <c r="C117">
        <v>1</v>
      </c>
      <c r="D117" t="s">
        <v>728</v>
      </c>
      <c r="E117" t="s">
        <v>729</v>
      </c>
      <c r="F117" t="s">
        <v>730</v>
      </c>
      <c r="G117">
        <v>13</v>
      </c>
      <c r="I117">
        <v>0</v>
      </c>
      <c r="J117">
        <v>1</v>
      </c>
      <c r="K117">
        <v>0</v>
      </c>
      <c r="L117">
        <v>0</v>
      </c>
      <c r="M117">
        <v>0</v>
      </c>
      <c r="N117">
        <v>0</v>
      </c>
      <c r="O117">
        <v>0</v>
      </c>
      <c r="P117">
        <v>0</v>
      </c>
      <c r="Q117">
        <v>0</v>
      </c>
      <c r="R117">
        <v>1</v>
      </c>
      <c r="T117">
        <v>1</v>
      </c>
      <c r="U117">
        <v>0</v>
      </c>
      <c r="V117">
        <v>0</v>
      </c>
      <c r="W117">
        <v>10</v>
      </c>
      <c r="Z117">
        <v>10</v>
      </c>
      <c r="AC117">
        <v>1</v>
      </c>
      <c r="AD117">
        <v>1</v>
      </c>
      <c r="AE117">
        <v>0</v>
      </c>
      <c r="AF117">
        <v>0</v>
      </c>
      <c r="AG117">
        <v>0</v>
      </c>
      <c r="AH117">
        <v>0</v>
      </c>
      <c r="AJ117">
        <v>2</v>
      </c>
      <c r="AL117">
        <v>1</v>
      </c>
      <c r="AN117">
        <v>1</v>
      </c>
      <c r="AO117">
        <v>1</v>
      </c>
      <c r="AP117">
        <v>2</v>
      </c>
      <c r="AQ117">
        <v>1</v>
      </c>
      <c r="AR117">
        <v>6</v>
      </c>
      <c r="AS117">
        <v>2</v>
      </c>
      <c r="AT117">
        <v>1</v>
      </c>
      <c r="AU117">
        <v>1</v>
      </c>
      <c r="AV117">
        <v>1</v>
      </c>
      <c r="AW117">
        <v>0</v>
      </c>
      <c r="AX117">
        <v>0</v>
      </c>
      <c r="AY117">
        <v>0</v>
      </c>
      <c r="AZ117">
        <v>0</v>
      </c>
      <c r="BA117">
        <v>0</v>
      </c>
      <c r="BC117">
        <v>0</v>
      </c>
      <c r="BD117">
        <v>0</v>
      </c>
      <c r="BE117">
        <v>0</v>
      </c>
      <c r="BF117">
        <v>0</v>
      </c>
      <c r="BG117">
        <v>0</v>
      </c>
      <c r="BH117">
        <v>0</v>
      </c>
      <c r="BI117">
        <v>0</v>
      </c>
      <c r="BJ117">
        <v>0</v>
      </c>
      <c r="BK117">
        <v>0</v>
      </c>
      <c r="BL117">
        <v>0</v>
      </c>
      <c r="BM117">
        <v>0</v>
      </c>
      <c r="BN117">
        <v>0</v>
      </c>
      <c r="BO117">
        <v>0</v>
      </c>
      <c r="BP117">
        <v>0</v>
      </c>
      <c r="BQ117">
        <v>1</v>
      </c>
      <c r="BR117">
        <v>0</v>
      </c>
      <c r="BS117">
        <v>0</v>
      </c>
      <c r="BU117">
        <v>15</v>
      </c>
      <c r="BV117">
        <v>1</v>
      </c>
      <c r="BW117" t="s">
        <v>731</v>
      </c>
      <c r="BX117">
        <v>1</v>
      </c>
      <c r="BY117">
        <v>2</v>
      </c>
      <c r="DI117">
        <v>0</v>
      </c>
      <c r="DJ117">
        <v>0</v>
      </c>
      <c r="DK117">
        <v>0</v>
      </c>
      <c r="DL117">
        <v>0</v>
      </c>
      <c r="DM117">
        <v>0</v>
      </c>
      <c r="DN117">
        <v>0</v>
      </c>
      <c r="DO117">
        <v>0</v>
      </c>
      <c r="DP117">
        <v>0</v>
      </c>
      <c r="DQ117">
        <v>0</v>
      </c>
      <c r="DR117">
        <v>1</v>
      </c>
      <c r="DT117">
        <v>0</v>
      </c>
      <c r="DU117">
        <v>0</v>
      </c>
      <c r="DV117">
        <v>0</v>
      </c>
      <c r="DW117">
        <v>0</v>
      </c>
      <c r="DX117">
        <v>0</v>
      </c>
      <c r="DY117">
        <v>0</v>
      </c>
      <c r="DZ117">
        <v>0</v>
      </c>
      <c r="EA117">
        <v>0</v>
      </c>
      <c r="EB117">
        <v>0</v>
      </c>
      <c r="EC117">
        <v>0</v>
      </c>
      <c r="ED117">
        <v>0</v>
      </c>
      <c r="EE117">
        <v>0</v>
      </c>
      <c r="EF117">
        <v>1</v>
      </c>
      <c r="IG117">
        <v>0</v>
      </c>
      <c r="IH117">
        <v>0</v>
      </c>
      <c r="II117">
        <v>0</v>
      </c>
      <c r="IJ117">
        <v>0</v>
      </c>
      <c r="IK117">
        <v>0</v>
      </c>
      <c r="IL117">
        <v>0</v>
      </c>
      <c r="IM117">
        <v>0</v>
      </c>
      <c r="IN117">
        <v>0</v>
      </c>
      <c r="IO117">
        <v>0</v>
      </c>
      <c r="IP117">
        <v>0</v>
      </c>
      <c r="IQ117">
        <v>1</v>
      </c>
      <c r="IS117">
        <v>1</v>
      </c>
      <c r="IT117">
        <v>0</v>
      </c>
      <c r="IU117">
        <v>0</v>
      </c>
      <c r="IV117">
        <v>1</v>
      </c>
      <c r="IW117">
        <v>0</v>
      </c>
    </row>
    <row r="118" spans="1:257" x14ac:dyDescent="0.35">
      <c r="A118">
        <v>405346</v>
      </c>
      <c r="C118">
        <v>1</v>
      </c>
      <c r="D118" t="s">
        <v>732</v>
      </c>
      <c r="E118" t="s">
        <v>733</v>
      </c>
      <c r="F118" t="s">
        <v>730</v>
      </c>
      <c r="G118">
        <v>3</v>
      </c>
      <c r="I118">
        <v>0</v>
      </c>
      <c r="J118">
        <v>0</v>
      </c>
      <c r="K118">
        <v>1</v>
      </c>
      <c r="L118">
        <v>0</v>
      </c>
      <c r="M118">
        <v>0</v>
      </c>
      <c r="N118">
        <v>0</v>
      </c>
      <c r="O118">
        <v>1</v>
      </c>
      <c r="P118">
        <v>1</v>
      </c>
      <c r="Q118">
        <v>0</v>
      </c>
      <c r="R118">
        <v>1</v>
      </c>
      <c r="T118">
        <v>1</v>
      </c>
      <c r="U118">
        <v>1</v>
      </c>
      <c r="V118">
        <v>0</v>
      </c>
      <c r="W118">
        <v>30</v>
      </c>
      <c r="X118">
        <v>70</v>
      </c>
      <c r="Z118">
        <v>30</v>
      </c>
      <c r="AA118">
        <v>70</v>
      </c>
      <c r="AC118">
        <v>1</v>
      </c>
      <c r="AD118">
        <v>1</v>
      </c>
      <c r="AE118">
        <v>0</v>
      </c>
      <c r="AF118">
        <v>0</v>
      </c>
      <c r="AG118">
        <v>0</v>
      </c>
      <c r="AH118">
        <v>0</v>
      </c>
      <c r="AJ118">
        <v>1</v>
      </c>
      <c r="AL118">
        <v>1</v>
      </c>
      <c r="AN118">
        <v>1</v>
      </c>
      <c r="AO118">
        <v>1</v>
      </c>
      <c r="AP118">
        <v>1</v>
      </c>
      <c r="AQ118">
        <v>2</v>
      </c>
      <c r="AS118">
        <v>2</v>
      </c>
      <c r="AT118">
        <v>2</v>
      </c>
      <c r="AU118">
        <v>1</v>
      </c>
      <c r="AV118">
        <v>1</v>
      </c>
      <c r="AW118">
        <v>0</v>
      </c>
      <c r="AX118">
        <v>0</v>
      </c>
      <c r="AY118">
        <v>0</v>
      </c>
      <c r="AZ118">
        <v>0</v>
      </c>
      <c r="BA118">
        <v>0</v>
      </c>
      <c r="BC118">
        <v>1</v>
      </c>
      <c r="BD118">
        <v>0</v>
      </c>
      <c r="BE118">
        <v>0</v>
      </c>
      <c r="BF118">
        <v>0</v>
      </c>
      <c r="BG118">
        <v>0</v>
      </c>
      <c r="BH118">
        <v>0</v>
      </c>
      <c r="BI118">
        <v>0</v>
      </c>
      <c r="BJ118">
        <v>0</v>
      </c>
      <c r="BK118">
        <v>1</v>
      </c>
      <c r="BL118">
        <v>0</v>
      </c>
      <c r="BM118">
        <v>0</v>
      </c>
      <c r="BN118">
        <v>0</v>
      </c>
      <c r="BO118">
        <v>0</v>
      </c>
      <c r="BP118">
        <v>1</v>
      </c>
      <c r="BQ118">
        <v>0</v>
      </c>
      <c r="BR118">
        <v>0</v>
      </c>
      <c r="BS118">
        <v>0</v>
      </c>
      <c r="BU118">
        <v>1</v>
      </c>
      <c r="BV118">
        <v>4</v>
      </c>
      <c r="BX118">
        <v>1</v>
      </c>
      <c r="BY118">
        <v>1</v>
      </c>
      <c r="DI118">
        <v>0</v>
      </c>
      <c r="DJ118">
        <v>0</v>
      </c>
      <c r="DK118">
        <v>0</v>
      </c>
      <c r="DL118">
        <v>0</v>
      </c>
      <c r="DM118">
        <v>0</v>
      </c>
      <c r="DN118">
        <v>1</v>
      </c>
      <c r="DO118">
        <v>0</v>
      </c>
      <c r="DP118">
        <v>0</v>
      </c>
      <c r="DQ118">
        <v>0</v>
      </c>
      <c r="DR118">
        <v>0</v>
      </c>
      <c r="DT118">
        <v>0</v>
      </c>
      <c r="DU118">
        <v>1</v>
      </c>
      <c r="DV118">
        <v>0</v>
      </c>
      <c r="DW118">
        <v>1</v>
      </c>
      <c r="DX118">
        <v>0</v>
      </c>
      <c r="DY118">
        <v>0</v>
      </c>
      <c r="DZ118">
        <v>0</v>
      </c>
      <c r="EA118">
        <v>0</v>
      </c>
      <c r="EB118">
        <v>0</v>
      </c>
      <c r="EC118">
        <v>0</v>
      </c>
      <c r="ED118">
        <v>1</v>
      </c>
      <c r="EE118">
        <v>0</v>
      </c>
      <c r="EF118">
        <v>0</v>
      </c>
      <c r="EI118" t="s">
        <v>734</v>
      </c>
      <c r="EJ118">
        <v>1</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IG118">
        <v>1</v>
      </c>
      <c r="IH118">
        <v>0</v>
      </c>
      <c r="II118">
        <v>0</v>
      </c>
      <c r="IJ118">
        <v>1</v>
      </c>
      <c r="IK118">
        <v>1</v>
      </c>
      <c r="IL118">
        <v>0</v>
      </c>
      <c r="IM118">
        <v>0</v>
      </c>
      <c r="IN118">
        <v>0</v>
      </c>
      <c r="IO118">
        <v>0</v>
      </c>
      <c r="IP118">
        <v>0</v>
      </c>
      <c r="IQ118">
        <v>0</v>
      </c>
      <c r="IS118">
        <v>2</v>
      </c>
    </row>
    <row r="119" spans="1:257" x14ac:dyDescent="0.35">
      <c r="A119">
        <v>405533</v>
      </c>
      <c r="C119">
        <v>1</v>
      </c>
      <c r="D119" t="s">
        <v>735</v>
      </c>
      <c r="E119" t="s">
        <v>736</v>
      </c>
      <c r="F119" t="s">
        <v>730</v>
      </c>
      <c r="G119">
        <v>3</v>
      </c>
      <c r="I119">
        <v>1</v>
      </c>
      <c r="J119">
        <v>0</v>
      </c>
      <c r="K119">
        <v>1</v>
      </c>
      <c r="L119">
        <v>0</v>
      </c>
      <c r="M119">
        <v>0</v>
      </c>
      <c r="N119">
        <v>0</v>
      </c>
      <c r="O119">
        <v>0</v>
      </c>
      <c r="P119">
        <v>0</v>
      </c>
      <c r="Q119">
        <v>0</v>
      </c>
      <c r="R119">
        <v>1</v>
      </c>
      <c r="T119">
        <v>1</v>
      </c>
      <c r="U119">
        <v>1</v>
      </c>
      <c r="V119">
        <v>0</v>
      </c>
      <c r="W119">
        <v>3</v>
      </c>
      <c r="X119">
        <v>12</v>
      </c>
      <c r="Z119">
        <v>3</v>
      </c>
      <c r="AA119">
        <v>12</v>
      </c>
      <c r="AC119">
        <v>1</v>
      </c>
      <c r="AD119">
        <v>1</v>
      </c>
      <c r="AE119">
        <v>0</v>
      </c>
      <c r="AF119">
        <v>0</v>
      </c>
      <c r="AG119">
        <v>0</v>
      </c>
      <c r="AH119">
        <v>0</v>
      </c>
      <c r="AJ119">
        <v>1</v>
      </c>
      <c r="AL119">
        <v>1</v>
      </c>
      <c r="AN119">
        <v>1</v>
      </c>
      <c r="AO119">
        <v>1</v>
      </c>
      <c r="AP119">
        <v>4</v>
      </c>
      <c r="AQ119">
        <v>1</v>
      </c>
      <c r="AR119">
        <v>4</v>
      </c>
      <c r="AS119">
        <v>2</v>
      </c>
      <c r="AT119">
        <v>1</v>
      </c>
      <c r="AU119">
        <v>2</v>
      </c>
      <c r="BC119">
        <v>1</v>
      </c>
      <c r="BD119">
        <v>1</v>
      </c>
      <c r="BE119">
        <v>0</v>
      </c>
      <c r="BF119">
        <v>1</v>
      </c>
      <c r="BG119">
        <v>1</v>
      </c>
      <c r="BH119">
        <v>0</v>
      </c>
      <c r="BI119">
        <v>0</v>
      </c>
      <c r="BJ119">
        <v>0</v>
      </c>
      <c r="BK119">
        <v>1</v>
      </c>
      <c r="BL119">
        <v>0</v>
      </c>
      <c r="BM119">
        <v>1</v>
      </c>
      <c r="BN119">
        <v>1</v>
      </c>
      <c r="BO119">
        <v>0</v>
      </c>
      <c r="BP119">
        <v>1</v>
      </c>
      <c r="BQ119">
        <v>0</v>
      </c>
      <c r="BR119">
        <v>1</v>
      </c>
      <c r="BS119">
        <v>0</v>
      </c>
      <c r="BU119">
        <v>16</v>
      </c>
      <c r="BV119">
        <v>4</v>
      </c>
      <c r="BX119">
        <v>3</v>
      </c>
      <c r="BY119">
        <v>4</v>
      </c>
      <c r="DI119">
        <v>0</v>
      </c>
      <c r="DJ119">
        <v>1</v>
      </c>
      <c r="DK119">
        <v>1</v>
      </c>
      <c r="DL119">
        <v>0</v>
      </c>
      <c r="DM119">
        <v>0</v>
      </c>
      <c r="DN119">
        <v>1</v>
      </c>
      <c r="DO119">
        <v>0</v>
      </c>
      <c r="DP119">
        <v>0</v>
      </c>
      <c r="DQ119">
        <v>0</v>
      </c>
      <c r="DR119">
        <v>0</v>
      </c>
      <c r="DT119">
        <v>0</v>
      </c>
      <c r="DU119">
        <v>0</v>
      </c>
      <c r="DV119">
        <v>0</v>
      </c>
      <c r="DW119">
        <v>1</v>
      </c>
      <c r="DX119">
        <v>0</v>
      </c>
      <c r="DY119">
        <v>0</v>
      </c>
      <c r="DZ119">
        <v>0</v>
      </c>
      <c r="EA119">
        <v>0</v>
      </c>
      <c r="EB119">
        <v>1</v>
      </c>
      <c r="EC119">
        <v>1</v>
      </c>
      <c r="ED119">
        <v>1</v>
      </c>
      <c r="EE119">
        <v>0</v>
      </c>
      <c r="EF119">
        <v>0</v>
      </c>
      <c r="GJ119" t="s">
        <v>737</v>
      </c>
      <c r="GK119">
        <v>0</v>
      </c>
      <c r="GL119">
        <v>0</v>
      </c>
      <c r="GM119">
        <v>0</v>
      </c>
      <c r="GN119">
        <v>0</v>
      </c>
      <c r="GO119">
        <v>0</v>
      </c>
      <c r="GP119">
        <v>0</v>
      </c>
      <c r="GQ119">
        <v>0</v>
      </c>
      <c r="GR119">
        <v>0</v>
      </c>
      <c r="GS119">
        <v>0</v>
      </c>
      <c r="GT119">
        <v>0</v>
      </c>
      <c r="GU119">
        <v>0</v>
      </c>
      <c r="GV119">
        <v>0</v>
      </c>
      <c r="GW119">
        <v>0</v>
      </c>
      <c r="GX119">
        <v>0</v>
      </c>
      <c r="GY119">
        <v>0</v>
      </c>
      <c r="GZ119">
        <v>0</v>
      </c>
      <c r="HA119">
        <v>1</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G119">
        <v>1</v>
      </c>
      <c r="IH119">
        <v>0</v>
      </c>
      <c r="II119">
        <v>0</v>
      </c>
      <c r="IJ119">
        <v>1</v>
      </c>
      <c r="IK119">
        <v>1</v>
      </c>
      <c r="IL119">
        <v>0</v>
      </c>
      <c r="IM119">
        <v>0</v>
      </c>
      <c r="IN119">
        <v>0</v>
      </c>
      <c r="IO119">
        <v>0</v>
      </c>
      <c r="IP119">
        <v>0</v>
      </c>
      <c r="IQ119">
        <v>0</v>
      </c>
      <c r="IS119">
        <v>1</v>
      </c>
      <c r="IT119">
        <v>1</v>
      </c>
      <c r="IU119">
        <v>0</v>
      </c>
      <c r="IV119">
        <v>0</v>
      </c>
      <c r="IW119">
        <v>0</v>
      </c>
    </row>
    <row r="120" spans="1:257" x14ac:dyDescent="0.35">
      <c r="A120">
        <v>405452</v>
      </c>
      <c r="C120">
        <v>1</v>
      </c>
      <c r="D120" t="s">
        <v>738</v>
      </c>
      <c r="E120" t="s">
        <v>739</v>
      </c>
      <c r="F120" t="s">
        <v>730</v>
      </c>
      <c r="G120">
        <v>3</v>
      </c>
      <c r="I120">
        <v>0</v>
      </c>
      <c r="J120">
        <v>1</v>
      </c>
      <c r="K120">
        <v>1</v>
      </c>
      <c r="L120">
        <v>0</v>
      </c>
      <c r="M120">
        <v>0</v>
      </c>
      <c r="N120">
        <v>0</v>
      </c>
      <c r="O120">
        <v>0</v>
      </c>
      <c r="P120">
        <v>0</v>
      </c>
      <c r="Q120">
        <v>0</v>
      </c>
      <c r="R120">
        <v>1</v>
      </c>
      <c r="T120">
        <v>0</v>
      </c>
      <c r="U120">
        <v>1</v>
      </c>
      <c r="V120">
        <v>0</v>
      </c>
      <c r="X120">
        <v>30</v>
      </c>
      <c r="AA120">
        <v>30</v>
      </c>
      <c r="AC120">
        <v>1</v>
      </c>
      <c r="AD120">
        <v>0</v>
      </c>
      <c r="AE120">
        <v>0</v>
      </c>
      <c r="AF120">
        <v>0</v>
      </c>
      <c r="AG120">
        <v>0</v>
      </c>
      <c r="AH120">
        <v>0</v>
      </c>
      <c r="AJ120">
        <v>1</v>
      </c>
      <c r="AL120">
        <v>5</v>
      </c>
      <c r="AM120" t="s">
        <v>740</v>
      </c>
      <c r="AN120">
        <v>1</v>
      </c>
      <c r="AO120">
        <v>1</v>
      </c>
      <c r="AP120">
        <v>4</v>
      </c>
      <c r="AQ120">
        <v>1</v>
      </c>
      <c r="AR120">
        <v>4</v>
      </c>
      <c r="AS120">
        <v>2</v>
      </c>
      <c r="AT120">
        <v>1</v>
      </c>
      <c r="AU120">
        <v>2</v>
      </c>
      <c r="BC120">
        <v>0</v>
      </c>
      <c r="BD120">
        <v>0</v>
      </c>
      <c r="BE120">
        <v>0</v>
      </c>
      <c r="BF120">
        <v>0</v>
      </c>
      <c r="BG120">
        <v>1</v>
      </c>
      <c r="BH120">
        <v>1</v>
      </c>
      <c r="BI120">
        <v>0</v>
      </c>
      <c r="BJ120">
        <v>0</v>
      </c>
      <c r="BK120">
        <v>1</v>
      </c>
      <c r="BL120">
        <v>0</v>
      </c>
      <c r="BM120">
        <v>1</v>
      </c>
      <c r="BN120">
        <v>1</v>
      </c>
      <c r="BO120">
        <v>0</v>
      </c>
      <c r="BP120">
        <v>1</v>
      </c>
      <c r="BQ120">
        <v>0</v>
      </c>
      <c r="BR120">
        <v>0</v>
      </c>
      <c r="BS120">
        <v>0</v>
      </c>
      <c r="BU120">
        <v>9</v>
      </c>
      <c r="BV120">
        <v>4</v>
      </c>
      <c r="BX120">
        <v>3</v>
      </c>
      <c r="BY120">
        <v>3</v>
      </c>
      <c r="DI120">
        <v>1</v>
      </c>
      <c r="DJ120">
        <v>0</v>
      </c>
      <c r="DK120">
        <v>1</v>
      </c>
      <c r="DL120">
        <v>1</v>
      </c>
      <c r="DM120">
        <v>1</v>
      </c>
      <c r="DN120">
        <v>0</v>
      </c>
      <c r="DO120">
        <v>0</v>
      </c>
      <c r="DP120">
        <v>0</v>
      </c>
      <c r="DQ120">
        <v>0</v>
      </c>
      <c r="DR120">
        <v>0</v>
      </c>
      <c r="DT120">
        <v>0</v>
      </c>
      <c r="DU120">
        <v>1</v>
      </c>
      <c r="DV120">
        <v>0</v>
      </c>
      <c r="DW120">
        <v>1</v>
      </c>
      <c r="DX120">
        <v>1</v>
      </c>
      <c r="DY120">
        <v>0</v>
      </c>
      <c r="DZ120">
        <v>0</v>
      </c>
      <c r="EA120">
        <v>1</v>
      </c>
      <c r="EB120">
        <v>1</v>
      </c>
      <c r="EC120">
        <v>1</v>
      </c>
      <c r="ED120">
        <v>1</v>
      </c>
      <c r="EE120">
        <v>0</v>
      </c>
      <c r="EF120">
        <v>0</v>
      </c>
      <c r="EI120" t="s">
        <v>285</v>
      </c>
      <c r="EJ120">
        <v>0</v>
      </c>
      <c r="EK120">
        <v>1</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GJ120" t="s">
        <v>737</v>
      </c>
      <c r="GK120">
        <v>0</v>
      </c>
      <c r="GL120">
        <v>0</v>
      </c>
      <c r="GM120">
        <v>0</v>
      </c>
      <c r="GN120">
        <v>0</v>
      </c>
      <c r="GO120">
        <v>0</v>
      </c>
      <c r="GP120">
        <v>0</v>
      </c>
      <c r="GQ120">
        <v>0</v>
      </c>
      <c r="GR120">
        <v>0</v>
      </c>
      <c r="GS120">
        <v>0</v>
      </c>
      <c r="GT120">
        <v>0</v>
      </c>
      <c r="GU120">
        <v>0</v>
      </c>
      <c r="GV120">
        <v>0</v>
      </c>
      <c r="GW120">
        <v>0</v>
      </c>
      <c r="GX120">
        <v>0</v>
      </c>
      <c r="GY120">
        <v>0</v>
      </c>
      <c r="GZ120">
        <v>0</v>
      </c>
      <c r="HA120">
        <v>1</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G120">
        <v>1</v>
      </c>
      <c r="IH120">
        <v>0</v>
      </c>
      <c r="II120">
        <v>1</v>
      </c>
      <c r="IJ120">
        <v>0</v>
      </c>
      <c r="IK120">
        <v>0</v>
      </c>
      <c r="IL120">
        <v>0</v>
      </c>
      <c r="IM120">
        <v>1</v>
      </c>
      <c r="IN120">
        <v>0</v>
      </c>
      <c r="IO120">
        <v>0</v>
      </c>
      <c r="IP120">
        <v>0</v>
      </c>
      <c r="IQ120">
        <v>0</v>
      </c>
      <c r="IS120">
        <v>1</v>
      </c>
      <c r="IT120">
        <v>1</v>
      </c>
      <c r="IU120">
        <v>0</v>
      </c>
      <c r="IV120">
        <v>0</v>
      </c>
      <c r="IW120">
        <v>0</v>
      </c>
    </row>
    <row r="121" spans="1:257" x14ac:dyDescent="0.35">
      <c r="A121">
        <v>374908</v>
      </c>
      <c r="C121">
        <v>1</v>
      </c>
      <c r="D121" t="s">
        <v>741</v>
      </c>
      <c r="E121" t="s">
        <v>742</v>
      </c>
      <c r="F121" t="s">
        <v>730</v>
      </c>
      <c r="G121">
        <v>3</v>
      </c>
      <c r="I121">
        <v>1</v>
      </c>
      <c r="J121">
        <v>0</v>
      </c>
      <c r="K121">
        <v>1</v>
      </c>
      <c r="L121">
        <v>0</v>
      </c>
      <c r="M121">
        <v>0</v>
      </c>
      <c r="N121">
        <v>0</v>
      </c>
      <c r="O121">
        <v>0</v>
      </c>
      <c r="P121">
        <v>0</v>
      </c>
      <c r="Q121">
        <v>0</v>
      </c>
      <c r="R121">
        <v>1</v>
      </c>
      <c r="T121">
        <v>1</v>
      </c>
      <c r="U121">
        <v>0</v>
      </c>
      <c r="V121">
        <v>0</v>
      </c>
      <c r="W121">
        <v>0</v>
      </c>
      <c r="AC121">
        <v>1</v>
      </c>
      <c r="AD121">
        <v>0</v>
      </c>
      <c r="AE121">
        <v>0</v>
      </c>
      <c r="AF121">
        <v>0</v>
      </c>
      <c r="AG121">
        <v>0</v>
      </c>
      <c r="AH121">
        <v>0</v>
      </c>
      <c r="AJ121">
        <v>1</v>
      </c>
      <c r="AL121">
        <v>1</v>
      </c>
      <c r="AN121">
        <v>1</v>
      </c>
      <c r="AO121">
        <v>1</v>
      </c>
      <c r="AP121">
        <v>4</v>
      </c>
      <c r="AQ121">
        <v>1</v>
      </c>
      <c r="AR121">
        <v>4</v>
      </c>
      <c r="AS121">
        <v>2</v>
      </c>
      <c r="AT121">
        <v>1</v>
      </c>
      <c r="AU121">
        <v>2</v>
      </c>
      <c r="BC121">
        <v>0</v>
      </c>
      <c r="BD121">
        <v>0</v>
      </c>
      <c r="BE121">
        <v>1</v>
      </c>
      <c r="BF121">
        <v>0</v>
      </c>
      <c r="BG121">
        <v>0</v>
      </c>
      <c r="BH121">
        <v>1</v>
      </c>
      <c r="BI121">
        <v>0</v>
      </c>
      <c r="BJ121">
        <v>0</v>
      </c>
      <c r="BK121">
        <v>1</v>
      </c>
      <c r="BL121">
        <v>1</v>
      </c>
      <c r="BM121">
        <v>0</v>
      </c>
      <c r="BN121">
        <v>1</v>
      </c>
      <c r="BO121">
        <v>1</v>
      </c>
      <c r="BP121">
        <v>1</v>
      </c>
      <c r="BQ121">
        <v>0</v>
      </c>
      <c r="BR121">
        <v>1</v>
      </c>
      <c r="BS121">
        <v>0</v>
      </c>
      <c r="BU121">
        <v>16</v>
      </c>
      <c r="BV121">
        <v>4</v>
      </c>
      <c r="BX121">
        <v>2</v>
      </c>
      <c r="BY121">
        <v>3</v>
      </c>
      <c r="DI121">
        <v>1</v>
      </c>
      <c r="DJ121">
        <v>0</v>
      </c>
      <c r="DK121">
        <v>1</v>
      </c>
      <c r="DL121">
        <v>1</v>
      </c>
      <c r="DM121">
        <v>0</v>
      </c>
      <c r="DN121">
        <v>0</v>
      </c>
      <c r="DO121">
        <v>0</v>
      </c>
      <c r="DP121">
        <v>0</v>
      </c>
      <c r="DQ121">
        <v>0</v>
      </c>
      <c r="DR121">
        <v>0</v>
      </c>
      <c r="DT121">
        <v>0</v>
      </c>
      <c r="DU121">
        <v>0</v>
      </c>
      <c r="DV121">
        <v>0</v>
      </c>
      <c r="DW121">
        <v>1</v>
      </c>
      <c r="DX121">
        <v>0</v>
      </c>
      <c r="DY121">
        <v>0</v>
      </c>
      <c r="DZ121">
        <v>0</v>
      </c>
      <c r="EA121">
        <v>0</v>
      </c>
      <c r="EB121">
        <v>0</v>
      </c>
      <c r="EC121">
        <v>0</v>
      </c>
      <c r="ED121">
        <v>1</v>
      </c>
      <c r="EE121">
        <v>0</v>
      </c>
      <c r="EF121">
        <v>0</v>
      </c>
      <c r="IG121">
        <v>1</v>
      </c>
      <c r="IH121">
        <v>0</v>
      </c>
      <c r="II121">
        <v>0</v>
      </c>
      <c r="IJ121">
        <v>0</v>
      </c>
      <c r="IK121">
        <v>0</v>
      </c>
      <c r="IL121">
        <v>0</v>
      </c>
      <c r="IM121">
        <v>0</v>
      </c>
      <c r="IN121">
        <v>0</v>
      </c>
      <c r="IO121">
        <v>0</v>
      </c>
      <c r="IP121">
        <v>0</v>
      </c>
      <c r="IQ121">
        <v>0</v>
      </c>
      <c r="IS121">
        <v>2</v>
      </c>
    </row>
    <row r="122" spans="1:257" x14ac:dyDescent="0.35">
      <c r="A122">
        <v>370514</v>
      </c>
      <c r="C122">
        <v>1</v>
      </c>
      <c r="D122" t="s">
        <v>721</v>
      </c>
      <c r="E122" t="s">
        <v>722</v>
      </c>
      <c r="F122" t="s">
        <v>743</v>
      </c>
      <c r="G122">
        <v>8</v>
      </c>
      <c r="I122">
        <v>0</v>
      </c>
      <c r="J122">
        <v>1</v>
      </c>
      <c r="K122">
        <v>1</v>
      </c>
      <c r="L122">
        <v>0</v>
      </c>
      <c r="M122">
        <v>0</v>
      </c>
      <c r="N122">
        <v>0</v>
      </c>
      <c r="O122">
        <v>0</v>
      </c>
      <c r="P122">
        <v>0</v>
      </c>
      <c r="Q122">
        <v>0</v>
      </c>
      <c r="R122">
        <v>2</v>
      </c>
      <c r="T122">
        <v>0</v>
      </c>
      <c r="U122">
        <v>1</v>
      </c>
      <c r="V122">
        <v>0</v>
      </c>
      <c r="X122">
        <v>33</v>
      </c>
      <c r="AA122">
        <v>33</v>
      </c>
      <c r="AC122">
        <v>1</v>
      </c>
      <c r="AD122">
        <v>0</v>
      </c>
      <c r="AE122">
        <v>0</v>
      </c>
      <c r="AF122">
        <v>0</v>
      </c>
      <c r="AG122">
        <v>0</v>
      </c>
      <c r="AH122">
        <v>0</v>
      </c>
      <c r="AJ122">
        <v>1</v>
      </c>
      <c r="AL122">
        <v>1</v>
      </c>
      <c r="AN122">
        <v>1</v>
      </c>
      <c r="AO122">
        <v>2</v>
      </c>
      <c r="AP122">
        <v>5</v>
      </c>
      <c r="AQ122">
        <v>2</v>
      </c>
      <c r="AS122">
        <v>2</v>
      </c>
      <c r="AT122">
        <v>3</v>
      </c>
      <c r="AU122">
        <v>2</v>
      </c>
      <c r="BC122">
        <v>1</v>
      </c>
      <c r="BD122">
        <v>0</v>
      </c>
      <c r="BE122">
        <v>1</v>
      </c>
      <c r="BF122">
        <v>1</v>
      </c>
      <c r="BG122">
        <v>0</v>
      </c>
      <c r="BH122">
        <v>0</v>
      </c>
      <c r="BI122">
        <v>0</v>
      </c>
      <c r="BJ122">
        <v>0</v>
      </c>
      <c r="BK122">
        <v>1</v>
      </c>
      <c r="BL122">
        <v>0</v>
      </c>
      <c r="BM122">
        <v>0</v>
      </c>
      <c r="BN122">
        <v>0</v>
      </c>
      <c r="BO122">
        <v>1</v>
      </c>
      <c r="BP122">
        <v>1</v>
      </c>
      <c r="BQ122">
        <v>0</v>
      </c>
      <c r="BR122">
        <v>0</v>
      </c>
      <c r="BS122">
        <v>0</v>
      </c>
      <c r="BU122">
        <v>3</v>
      </c>
      <c r="BV122">
        <v>4</v>
      </c>
      <c r="BX122">
        <v>1</v>
      </c>
      <c r="BY122">
        <v>1</v>
      </c>
      <c r="DI122">
        <v>1</v>
      </c>
      <c r="DJ122">
        <v>1</v>
      </c>
      <c r="DK122">
        <v>1</v>
      </c>
      <c r="DL122">
        <v>0</v>
      </c>
      <c r="DM122">
        <v>0</v>
      </c>
      <c r="DN122">
        <v>0</v>
      </c>
      <c r="DO122">
        <v>0</v>
      </c>
      <c r="DP122">
        <v>0</v>
      </c>
      <c r="DQ122">
        <v>0</v>
      </c>
      <c r="DR122">
        <v>0</v>
      </c>
      <c r="DT122">
        <v>0</v>
      </c>
      <c r="DU122">
        <v>1</v>
      </c>
      <c r="DV122">
        <v>0</v>
      </c>
      <c r="DW122">
        <v>1</v>
      </c>
      <c r="DX122">
        <v>0</v>
      </c>
      <c r="DY122">
        <v>0</v>
      </c>
      <c r="DZ122">
        <v>0</v>
      </c>
      <c r="EA122">
        <v>0</v>
      </c>
      <c r="EB122">
        <v>0</v>
      </c>
      <c r="EC122">
        <v>0</v>
      </c>
      <c r="ED122">
        <v>0</v>
      </c>
      <c r="EE122">
        <v>0</v>
      </c>
      <c r="EF122">
        <v>0</v>
      </c>
      <c r="EI122" t="s">
        <v>744</v>
      </c>
      <c r="EJ122">
        <v>1</v>
      </c>
      <c r="EK122">
        <v>1</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IG122">
        <v>1</v>
      </c>
      <c r="IH122">
        <v>0</v>
      </c>
      <c r="II122">
        <v>0</v>
      </c>
      <c r="IJ122">
        <v>0</v>
      </c>
      <c r="IK122">
        <v>0</v>
      </c>
      <c r="IL122">
        <v>0</v>
      </c>
      <c r="IM122">
        <v>1</v>
      </c>
      <c r="IN122">
        <v>0</v>
      </c>
      <c r="IO122">
        <v>0</v>
      </c>
      <c r="IP122">
        <v>0</v>
      </c>
      <c r="IQ122">
        <v>0</v>
      </c>
      <c r="IS122">
        <v>2</v>
      </c>
    </row>
    <row r="123" spans="1:257" x14ac:dyDescent="0.35">
      <c r="A123">
        <v>405541</v>
      </c>
      <c r="C123">
        <v>1</v>
      </c>
      <c r="D123" t="s">
        <v>745</v>
      </c>
      <c r="E123" t="s">
        <v>746</v>
      </c>
      <c r="F123" t="s">
        <v>743</v>
      </c>
      <c r="G123">
        <v>3</v>
      </c>
      <c r="I123">
        <v>1</v>
      </c>
      <c r="J123">
        <v>0</v>
      </c>
      <c r="K123">
        <v>1</v>
      </c>
      <c r="L123">
        <v>0</v>
      </c>
      <c r="M123">
        <v>0</v>
      </c>
      <c r="N123">
        <v>0</v>
      </c>
      <c r="O123">
        <v>0</v>
      </c>
      <c r="P123">
        <v>1</v>
      </c>
      <c r="Q123">
        <v>0</v>
      </c>
      <c r="R123">
        <v>1</v>
      </c>
      <c r="T123">
        <v>1</v>
      </c>
      <c r="U123">
        <v>1</v>
      </c>
      <c r="V123">
        <v>0</v>
      </c>
      <c r="W123">
        <v>2</v>
      </c>
      <c r="X123">
        <v>22</v>
      </c>
      <c r="Z123">
        <v>2</v>
      </c>
      <c r="AA123">
        <v>22</v>
      </c>
      <c r="AC123">
        <v>1</v>
      </c>
      <c r="AD123">
        <v>1</v>
      </c>
      <c r="AE123">
        <v>0</v>
      </c>
      <c r="AF123">
        <v>0</v>
      </c>
      <c r="AG123">
        <v>0</v>
      </c>
      <c r="AH123">
        <v>0</v>
      </c>
      <c r="AJ123">
        <v>1</v>
      </c>
      <c r="AL123">
        <v>1</v>
      </c>
      <c r="AN123">
        <v>1</v>
      </c>
      <c r="AO123">
        <v>1</v>
      </c>
      <c r="AP123">
        <v>4</v>
      </c>
      <c r="AQ123">
        <v>2</v>
      </c>
      <c r="AS123">
        <v>2</v>
      </c>
      <c r="AT123">
        <v>1</v>
      </c>
      <c r="AU123">
        <v>2</v>
      </c>
      <c r="BC123">
        <v>0</v>
      </c>
      <c r="BD123">
        <v>0</v>
      </c>
      <c r="BE123">
        <v>1</v>
      </c>
      <c r="BF123">
        <v>1</v>
      </c>
      <c r="BG123">
        <v>0</v>
      </c>
      <c r="BH123">
        <v>0</v>
      </c>
      <c r="BI123">
        <v>1</v>
      </c>
      <c r="BJ123">
        <v>0</v>
      </c>
      <c r="BK123">
        <v>1</v>
      </c>
      <c r="BL123">
        <v>0</v>
      </c>
      <c r="BM123">
        <v>0</v>
      </c>
      <c r="BN123">
        <v>1</v>
      </c>
      <c r="BO123">
        <v>1</v>
      </c>
      <c r="BP123">
        <v>0</v>
      </c>
      <c r="BQ123">
        <v>0</v>
      </c>
      <c r="BR123">
        <v>0</v>
      </c>
      <c r="BS123">
        <v>0</v>
      </c>
      <c r="BU123">
        <v>9</v>
      </c>
      <c r="BV123">
        <v>4</v>
      </c>
      <c r="BX123">
        <v>3</v>
      </c>
      <c r="BY123">
        <v>3</v>
      </c>
      <c r="DI123">
        <v>0</v>
      </c>
      <c r="DJ123">
        <v>1</v>
      </c>
      <c r="DK123">
        <v>0</v>
      </c>
      <c r="DL123">
        <v>1</v>
      </c>
      <c r="DM123">
        <v>0</v>
      </c>
      <c r="DN123">
        <v>1</v>
      </c>
      <c r="DO123">
        <v>0</v>
      </c>
      <c r="DP123">
        <v>0</v>
      </c>
      <c r="DQ123">
        <v>0</v>
      </c>
      <c r="DR123">
        <v>0</v>
      </c>
      <c r="DT123">
        <v>0</v>
      </c>
      <c r="DU123">
        <v>0</v>
      </c>
      <c r="DV123">
        <v>1</v>
      </c>
      <c r="DW123">
        <v>1</v>
      </c>
      <c r="DX123">
        <v>1</v>
      </c>
      <c r="DY123">
        <v>0</v>
      </c>
      <c r="DZ123">
        <v>0</v>
      </c>
      <c r="EA123">
        <v>0</v>
      </c>
      <c r="EB123">
        <v>0</v>
      </c>
      <c r="EC123">
        <v>0</v>
      </c>
      <c r="ED123">
        <v>0</v>
      </c>
      <c r="EE123">
        <v>0</v>
      </c>
      <c r="EF123">
        <v>0</v>
      </c>
      <c r="FF123" t="s">
        <v>300</v>
      </c>
      <c r="FG123">
        <v>1</v>
      </c>
      <c r="FH123">
        <v>0</v>
      </c>
      <c r="FI123">
        <v>0</v>
      </c>
      <c r="FJ123">
        <v>0</v>
      </c>
      <c r="FK123">
        <v>0</v>
      </c>
      <c r="FL123">
        <v>0</v>
      </c>
      <c r="FM123">
        <v>0</v>
      </c>
      <c r="FN123">
        <v>0</v>
      </c>
      <c r="FO123">
        <v>0</v>
      </c>
      <c r="FP123">
        <v>0</v>
      </c>
      <c r="FQ123">
        <v>0</v>
      </c>
      <c r="FR123">
        <v>0</v>
      </c>
      <c r="FS123">
        <v>0</v>
      </c>
      <c r="FT123">
        <v>0</v>
      </c>
      <c r="FU123">
        <v>0</v>
      </c>
      <c r="FV123">
        <v>0</v>
      </c>
      <c r="FW123">
        <v>0</v>
      </c>
      <c r="FX123">
        <v>0</v>
      </c>
      <c r="FY123">
        <v>0</v>
      </c>
      <c r="IG123">
        <v>1</v>
      </c>
      <c r="IH123">
        <v>1</v>
      </c>
      <c r="II123">
        <v>1</v>
      </c>
      <c r="IJ123">
        <v>0</v>
      </c>
      <c r="IK123">
        <v>0</v>
      </c>
      <c r="IL123">
        <v>0</v>
      </c>
      <c r="IM123">
        <v>0</v>
      </c>
      <c r="IN123">
        <v>0</v>
      </c>
      <c r="IO123">
        <v>0</v>
      </c>
      <c r="IP123">
        <v>0</v>
      </c>
      <c r="IQ123">
        <v>0</v>
      </c>
      <c r="IS123">
        <v>2</v>
      </c>
    </row>
    <row r="124" spans="1:257" x14ac:dyDescent="0.35">
      <c r="A124">
        <v>393313</v>
      </c>
      <c r="C124">
        <v>1</v>
      </c>
      <c r="D124" t="s">
        <v>747</v>
      </c>
      <c r="E124" t="s">
        <v>748</v>
      </c>
      <c r="F124" t="s">
        <v>749</v>
      </c>
      <c r="G124">
        <v>15</v>
      </c>
      <c r="H124" t="s">
        <v>750</v>
      </c>
      <c r="I124">
        <v>0</v>
      </c>
      <c r="J124">
        <v>0</v>
      </c>
      <c r="K124">
        <v>1</v>
      </c>
      <c r="L124">
        <v>0</v>
      </c>
      <c r="M124">
        <v>0</v>
      </c>
      <c r="N124">
        <v>0</v>
      </c>
      <c r="O124">
        <v>0</v>
      </c>
      <c r="P124">
        <v>0</v>
      </c>
      <c r="Q124">
        <v>0</v>
      </c>
      <c r="R124">
        <v>1</v>
      </c>
      <c r="T124">
        <v>1</v>
      </c>
      <c r="U124">
        <v>1</v>
      </c>
      <c r="V124">
        <v>1</v>
      </c>
      <c r="W124">
        <v>5</v>
      </c>
      <c r="X124">
        <v>38</v>
      </c>
      <c r="Y124">
        <v>26</v>
      </c>
      <c r="Z124">
        <v>5</v>
      </c>
      <c r="AA124">
        <v>38</v>
      </c>
      <c r="AB124">
        <v>26</v>
      </c>
      <c r="AC124">
        <v>1</v>
      </c>
      <c r="AD124">
        <v>1</v>
      </c>
      <c r="AE124">
        <v>0</v>
      </c>
      <c r="AF124">
        <v>0</v>
      </c>
      <c r="AG124">
        <v>0</v>
      </c>
      <c r="AH124">
        <v>0</v>
      </c>
      <c r="AJ124">
        <v>1</v>
      </c>
      <c r="AL124">
        <v>1</v>
      </c>
      <c r="AN124">
        <v>1</v>
      </c>
      <c r="AO124">
        <v>1</v>
      </c>
      <c r="AP124">
        <v>4</v>
      </c>
      <c r="AQ124">
        <v>2</v>
      </c>
      <c r="AS124">
        <v>2</v>
      </c>
      <c r="AT124">
        <v>1</v>
      </c>
      <c r="AU124">
        <v>1</v>
      </c>
      <c r="AV124">
        <v>0</v>
      </c>
      <c r="AW124">
        <v>0</v>
      </c>
      <c r="AX124">
        <v>0</v>
      </c>
      <c r="AY124">
        <v>0</v>
      </c>
      <c r="AZ124">
        <v>0</v>
      </c>
      <c r="BA124">
        <v>1</v>
      </c>
      <c r="BB124" t="s">
        <v>751</v>
      </c>
      <c r="BC124">
        <v>1</v>
      </c>
      <c r="BD124">
        <v>0</v>
      </c>
      <c r="BE124">
        <v>1</v>
      </c>
      <c r="BF124">
        <v>1</v>
      </c>
      <c r="BG124">
        <v>1</v>
      </c>
      <c r="BH124">
        <v>0</v>
      </c>
      <c r="BI124">
        <v>0</v>
      </c>
      <c r="BJ124">
        <v>1</v>
      </c>
      <c r="BK124">
        <v>1</v>
      </c>
      <c r="BL124">
        <v>0</v>
      </c>
      <c r="BM124">
        <v>0</v>
      </c>
      <c r="BN124">
        <v>0</v>
      </c>
      <c r="BO124">
        <v>0</v>
      </c>
      <c r="BP124">
        <v>1</v>
      </c>
      <c r="BQ124">
        <v>0</v>
      </c>
      <c r="BR124">
        <v>0</v>
      </c>
      <c r="BS124">
        <v>0</v>
      </c>
      <c r="BU124">
        <v>4</v>
      </c>
      <c r="BV124">
        <v>4</v>
      </c>
      <c r="BX124">
        <v>2</v>
      </c>
      <c r="BY124">
        <v>3</v>
      </c>
      <c r="DI124">
        <v>0</v>
      </c>
      <c r="DJ124">
        <v>0</v>
      </c>
      <c r="DK124">
        <v>1</v>
      </c>
      <c r="DL124">
        <v>0</v>
      </c>
      <c r="DM124">
        <v>0</v>
      </c>
      <c r="DN124">
        <v>1</v>
      </c>
      <c r="DO124">
        <v>0</v>
      </c>
      <c r="DP124">
        <v>0</v>
      </c>
      <c r="DQ124">
        <v>0</v>
      </c>
      <c r="DR124">
        <v>0</v>
      </c>
      <c r="DT124">
        <v>0</v>
      </c>
      <c r="DU124">
        <v>1</v>
      </c>
      <c r="DV124">
        <v>0</v>
      </c>
      <c r="DW124">
        <v>1</v>
      </c>
      <c r="DX124">
        <v>1</v>
      </c>
      <c r="DY124">
        <v>0</v>
      </c>
      <c r="DZ124">
        <v>0</v>
      </c>
      <c r="EA124">
        <v>1</v>
      </c>
      <c r="EB124">
        <v>1</v>
      </c>
      <c r="EC124">
        <v>1</v>
      </c>
      <c r="ED124">
        <v>1</v>
      </c>
      <c r="EE124">
        <v>0</v>
      </c>
      <c r="EF124">
        <v>0</v>
      </c>
      <c r="EI124" t="s">
        <v>547</v>
      </c>
      <c r="EJ124">
        <v>1</v>
      </c>
      <c r="EK124">
        <v>1</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GJ124" t="s">
        <v>752</v>
      </c>
      <c r="GK124">
        <v>0</v>
      </c>
      <c r="GL124">
        <v>0</v>
      </c>
      <c r="GM124">
        <v>0</v>
      </c>
      <c r="GN124">
        <v>0</v>
      </c>
      <c r="GO124">
        <v>0</v>
      </c>
      <c r="GP124">
        <v>0</v>
      </c>
      <c r="GQ124">
        <v>0</v>
      </c>
      <c r="GR124">
        <v>0</v>
      </c>
      <c r="GS124">
        <v>0</v>
      </c>
      <c r="GT124">
        <v>0</v>
      </c>
      <c r="GU124">
        <v>0</v>
      </c>
      <c r="GV124">
        <v>0</v>
      </c>
      <c r="GW124">
        <v>0</v>
      </c>
      <c r="GX124">
        <v>0</v>
      </c>
      <c r="GY124">
        <v>0</v>
      </c>
      <c r="GZ124">
        <v>1</v>
      </c>
      <c r="HA124">
        <v>0</v>
      </c>
      <c r="HB124">
        <v>0</v>
      </c>
      <c r="HC124">
        <v>1</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G124">
        <v>1</v>
      </c>
      <c r="IH124">
        <v>0</v>
      </c>
      <c r="II124">
        <v>0</v>
      </c>
      <c r="IJ124">
        <v>0</v>
      </c>
      <c r="IK124">
        <v>0</v>
      </c>
      <c r="IL124">
        <v>1</v>
      </c>
      <c r="IM124">
        <v>0</v>
      </c>
      <c r="IN124">
        <v>0</v>
      </c>
      <c r="IO124">
        <v>0</v>
      </c>
      <c r="IP124">
        <v>0</v>
      </c>
      <c r="IQ124">
        <v>0</v>
      </c>
      <c r="IS124">
        <v>2</v>
      </c>
    </row>
    <row r="125" spans="1:257" x14ac:dyDescent="0.35">
      <c r="A125">
        <v>360985</v>
      </c>
      <c r="C125">
        <v>1</v>
      </c>
      <c r="D125" t="s">
        <v>753</v>
      </c>
      <c r="E125" t="s">
        <v>754</v>
      </c>
      <c r="F125" t="s">
        <v>743</v>
      </c>
      <c r="G125">
        <v>3</v>
      </c>
      <c r="I125">
        <v>0</v>
      </c>
      <c r="J125">
        <v>0</v>
      </c>
      <c r="K125">
        <v>1</v>
      </c>
      <c r="L125">
        <v>0</v>
      </c>
      <c r="M125">
        <v>0</v>
      </c>
      <c r="N125">
        <v>0</v>
      </c>
      <c r="O125">
        <v>0</v>
      </c>
      <c r="P125">
        <v>0</v>
      </c>
      <c r="Q125">
        <v>0</v>
      </c>
      <c r="R125">
        <v>1</v>
      </c>
      <c r="T125">
        <v>0</v>
      </c>
      <c r="U125">
        <v>1</v>
      </c>
      <c r="V125">
        <v>0</v>
      </c>
      <c r="X125">
        <v>18</v>
      </c>
      <c r="AA125">
        <v>18</v>
      </c>
      <c r="AC125">
        <v>1</v>
      </c>
      <c r="AD125">
        <v>0</v>
      </c>
      <c r="AE125">
        <v>0</v>
      </c>
      <c r="AF125">
        <v>0</v>
      </c>
      <c r="AG125">
        <v>0</v>
      </c>
      <c r="AH125">
        <v>0</v>
      </c>
      <c r="AJ125">
        <v>1</v>
      </c>
      <c r="AL125">
        <v>1</v>
      </c>
      <c r="AN125">
        <v>1</v>
      </c>
      <c r="AO125">
        <v>1</v>
      </c>
      <c r="AP125">
        <v>4</v>
      </c>
      <c r="AQ125">
        <v>2</v>
      </c>
      <c r="AS125">
        <v>2</v>
      </c>
      <c r="AT125">
        <v>1</v>
      </c>
      <c r="AU125">
        <v>2</v>
      </c>
      <c r="BC125">
        <v>1</v>
      </c>
      <c r="BD125">
        <v>0</v>
      </c>
      <c r="BE125">
        <v>1</v>
      </c>
      <c r="BF125">
        <v>1</v>
      </c>
      <c r="BG125">
        <v>1</v>
      </c>
      <c r="BH125">
        <v>0</v>
      </c>
      <c r="BI125">
        <v>0</v>
      </c>
      <c r="BJ125">
        <v>0</v>
      </c>
      <c r="BK125">
        <v>0</v>
      </c>
      <c r="BL125">
        <v>0</v>
      </c>
      <c r="BM125">
        <v>1</v>
      </c>
      <c r="BN125">
        <v>0</v>
      </c>
      <c r="BO125">
        <v>0</v>
      </c>
      <c r="BP125">
        <v>1</v>
      </c>
      <c r="BQ125">
        <v>0</v>
      </c>
      <c r="BR125">
        <v>0</v>
      </c>
      <c r="BS125">
        <v>0</v>
      </c>
      <c r="BU125">
        <v>4</v>
      </c>
      <c r="BV125">
        <v>4</v>
      </c>
      <c r="BX125">
        <v>3</v>
      </c>
      <c r="BY125">
        <v>2</v>
      </c>
      <c r="DI125">
        <v>0</v>
      </c>
      <c r="DJ125">
        <v>1</v>
      </c>
      <c r="DK125">
        <v>1</v>
      </c>
      <c r="DL125">
        <v>0</v>
      </c>
      <c r="DM125">
        <v>0</v>
      </c>
      <c r="DN125">
        <v>1</v>
      </c>
      <c r="DO125">
        <v>0</v>
      </c>
      <c r="DP125">
        <v>0</v>
      </c>
      <c r="DQ125">
        <v>0</v>
      </c>
      <c r="DR125">
        <v>0</v>
      </c>
      <c r="DT125">
        <v>0</v>
      </c>
      <c r="DU125">
        <v>1</v>
      </c>
      <c r="DV125">
        <v>0</v>
      </c>
      <c r="DW125">
        <v>0</v>
      </c>
      <c r="DX125">
        <v>0</v>
      </c>
      <c r="DY125">
        <v>0</v>
      </c>
      <c r="DZ125">
        <v>0</v>
      </c>
      <c r="EA125">
        <v>0</v>
      </c>
      <c r="EB125">
        <v>0</v>
      </c>
      <c r="EC125">
        <v>0</v>
      </c>
      <c r="ED125">
        <v>0</v>
      </c>
      <c r="EE125">
        <v>0</v>
      </c>
      <c r="EF125">
        <v>0</v>
      </c>
      <c r="EI125" t="s">
        <v>400</v>
      </c>
      <c r="EJ125">
        <v>0</v>
      </c>
      <c r="EK125">
        <v>1</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IG125">
        <v>0</v>
      </c>
      <c r="IH125">
        <v>0</v>
      </c>
      <c r="II125">
        <v>0</v>
      </c>
      <c r="IJ125">
        <v>0</v>
      </c>
      <c r="IK125">
        <v>0</v>
      </c>
      <c r="IL125">
        <v>0</v>
      </c>
      <c r="IM125">
        <v>0</v>
      </c>
      <c r="IN125">
        <v>0</v>
      </c>
      <c r="IO125">
        <v>0</v>
      </c>
      <c r="IP125">
        <v>0</v>
      </c>
      <c r="IQ125">
        <v>1</v>
      </c>
      <c r="IS125">
        <v>1</v>
      </c>
      <c r="IT125">
        <v>1</v>
      </c>
      <c r="IU125">
        <v>0</v>
      </c>
      <c r="IV125">
        <v>0</v>
      </c>
      <c r="IW125">
        <v>0</v>
      </c>
    </row>
    <row r="126" spans="1:257" x14ac:dyDescent="0.35">
      <c r="A126">
        <v>393099</v>
      </c>
      <c r="C126">
        <v>1</v>
      </c>
      <c r="D126" t="s">
        <v>755</v>
      </c>
      <c r="E126" t="s">
        <v>756</v>
      </c>
      <c r="F126" t="s">
        <v>743</v>
      </c>
      <c r="G126">
        <v>3</v>
      </c>
      <c r="I126">
        <v>1</v>
      </c>
      <c r="J126">
        <v>0</v>
      </c>
      <c r="K126">
        <v>1</v>
      </c>
      <c r="L126">
        <v>0</v>
      </c>
      <c r="M126">
        <v>0</v>
      </c>
      <c r="N126">
        <v>0</v>
      </c>
      <c r="O126">
        <v>0</v>
      </c>
      <c r="P126">
        <v>0</v>
      </c>
      <c r="Q126">
        <v>0</v>
      </c>
      <c r="R126">
        <v>1</v>
      </c>
      <c r="T126">
        <v>1</v>
      </c>
      <c r="U126">
        <v>1</v>
      </c>
      <c r="V126">
        <v>0</v>
      </c>
      <c r="W126">
        <v>5</v>
      </c>
      <c r="X126">
        <v>49</v>
      </c>
      <c r="Z126">
        <v>5</v>
      </c>
      <c r="AA126">
        <v>49</v>
      </c>
      <c r="AC126">
        <v>0</v>
      </c>
      <c r="AD126">
        <v>1</v>
      </c>
      <c r="AE126">
        <v>0</v>
      </c>
      <c r="AF126">
        <v>1</v>
      </c>
      <c r="AG126">
        <v>0</v>
      </c>
      <c r="AH126">
        <v>0</v>
      </c>
      <c r="AJ126">
        <v>4</v>
      </c>
      <c r="AL126">
        <v>1</v>
      </c>
      <c r="AN126">
        <v>1</v>
      </c>
      <c r="AO126">
        <v>1</v>
      </c>
      <c r="AP126">
        <v>3</v>
      </c>
      <c r="AQ126">
        <v>2</v>
      </c>
      <c r="AS126">
        <v>2</v>
      </c>
      <c r="AT126">
        <v>1</v>
      </c>
      <c r="AU126">
        <v>2</v>
      </c>
      <c r="BC126">
        <v>0</v>
      </c>
      <c r="BD126">
        <v>0</v>
      </c>
      <c r="BE126">
        <v>1</v>
      </c>
      <c r="BF126">
        <v>1</v>
      </c>
      <c r="BG126">
        <v>1</v>
      </c>
      <c r="BH126">
        <v>0</v>
      </c>
      <c r="BI126">
        <v>0</v>
      </c>
      <c r="BJ126">
        <v>0</v>
      </c>
      <c r="BK126">
        <v>1</v>
      </c>
      <c r="BL126">
        <v>0</v>
      </c>
      <c r="BM126">
        <v>0</v>
      </c>
      <c r="BN126">
        <v>0</v>
      </c>
      <c r="BO126">
        <v>0</v>
      </c>
      <c r="BP126">
        <v>1</v>
      </c>
      <c r="BQ126">
        <v>0</v>
      </c>
      <c r="BR126">
        <v>0</v>
      </c>
      <c r="BS126">
        <v>0</v>
      </c>
      <c r="BU126">
        <v>4</v>
      </c>
      <c r="BV126">
        <v>4</v>
      </c>
      <c r="BX126">
        <v>4</v>
      </c>
      <c r="BY126">
        <v>3</v>
      </c>
      <c r="DI126">
        <v>1</v>
      </c>
      <c r="DJ126">
        <v>1</v>
      </c>
      <c r="DK126">
        <v>1</v>
      </c>
      <c r="DL126">
        <v>0</v>
      </c>
      <c r="DM126">
        <v>1</v>
      </c>
      <c r="DN126">
        <v>0</v>
      </c>
      <c r="DO126">
        <v>0</v>
      </c>
      <c r="DP126">
        <v>0</v>
      </c>
      <c r="DQ126">
        <v>0</v>
      </c>
      <c r="DR126">
        <v>0</v>
      </c>
      <c r="DT126">
        <v>1</v>
      </c>
      <c r="DU126">
        <v>1</v>
      </c>
      <c r="DV126">
        <v>0</v>
      </c>
      <c r="DW126">
        <v>0</v>
      </c>
      <c r="DX126">
        <v>0</v>
      </c>
      <c r="DY126">
        <v>0</v>
      </c>
      <c r="DZ126">
        <v>0</v>
      </c>
      <c r="EA126">
        <v>0</v>
      </c>
      <c r="EB126">
        <v>0</v>
      </c>
      <c r="EC126">
        <v>0</v>
      </c>
      <c r="ED126">
        <v>1</v>
      </c>
      <c r="EE126">
        <v>0</v>
      </c>
      <c r="EF126">
        <v>0</v>
      </c>
      <c r="EG126" t="s">
        <v>285</v>
      </c>
      <c r="EH126">
        <v>11</v>
      </c>
      <c r="EI126" t="s">
        <v>757</v>
      </c>
      <c r="EJ126">
        <v>0</v>
      </c>
      <c r="EK126">
        <v>0</v>
      </c>
      <c r="EL126">
        <v>0</v>
      </c>
      <c r="EM126">
        <v>0</v>
      </c>
      <c r="EN126">
        <v>0</v>
      </c>
      <c r="EO126">
        <v>0</v>
      </c>
      <c r="EP126">
        <v>0</v>
      </c>
      <c r="EQ126">
        <v>0</v>
      </c>
      <c r="ER126">
        <v>0</v>
      </c>
      <c r="ES126">
        <v>0</v>
      </c>
      <c r="ET126">
        <v>0</v>
      </c>
      <c r="EU126">
        <v>0</v>
      </c>
      <c r="EV126">
        <v>0</v>
      </c>
      <c r="EW126">
        <v>0</v>
      </c>
      <c r="EX126">
        <v>0</v>
      </c>
      <c r="EY126">
        <v>1</v>
      </c>
      <c r="EZ126">
        <v>0</v>
      </c>
      <c r="FA126">
        <v>0</v>
      </c>
      <c r="FB126">
        <v>0</v>
      </c>
      <c r="FC126">
        <v>0</v>
      </c>
      <c r="FD126">
        <v>0</v>
      </c>
      <c r="FE126">
        <v>0</v>
      </c>
      <c r="IG126">
        <v>1</v>
      </c>
      <c r="IH126">
        <v>0</v>
      </c>
      <c r="II126">
        <v>0</v>
      </c>
      <c r="IJ126">
        <v>0</v>
      </c>
      <c r="IK126">
        <v>0</v>
      </c>
      <c r="IL126">
        <v>0</v>
      </c>
      <c r="IM126">
        <v>1</v>
      </c>
      <c r="IN126">
        <v>0</v>
      </c>
      <c r="IO126">
        <v>0</v>
      </c>
      <c r="IP126">
        <v>0</v>
      </c>
      <c r="IQ126">
        <v>0</v>
      </c>
      <c r="IS126">
        <v>2</v>
      </c>
    </row>
    <row r="127" spans="1:257" x14ac:dyDescent="0.35">
      <c r="A127">
        <v>362354</v>
      </c>
      <c r="C127">
        <v>1</v>
      </c>
      <c r="D127" t="s">
        <v>758</v>
      </c>
      <c r="E127" t="s">
        <v>759</v>
      </c>
      <c r="F127" t="s">
        <v>743</v>
      </c>
      <c r="G127">
        <v>3</v>
      </c>
      <c r="I127">
        <v>1</v>
      </c>
      <c r="J127">
        <v>0</v>
      </c>
      <c r="K127">
        <v>1</v>
      </c>
      <c r="L127">
        <v>0</v>
      </c>
      <c r="M127">
        <v>0</v>
      </c>
      <c r="N127">
        <v>0</v>
      </c>
      <c r="O127">
        <v>0</v>
      </c>
      <c r="P127">
        <v>1</v>
      </c>
      <c r="Q127">
        <v>0</v>
      </c>
      <c r="R127">
        <v>1</v>
      </c>
      <c r="T127">
        <v>0</v>
      </c>
      <c r="U127">
        <v>1</v>
      </c>
      <c r="V127">
        <v>0</v>
      </c>
      <c r="X127">
        <v>9</v>
      </c>
      <c r="AA127">
        <v>9</v>
      </c>
      <c r="AC127">
        <v>0</v>
      </c>
      <c r="AD127">
        <v>1</v>
      </c>
      <c r="AE127">
        <v>0</v>
      </c>
      <c r="AF127">
        <v>0</v>
      </c>
      <c r="AG127">
        <v>0</v>
      </c>
      <c r="AH127">
        <v>0</v>
      </c>
      <c r="AJ127">
        <v>2</v>
      </c>
      <c r="AL127">
        <v>3</v>
      </c>
      <c r="AN127">
        <v>1</v>
      </c>
      <c r="AO127">
        <v>1</v>
      </c>
      <c r="AP127">
        <v>4</v>
      </c>
      <c r="AQ127">
        <v>1</v>
      </c>
      <c r="AR127">
        <v>4</v>
      </c>
      <c r="AS127">
        <v>2</v>
      </c>
      <c r="AT127">
        <v>1</v>
      </c>
      <c r="AU127">
        <v>2</v>
      </c>
      <c r="BC127">
        <v>1</v>
      </c>
      <c r="BD127">
        <v>0</v>
      </c>
      <c r="BE127">
        <v>1</v>
      </c>
      <c r="BF127">
        <v>1</v>
      </c>
      <c r="BG127">
        <v>1</v>
      </c>
      <c r="BH127">
        <v>0</v>
      </c>
      <c r="BI127">
        <v>0</v>
      </c>
      <c r="BJ127">
        <v>0</v>
      </c>
      <c r="BK127">
        <v>1</v>
      </c>
      <c r="BL127">
        <v>0</v>
      </c>
      <c r="BM127">
        <v>0</v>
      </c>
      <c r="BN127">
        <v>0</v>
      </c>
      <c r="BO127">
        <v>0</v>
      </c>
      <c r="BP127">
        <v>1</v>
      </c>
      <c r="BQ127">
        <v>0</v>
      </c>
      <c r="BR127">
        <v>1</v>
      </c>
      <c r="BS127">
        <v>0</v>
      </c>
      <c r="BU127">
        <v>16</v>
      </c>
      <c r="BV127">
        <v>4</v>
      </c>
      <c r="BX127">
        <v>4</v>
      </c>
      <c r="BY127">
        <v>4</v>
      </c>
      <c r="DI127">
        <v>1</v>
      </c>
      <c r="DJ127">
        <v>0</v>
      </c>
      <c r="DK127">
        <v>1</v>
      </c>
      <c r="DL127">
        <v>0</v>
      </c>
      <c r="DM127">
        <v>1</v>
      </c>
      <c r="DN127">
        <v>0</v>
      </c>
      <c r="DO127">
        <v>0</v>
      </c>
      <c r="DP127">
        <v>0</v>
      </c>
      <c r="DQ127">
        <v>0</v>
      </c>
      <c r="DR127">
        <v>0</v>
      </c>
      <c r="DT127">
        <v>0</v>
      </c>
      <c r="DU127">
        <v>1</v>
      </c>
      <c r="DV127">
        <v>0</v>
      </c>
      <c r="DW127">
        <v>0</v>
      </c>
      <c r="DX127">
        <v>0</v>
      </c>
      <c r="DY127">
        <v>0</v>
      </c>
      <c r="DZ127">
        <v>0</v>
      </c>
      <c r="EA127">
        <v>0</v>
      </c>
      <c r="EB127">
        <v>0</v>
      </c>
      <c r="EC127">
        <v>0</v>
      </c>
      <c r="ED127">
        <v>0</v>
      </c>
      <c r="EE127">
        <v>0</v>
      </c>
      <c r="EF127">
        <v>0</v>
      </c>
      <c r="EI127" t="s">
        <v>760</v>
      </c>
      <c r="EJ127">
        <v>1</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IG127">
        <v>1</v>
      </c>
      <c r="IH127">
        <v>0</v>
      </c>
      <c r="II127">
        <v>1</v>
      </c>
      <c r="IJ127">
        <v>1</v>
      </c>
      <c r="IK127">
        <v>0</v>
      </c>
      <c r="IL127">
        <v>0</v>
      </c>
      <c r="IM127">
        <v>0</v>
      </c>
      <c r="IN127">
        <v>0</v>
      </c>
      <c r="IO127">
        <v>0</v>
      </c>
      <c r="IP127">
        <v>0</v>
      </c>
      <c r="IQ127">
        <v>0</v>
      </c>
      <c r="IS127">
        <v>2</v>
      </c>
    </row>
    <row r="128" spans="1:257" x14ac:dyDescent="0.35">
      <c r="A128">
        <v>405497</v>
      </c>
      <c r="C128">
        <v>1</v>
      </c>
      <c r="D128" t="s">
        <v>761</v>
      </c>
      <c r="E128" t="s">
        <v>762</v>
      </c>
      <c r="F128" t="s">
        <v>763</v>
      </c>
      <c r="G128">
        <v>7</v>
      </c>
      <c r="I128">
        <v>0</v>
      </c>
      <c r="J128">
        <v>0</v>
      </c>
      <c r="K128">
        <v>0</v>
      </c>
      <c r="L128">
        <v>0</v>
      </c>
      <c r="M128">
        <v>1</v>
      </c>
      <c r="N128">
        <v>0</v>
      </c>
      <c r="O128">
        <v>0</v>
      </c>
      <c r="P128">
        <v>0</v>
      </c>
      <c r="Q128">
        <v>0</v>
      </c>
      <c r="R128">
        <v>1</v>
      </c>
      <c r="T128">
        <v>1</v>
      </c>
      <c r="U128">
        <v>1</v>
      </c>
      <c r="V128">
        <v>1</v>
      </c>
      <c r="W128">
        <v>12</v>
      </c>
      <c r="X128">
        <v>60</v>
      </c>
      <c r="Y128">
        <v>2</v>
      </c>
      <c r="Z128">
        <v>12</v>
      </c>
      <c r="AA128">
        <v>60</v>
      </c>
      <c r="AB128">
        <v>2</v>
      </c>
      <c r="AC128">
        <v>1</v>
      </c>
      <c r="AD128">
        <v>1</v>
      </c>
      <c r="AE128">
        <v>0</v>
      </c>
      <c r="AF128">
        <v>0</v>
      </c>
      <c r="AG128">
        <v>0</v>
      </c>
      <c r="AH128">
        <v>0</v>
      </c>
      <c r="AJ128">
        <v>1</v>
      </c>
      <c r="AL128">
        <v>2</v>
      </c>
      <c r="AN128">
        <v>2</v>
      </c>
      <c r="AQ128">
        <v>2</v>
      </c>
      <c r="AS128">
        <v>2</v>
      </c>
      <c r="AT128">
        <v>2</v>
      </c>
      <c r="AU128">
        <v>1</v>
      </c>
      <c r="AV128">
        <v>0</v>
      </c>
      <c r="AW128">
        <v>0</v>
      </c>
      <c r="AX128">
        <v>1</v>
      </c>
      <c r="AY128">
        <v>0</v>
      </c>
      <c r="AZ128">
        <v>0</v>
      </c>
      <c r="BA128">
        <v>0</v>
      </c>
      <c r="BC128">
        <v>0</v>
      </c>
      <c r="BD128">
        <v>0</v>
      </c>
      <c r="BE128">
        <v>1</v>
      </c>
      <c r="BF128">
        <v>1</v>
      </c>
      <c r="BG128">
        <v>0</v>
      </c>
      <c r="BH128">
        <v>0</v>
      </c>
      <c r="BI128">
        <v>0</v>
      </c>
      <c r="BJ128">
        <v>1</v>
      </c>
      <c r="BK128">
        <v>0</v>
      </c>
      <c r="BL128">
        <v>0</v>
      </c>
      <c r="BM128">
        <v>1</v>
      </c>
      <c r="BN128">
        <v>1</v>
      </c>
      <c r="BO128">
        <v>0</v>
      </c>
      <c r="BP128">
        <v>1</v>
      </c>
      <c r="BQ128">
        <v>0</v>
      </c>
      <c r="BR128">
        <v>0</v>
      </c>
      <c r="BS128">
        <v>0</v>
      </c>
      <c r="BU128">
        <v>5</v>
      </c>
      <c r="BV128">
        <v>3</v>
      </c>
      <c r="BW128" t="s">
        <v>764</v>
      </c>
      <c r="BX128">
        <v>3</v>
      </c>
      <c r="BY128">
        <v>3</v>
      </c>
      <c r="DI128">
        <v>0</v>
      </c>
      <c r="DJ128">
        <v>0</v>
      </c>
      <c r="DK128">
        <v>0</v>
      </c>
      <c r="DL128">
        <v>0</v>
      </c>
      <c r="DM128">
        <v>0</v>
      </c>
      <c r="DN128">
        <v>1</v>
      </c>
      <c r="DO128">
        <v>0</v>
      </c>
      <c r="DP128">
        <v>0</v>
      </c>
      <c r="DQ128">
        <v>0</v>
      </c>
      <c r="DR128">
        <v>0</v>
      </c>
      <c r="DT128">
        <v>0</v>
      </c>
      <c r="DU128">
        <v>0</v>
      </c>
      <c r="DV128">
        <v>0</v>
      </c>
      <c r="DW128">
        <v>1</v>
      </c>
      <c r="DX128">
        <v>0</v>
      </c>
      <c r="DY128">
        <v>0</v>
      </c>
      <c r="DZ128">
        <v>0</v>
      </c>
      <c r="EA128">
        <v>0</v>
      </c>
      <c r="EB128">
        <v>0</v>
      </c>
      <c r="EC128">
        <v>0</v>
      </c>
      <c r="ED128">
        <v>0</v>
      </c>
      <c r="EE128">
        <v>0</v>
      </c>
      <c r="EF128">
        <v>0</v>
      </c>
      <c r="IG128">
        <v>1</v>
      </c>
      <c r="IH128">
        <v>0</v>
      </c>
      <c r="II128">
        <v>0</v>
      </c>
      <c r="IJ128">
        <v>0</v>
      </c>
      <c r="IK128">
        <v>0</v>
      </c>
      <c r="IL128">
        <v>0</v>
      </c>
      <c r="IM128">
        <v>0</v>
      </c>
      <c r="IN128">
        <v>0</v>
      </c>
      <c r="IO128">
        <v>0</v>
      </c>
      <c r="IP128">
        <v>0</v>
      </c>
      <c r="IQ128">
        <v>0</v>
      </c>
      <c r="IS128">
        <v>2</v>
      </c>
    </row>
    <row r="129" spans="1:257" x14ac:dyDescent="0.35">
      <c r="A129">
        <v>405359</v>
      </c>
      <c r="C129">
        <v>1</v>
      </c>
      <c r="D129" t="s">
        <v>765</v>
      </c>
      <c r="E129" t="s">
        <v>766</v>
      </c>
      <c r="F129" t="s">
        <v>763</v>
      </c>
      <c r="G129">
        <v>6</v>
      </c>
      <c r="I129">
        <v>1</v>
      </c>
      <c r="J129">
        <v>0</v>
      </c>
      <c r="K129">
        <v>0</v>
      </c>
      <c r="L129">
        <v>1</v>
      </c>
      <c r="M129">
        <v>0</v>
      </c>
      <c r="N129">
        <v>0</v>
      </c>
      <c r="O129">
        <v>0</v>
      </c>
      <c r="P129">
        <v>0</v>
      </c>
      <c r="Q129">
        <v>0</v>
      </c>
      <c r="R129">
        <v>1</v>
      </c>
      <c r="T129">
        <v>1</v>
      </c>
      <c r="U129">
        <v>1</v>
      </c>
      <c r="V129">
        <v>0</v>
      </c>
      <c r="W129" t="s">
        <v>767</v>
      </c>
      <c r="X129" t="s">
        <v>768</v>
      </c>
      <c r="AC129">
        <v>1</v>
      </c>
      <c r="AD129">
        <v>1</v>
      </c>
      <c r="AE129">
        <v>0</v>
      </c>
      <c r="AF129">
        <v>0</v>
      </c>
      <c r="AG129">
        <v>0</v>
      </c>
      <c r="AH129">
        <v>0</v>
      </c>
      <c r="AJ129">
        <v>1</v>
      </c>
      <c r="AL129">
        <v>3</v>
      </c>
      <c r="AN129">
        <v>1</v>
      </c>
      <c r="AO129">
        <v>1</v>
      </c>
      <c r="AP129">
        <v>4</v>
      </c>
      <c r="AQ129">
        <v>1</v>
      </c>
      <c r="AR129">
        <v>4</v>
      </c>
      <c r="AS129">
        <v>2</v>
      </c>
      <c r="AT129">
        <v>1</v>
      </c>
      <c r="AU129">
        <v>2</v>
      </c>
      <c r="BC129">
        <v>1</v>
      </c>
      <c r="BD129">
        <v>0</v>
      </c>
      <c r="BE129">
        <v>0</v>
      </c>
      <c r="BF129">
        <v>0</v>
      </c>
      <c r="BG129">
        <v>0</v>
      </c>
      <c r="BH129">
        <v>0</v>
      </c>
      <c r="BI129">
        <v>0</v>
      </c>
      <c r="BJ129">
        <v>0</v>
      </c>
      <c r="BK129">
        <v>0</v>
      </c>
      <c r="BL129">
        <v>0</v>
      </c>
      <c r="BM129">
        <v>0</v>
      </c>
      <c r="BN129">
        <v>1</v>
      </c>
      <c r="BO129">
        <v>0</v>
      </c>
      <c r="BP129">
        <v>0</v>
      </c>
      <c r="BQ129">
        <v>0</v>
      </c>
      <c r="BR129">
        <v>1</v>
      </c>
      <c r="BS129">
        <v>0</v>
      </c>
      <c r="BU129">
        <v>16</v>
      </c>
      <c r="BV129">
        <v>4</v>
      </c>
      <c r="BX129">
        <v>6</v>
      </c>
      <c r="BY129">
        <v>6</v>
      </c>
      <c r="DI129">
        <v>0</v>
      </c>
      <c r="DJ129">
        <v>0</v>
      </c>
      <c r="DK129">
        <v>1</v>
      </c>
      <c r="DL129">
        <v>0</v>
      </c>
      <c r="DM129">
        <v>0</v>
      </c>
      <c r="DN129">
        <v>0</v>
      </c>
      <c r="DO129">
        <v>0</v>
      </c>
      <c r="DP129">
        <v>0</v>
      </c>
      <c r="DQ129">
        <v>0</v>
      </c>
      <c r="DR129">
        <v>0</v>
      </c>
      <c r="DT129">
        <v>0</v>
      </c>
      <c r="DU129">
        <v>0</v>
      </c>
      <c r="DV129">
        <v>0</v>
      </c>
      <c r="DW129">
        <v>1</v>
      </c>
      <c r="DX129">
        <v>0</v>
      </c>
      <c r="DY129">
        <v>0</v>
      </c>
      <c r="DZ129">
        <v>0</v>
      </c>
      <c r="EA129">
        <v>1</v>
      </c>
      <c r="EB129">
        <v>0</v>
      </c>
      <c r="EC129">
        <v>0</v>
      </c>
      <c r="ED129">
        <v>0</v>
      </c>
      <c r="EE129">
        <v>0</v>
      </c>
      <c r="EF129">
        <v>0</v>
      </c>
      <c r="IG129">
        <v>1</v>
      </c>
      <c r="IH129">
        <v>0</v>
      </c>
      <c r="II129">
        <v>1</v>
      </c>
      <c r="IJ129">
        <v>0</v>
      </c>
      <c r="IK129">
        <v>0</v>
      </c>
      <c r="IL129">
        <v>0</v>
      </c>
      <c r="IM129">
        <v>0</v>
      </c>
      <c r="IN129">
        <v>0</v>
      </c>
      <c r="IO129">
        <v>0</v>
      </c>
      <c r="IP129">
        <v>0</v>
      </c>
      <c r="IQ129">
        <v>0</v>
      </c>
      <c r="IS129">
        <v>2</v>
      </c>
    </row>
    <row r="130" spans="1:257" x14ac:dyDescent="0.35">
      <c r="A130">
        <v>405196</v>
      </c>
      <c r="C130">
        <v>1</v>
      </c>
      <c r="D130" t="s">
        <v>769</v>
      </c>
      <c r="E130" t="s">
        <v>770</v>
      </c>
      <c r="F130" t="s">
        <v>763</v>
      </c>
      <c r="G130">
        <v>10</v>
      </c>
      <c r="I130">
        <v>0</v>
      </c>
      <c r="J130">
        <v>0</v>
      </c>
      <c r="K130">
        <v>1</v>
      </c>
      <c r="L130">
        <v>0</v>
      </c>
      <c r="M130">
        <v>0</v>
      </c>
      <c r="N130">
        <v>0</v>
      </c>
      <c r="O130">
        <v>0</v>
      </c>
      <c r="P130">
        <v>0</v>
      </c>
      <c r="Q130">
        <v>0</v>
      </c>
      <c r="R130">
        <v>1</v>
      </c>
    </row>
    <row r="131" spans="1:257" x14ac:dyDescent="0.35">
      <c r="A131">
        <v>397195</v>
      </c>
      <c r="C131">
        <v>1</v>
      </c>
      <c r="D131" t="s">
        <v>771</v>
      </c>
      <c r="E131" t="s">
        <v>772</v>
      </c>
      <c r="F131" t="s">
        <v>763</v>
      </c>
      <c r="G131">
        <v>1</v>
      </c>
      <c r="I131">
        <v>1</v>
      </c>
      <c r="J131">
        <v>0</v>
      </c>
      <c r="K131">
        <v>0</v>
      </c>
      <c r="L131">
        <v>0</v>
      </c>
      <c r="M131">
        <v>0</v>
      </c>
      <c r="N131">
        <v>0</v>
      </c>
      <c r="O131">
        <v>0</v>
      </c>
      <c r="P131">
        <v>0</v>
      </c>
      <c r="Q131">
        <v>0</v>
      </c>
      <c r="R131">
        <v>1</v>
      </c>
      <c r="T131">
        <v>0</v>
      </c>
      <c r="U131">
        <v>0</v>
      </c>
      <c r="V131">
        <v>1</v>
      </c>
      <c r="Y131">
        <v>13</v>
      </c>
      <c r="AB131">
        <v>13</v>
      </c>
      <c r="AC131">
        <v>1</v>
      </c>
      <c r="AD131">
        <v>0</v>
      </c>
      <c r="AE131">
        <v>0</v>
      </c>
      <c r="AF131">
        <v>0</v>
      </c>
      <c r="AG131">
        <v>0</v>
      </c>
      <c r="AH131">
        <v>0</v>
      </c>
      <c r="AJ131">
        <v>1</v>
      </c>
      <c r="AL131">
        <v>1</v>
      </c>
      <c r="AN131">
        <v>1</v>
      </c>
      <c r="AO131">
        <v>1</v>
      </c>
      <c r="AP131">
        <v>4</v>
      </c>
      <c r="AQ131">
        <v>1</v>
      </c>
      <c r="AR131">
        <v>4</v>
      </c>
      <c r="AS131">
        <v>1</v>
      </c>
      <c r="AT131">
        <v>1</v>
      </c>
      <c r="AU131">
        <v>2</v>
      </c>
      <c r="BC131">
        <v>0</v>
      </c>
      <c r="BD131">
        <v>0</v>
      </c>
      <c r="BE131">
        <v>0</v>
      </c>
      <c r="BF131">
        <v>0</v>
      </c>
      <c r="BG131">
        <v>0</v>
      </c>
      <c r="BH131">
        <v>0</v>
      </c>
      <c r="BI131">
        <v>0</v>
      </c>
      <c r="BJ131">
        <v>0</v>
      </c>
      <c r="BK131">
        <v>0</v>
      </c>
      <c r="BL131">
        <v>0</v>
      </c>
      <c r="BM131">
        <v>0</v>
      </c>
      <c r="BN131">
        <v>0</v>
      </c>
      <c r="BO131">
        <v>0</v>
      </c>
      <c r="BP131">
        <v>0</v>
      </c>
      <c r="BQ131">
        <v>0</v>
      </c>
      <c r="BR131">
        <v>1</v>
      </c>
      <c r="BS131">
        <v>0</v>
      </c>
      <c r="BU131">
        <v>16</v>
      </c>
      <c r="BV131">
        <v>4</v>
      </c>
      <c r="BX131">
        <v>5</v>
      </c>
      <c r="BY131">
        <v>5</v>
      </c>
      <c r="DI131">
        <v>0</v>
      </c>
      <c r="DJ131">
        <v>0</v>
      </c>
      <c r="DK131">
        <v>0</v>
      </c>
      <c r="DL131">
        <v>1</v>
      </c>
      <c r="DM131">
        <v>1</v>
      </c>
      <c r="DN131">
        <v>1</v>
      </c>
      <c r="DO131">
        <v>0</v>
      </c>
      <c r="DP131">
        <v>0</v>
      </c>
      <c r="DQ131">
        <v>0</v>
      </c>
      <c r="DR131">
        <v>0</v>
      </c>
      <c r="DT131">
        <v>0</v>
      </c>
      <c r="DU131">
        <v>0</v>
      </c>
      <c r="DV131">
        <v>0</v>
      </c>
      <c r="DW131">
        <v>1</v>
      </c>
      <c r="DX131">
        <v>1</v>
      </c>
      <c r="DY131">
        <v>0</v>
      </c>
      <c r="DZ131">
        <v>0</v>
      </c>
      <c r="EA131">
        <v>0</v>
      </c>
      <c r="EB131">
        <v>0</v>
      </c>
      <c r="EC131">
        <v>0</v>
      </c>
      <c r="ED131">
        <v>1</v>
      </c>
      <c r="EE131">
        <v>0</v>
      </c>
      <c r="EF131">
        <v>0</v>
      </c>
      <c r="IG131">
        <v>1</v>
      </c>
      <c r="IH131">
        <v>1</v>
      </c>
      <c r="II131">
        <v>0</v>
      </c>
      <c r="IJ131">
        <v>0</v>
      </c>
      <c r="IK131">
        <v>0</v>
      </c>
      <c r="IL131">
        <v>0</v>
      </c>
      <c r="IM131">
        <v>0</v>
      </c>
      <c r="IN131">
        <v>0</v>
      </c>
      <c r="IO131">
        <v>0</v>
      </c>
      <c r="IP131">
        <v>0</v>
      </c>
      <c r="IQ131">
        <v>0</v>
      </c>
      <c r="IS131">
        <v>1</v>
      </c>
      <c r="IT131">
        <v>1</v>
      </c>
      <c r="IU131">
        <v>0</v>
      </c>
      <c r="IV131">
        <v>0</v>
      </c>
      <c r="IW131">
        <v>0</v>
      </c>
    </row>
    <row r="132" spans="1:257" x14ac:dyDescent="0.35">
      <c r="A132">
        <v>392994</v>
      </c>
      <c r="C132">
        <v>1</v>
      </c>
      <c r="D132" t="s">
        <v>773</v>
      </c>
      <c r="E132" t="s">
        <v>774</v>
      </c>
      <c r="F132" t="s">
        <v>763</v>
      </c>
      <c r="G132">
        <v>3</v>
      </c>
      <c r="I132">
        <v>0</v>
      </c>
      <c r="J132">
        <v>0</v>
      </c>
      <c r="K132">
        <v>0</v>
      </c>
      <c r="L132">
        <v>0</v>
      </c>
      <c r="M132">
        <v>0</v>
      </c>
      <c r="N132">
        <v>0</v>
      </c>
      <c r="O132">
        <v>0</v>
      </c>
      <c r="P132">
        <v>1</v>
      </c>
      <c r="Q132">
        <v>0</v>
      </c>
      <c r="R132">
        <v>1</v>
      </c>
      <c r="T132">
        <v>0</v>
      </c>
      <c r="U132">
        <v>1</v>
      </c>
      <c r="V132">
        <v>0</v>
      </c>
      <c r="X132">
        <v>71</v>
      </c>
      <c r="AA132">
        <v>71</v>
      </c>
      <c r="AC132">
        <v>1</v>
      </c>
      <c r="AD132">
        <v>0</v>
      </c>
      <c r="AE132">
        <v>0</v>
      </c>
      <c r="AF132">
        <v>0</v>
      </c>
      <c r="AG132">
        <v>0</v>
      </c>
      <c r="AH132">
        <v>0</v>
      </c>
      <c r="AJ132">
        <v>1</v>
      </c>
      <c r="AL132">
        <v>1</v>
      </c>
      <c r="AN132">
        <v>1</v>
      </c>
      <c r="AO132">
        <v>1</v>
      </c>
      <c r="AP132">
        <v>4</v>
      </c>
      <c r="AQ132">
        <v>1</v>
      </c>
      <c r="AR132">
        <v>4</v>
      </c>
      <c r="AS132">
        <v>1</v>
      </c>
      <c r="AT132">
        <v>1</v>
      </c>
      <c r="AU132">
        <v>1</v>
      </c>
      <c r="AV132">
        <v>1</v>
      </c>
      <c r="AW132">
        <v>0</v>
      </c>
      <c r="AX132">
        <v>0</v>
      </c>
      <c r="AY132">
        <v>0</v>
      </c>
      <c r="AZ132">
        <v>0</v>
      </c>
      <c r="BA132">
        <v>0</v>
      </c>
      <c r="BC132">
        <v>0</v>
      </c>
      <c r="BD132">
        <v>1</v>
      </c>
      <c r="BE132">
        <v>1</v>
      </c>
      <c r="BF132">
        <v>0</v>
      </c>
      <c r="BG132">
        <v>1</v>
      </c>
      <c r="BH132">
        <v>0</v>
      </c>
      <c r="BI132">
        <v>0</v>
      </c>
      <c r="BJ132">
        <v>0</v>
      </c>
      <c r="BK132">
        <v>1</v>
      </c>
      <c r="BL132">
        <v>0</v>
      </c>
      <c r="BM132">
        <v>0</v>
      </c>
      <c r="BN132">
        <v>1</v>
      </c>
      <c r="BO132">
        <v>1</v>
      </c>
      <c r="BP132">
        <v>1</v>
      </c>
      <c r="BQ132">
        <v>0</v>
      </c>
      <c r="BR132">
        <v>0</v>
      </c>
      <c r="BS132">
        <v>0</v>
      </c>
      <c r="BU132">
        <v>9</v>
      </c>
      <c r="BV132">
        <v>3</v>
      </c>
      <c r="BW132">
        <v>2</v>
      </c>
      <c r="BX132">
        <v>3</v>
      </c>
      <c r="BY132">
        <v>2</v>
      </c>
      <c r="DI132">
        <v>0</v>
      </c>
      <c r="DJ132">
        <v>0</v>
      </c>
      <c r="DK132">
        <v>1</v>
      </c>
      <c r="DL132">
        <v>0</v>
      </c>
      <c r="DM132">
        <v>0</v>
      </c>
      <c r="DN132">
        <v>0</v>
      </c>
      <c r="DO132">
        <v>0</v>
      </c>
      <c r="DP132">
        <v>0</v>
      </c>
      <c r="DQ132">
        <v>0</v>
      </c>
      <c r="DR132">
        <v>0</v>
      </c>
      <c r="DT132">
        <v>0</v>
      </c>
      <c r="DU132">
        <v>1</v>
      </c>
      <c r="DV132">
        <v>0</v>
      </c>
      <c r="DW132">
        <v>0</v>
      </c>
      <c r="DX132">
        <v>0</v>
      </c>
      <c r="DY132">
        <v>0</v>
      </c>
      <c r="DZ132">
        <v>0</v>
      </c>
      <c r="EA132">
        <v>0</v>
      </c>
      <c r="EB132">
        <v>0</v>
      </c>
      <c r="EC132">
        <v>0</v>
      </c>
      <c r="ED132">
        <v>1</v>
      </c>
      <c r="EE132">
        <v>0</v>
      </c>
      <c r="EF132">
        <v>0</v>
      </c>
      <c r="EI132" t="s">
        <v>775</v>
      </c>
      <c r="EJ132">
        <v>0</v>
      </c>
      <c r="EK132">
        <v>0</v>
      </c>
      <c r="EL132">
        <v>0</v>
      </c>
      <c r="EM132">
        <v>0</v>
      </c>
      <c r="EN132">
        <v>0</v>
      </c>
      <c r="EO132">
        <v>0</v>
      </c>
      <c r="EP132">
        <v>0</v>
      </c>
      <c r="EQ132">
        <v>0</v>
      </c>
      <c r="ER132">
        <v>0</v>
      </c>
      <c r="ES132">
        <v>0</v>
      </c>
      <c r="ET132">
        <v>0</v>
      </c>
      <c r="EU132">
        <v>0</v>
      </c>
      <c r="EV132">
        <v>0</v>
      </c>
      <c r="EW132">
        <v>0</v>
      </c>
      <c r="EX132">
        <v>0</v>
      </c>
      <c r="EY132">
        <v>1</v>
      </c>
      <c r="EZ132">
        <v>0</v>
      </c>
      <c r="FA132">
        <v>0</v>
      </c>
      <c r="FB132">
        <v>0</v>
      </c>
      <c r="FC132">
        <v>0</v>
      </c>
      <c r="FD132">
        <v>0</v>
      </c>
      <c r="FE132">
        <v>0</v>
      </c>
      <c r="IG132">
        <v>1</v>
      </c>
      <c r="IH132">
        <v>0</v>
      </c>
      <c r="II132">
        <v>0</v>
      </c>
      <c r="IJ132">
        <v>0</v>
      </c>
      <c r="IK132">
        <v>0</v>
      </c>
      <c r="IL132">
        <v>1</v>
      </c>
      <c r="IM132">
        <v>1</v>
      </c>
      <c r="IN132">
        <v>0</v>
      </c>
      <c r="IO132">
        <v>0</v>
      </c>
      <c r="IP132">
        <v>0</v>
      </c>
      <c r="IQ132">
        <v>0</v>
      </c>
      <c r="IS132">
        <v>2</v>
      </c>
    </row>
    <row r="133" spans="1:257" x14ac:dyDescent="0.35">
      <c r="A133">
        <v>363303</v>
      </c>
      <c r="C133">
        <v>1</v>
      </c>
      <c r="D133" t="s">
        <v>776</v>
      </c>
      <c r="E133" t="s">
        <v>777</v>
      </c>
      <c r="F133" t="s">
        <v>778</v>
      </c>
      <c r="G133">
        <v>4</v>
      </c>
      <c r="I133">
        <v>0</v>
      </c>
      <c r="J133">
        <v>0</v>
      </c>
      <c r="K133">
        <v>1</v>
      </c>
      <c r="L133">
        <v>1</v>
      </c>
      <c r="M133">
        <v>1</v>
      </c>
      <c r="N133">
        <v>0</v>
      </c>
      <c r="O133">
        <v>0</v>
      </c>
      <c r="P133">
        <v>0</v>
      </c>
      <c r="Q133">
        <v>0</v>
      </c>
      <c r="R133">
        <v>1</v>
      </c>
      <c r="T133">
        <v>0</v>
      </c>
      <c r="U133">
        <v>1</v>
      </c>
      <c r="V133">
        <v>0</v>
      </c>
      <c r="X133">
        <v>50</v>
      </c>
      <c r="AA133">
        <v>50</v>
      </c>
      <c r="AC133">
        <v>1</v>
      </c>
      <c r="AD133">
        <v>1</v>
      </c>
      <c r="AE133">
        <v>0</v>
      </c>
      <c r="AF133">
        <v>0</v>
      </c>
      <c r="AG133">
        <v>0</v>
      </c>
      <c r="AH133">
        <v>0</v>
      </c>
      <c r="AJ133">
        <v>2</v>
      </c>
      <c r="AL133">
        <v>1</v>
      </c>
      <c r="AN133">
        <v>1</v>
      </c>
      <c r="AO133">
        <v>1</v>
      </c>
      <c r="AP133">
        <v>4</v>
      </c>
      <c r="AQ133">
        <v>2</v>
      </c>
      <c r="AS133">
        <v>2</v>
      </c>
      <c r="AT133">
        <v>1</v>
      </c>
      <c r="AU133">
        <v>2</v>
      </c>
      <c r="BC133">
        <v>0</v>
      </c>
      <c r="BD133">
        <v>0</v>
      </c>
      <c r="BE133">
        <v>1</v>
      </c>
      <c r="BF133">
        <v>1</v>
      </c>
      <c r="BG133">
        <v>0</v>
      </c>
      <c r="BH133">
        <v>0</v>
      </c>
      <c r="BI133">
        <v>0</v>
      </c>
      <c r="BJ133">
        <v>0</v>
      </c>
      <c r="BK133">
        <v>0</v>
      </c>
      <c r="BL133">
        <v>0</v>
      </c>
      <c r="BM133">
        <v>0</v>
      </c>
      <c r="BN133">
        <v>0</v>
      </c>
      <c r="BO133">
        <v>0</v>
      </c>
      <c r="BP133">
        <v>1</v>
      </c>
      <c r="BQ133">
        <v>0</v>
      </c>
      <c r="BR133">
        <v>0</v>
      </c>
      <c r="BS133">
        <v>0</v>
      </c>
      <c r="BU133">
        <v>9</v>
      </c>
      <c r="BV133">
        <v>4</v>
      </c>
      <c r="BX133">
        <v>1</v>
      </c>
      <c r="BY133">
        <v>3</v>
      </c>
      <c r="DI133">
        <v>0</v>
      </c>
      <c r="DJ133">
        <v>0</v>
      </c>
      <c r="DK133">
        <v>0</v>
      </c>
      <c r="DL133">
        <v>0</v>
      </c>
      <c r="DM133">
        <v>0</v>
      </c>
      <c r="DN133">
        <v>0</v>
      </c>
      <c r="DO133">
        <v>0</v>
      </c>
      <c r="DP133">
        <v>0</v>
      </c>
      <c r="DQ133">
        <v>0</v>
      </c>
      <c r="DR133">
        <v>1</v>
      </c>
      <c r="DT133">
        <v>0</v>
      </c>
      <c r="DU133">
        <v>0</v>
      </c>
      <c r="DV133">
        <v>0</v>
      </c>
      <c r="DW133">
        <v>0</v>
      </c>
      <c r="DX133">
        <v>1</v>
      </c>
      <c r="DY133">
        <v>0</v>
      </c>
      <c r="DZ133">
        <v>0</v>
      </c>
      <c r="EA133">
        <v>1</v>
      </c>
      <c r="EB133">
        <v>0</v>
      </c>
      <c r="EC133">
        <v>0</v>
      </c>
      <c r="ED133">
        <v>0</v>
      </c>
      <c r="EE133">
        <v>0</v>
      </c>
      <c r="EF133">
        <v>0</v>
      </c>
      <c r="IG133">
        <v>0</v>
      </c>
      <c r="IH133">
        <v>0</v>
      </c>
      <c r="II133">
        <v>0</v>
      </c>
      <c r="IJ133">
        <v>0</v>
      </c>
      <c r="IK133">
        <v>0</v>
      </c>
      <c r="IL133">
        <v>0</v>
      </c>
      <c r="IM133">
        <v>0</v>
      </c>
      <c r="IN133">
        <v>0</v>
      </c>
      <c r="IO133">
        <v>0</v>
      </c>
      <c r="IP133">
        <v>0</v>
      </c>
      <c r="IQ133">
        <v>1</v>
      </c>
      <c r="IS133">
        <v>2</v>
      </c>
    </row>
    <row r="134" spans="1:257" x14ac:dyDescent="0.35">
      <c r="A134">
        <v>405241</v>
      </c>
      <c r="C134">
        <v>1</v>
      </c>
      <c r="D134" t="s">
        <v>779</v>
      </c>
      <c r="E134" t="s">
        <v>780</v>
      </c>
      <c r="F134" t="s">
        <v>778</v>
      </c>
      <c r="G134">
        <v>3</v>
      </c>
      <c r="I134">
        <v>1</v>
      </c>
      <c r="J134">
        <v>0</v>
      </c>
      <c r="K134">
        <v>1</v>
      </c>
      <c r="L134">
        <v>0</v>
      </c>
      <c r="M134">
        <v>0</v>
      </c>
      <c r="N134">
        <v>0</v>
      </c>
      <c r="O134">
        <v>0</v>
      </c>
      <c r="P134">
        <v>1</v>
      </c>
      <c r="Q134">
        <v>1</v>
      </c>
      <c r="R134">
        <v>1</v>
      </c>
      <c r="T134">
        <v>1</v>
      </c>
      <c r="U134">
        <v>1</v>
      </c>
      <c r="V134">
        <v>1</v>
      </c>
      <c r="W134">
        <v>3</v>
      </c>
      <c r="X134">
        <v>11</v>
      </c>
      <c r="Y134">
        <v>8</v>
      </c>
      <c r="Z134">
        <v>3</v>
      </c>
      <c r="AA134">
        <v>11</v>
      </c>
      <c r="AB134">
        <v>8</v>
      </c>
      <c r="AC134">
        <v>1</v>
      </c>
      <c r="AD134">
        <v>1</v>
      </c>
      <c r="AE134">
        <v>0</v>
      </c>
      <c r="AF134">
        <v>1</v>
      </c>
      <c r="AG134">
        <v>0</v>
      </c>
      <c r="AH134">
        <v>0</v>
      </c>
      <c r="AJ134">
        <v>1</v>
      </c>
      <c r="AL134">
        <v>1</v>
      </c>
      <c r="AN134">
        <v>1</v>
      </c>
      <c r="AO134">
        <v>1</v>
      </c>
      <c r="AP134">
        <v>3</v>
      </c>
      <c r="AQ134">
        <v>2</v>
      </c>
      <c r="AS134">
        <v>2</v>
      </c>
      <c r="AT134">
        <v>1</v>
      </c>
      <c r="AU134">
        <v>2</v>
      </c>
      <c r="BC134">
        <v>1</v>
      </c>
      <c r="BD134">
        <v>1</v>
      </c>
      <c r="BE134">
        <v>0</v>
      </c>
      <c r="BF134">
        <v>0</v>
      </c>
      <c r="BG134">
        <v>1</v>
      </c>
      <c r="BH134">
        <v>0</v>
      </c>
      <c r="BI134">
        <v>0</v>
      </c>
      <c r="BJ134">
        <v>0</v>
      </c>
      <c r="BK134">
        <v>1</v>
      </c>
      <c r="BL134">
        <v>0</v>
      </c>
      <c r="BM134">
        <v>1</v>
      </c>
      <c r="BN134">
        <v>1</v>
      </c>
      <c r="BO134">
        <v>0</v>
      </c>
      <c r="BP134">
        <v>1</v>
      </c>
      <c r="BQ134">
        <v>0</v>
      </c>
      <c r="BR134">
        <v>0</v>
      </c>
      <c r="BS134">
        <v>0</v>
      </c>
      <c r="BU134">
        <v>9</v>
      </c>
      <c r="BV134">
        <v>4</v>
      </c>
      <c r="BX134">
        <v>2</v>
      </c>
      <c r="BY134">
        <v>1</v>
      </c>
      <c r="DI134">
        <v>0</v>
      </c>
      <c r="DJ134">
        <v>0</v>
      </c>
      <c r="DK134">
        <v>0</v>
      </c>
      <c r="DL134">
        <v>0</v>
      </c>
      <c r="DM134">
        <v>0</v>
      </c>
      <c r="DN134">
        <v>1</v>
      </c>
      <c r="DO134">
        <v>0</v>
      </c>
      <c r="DP134">
        <v>0</v>
      </c>
      <c r="DQ134">
        <v>0</v>
      </c>
      <c r="DR134">
        <v>0</v>
      </c>
      <c r="DT134">
        <v>0</v>
      </c>
      <c r="DU134">
        <v>0</v>
      </c>
      <c r="DV134">
        <v>0</v>
      </c>
      <c r="DW134">
        <v>1</v>
      </c>
      <c r="DX134">
        <v>0</v>
      </c>
      <c r="DY134">
        <v>0</v>
      </c>
      <c r="DZ134">
        <v>0</v>
      </c>
      <c r="EA134">
        <v>0</v>
      </c>
      <c r="EB134">
        <v>0</v>
      </c>
      <c r="EC134">
        <v>0</v>
      </c>
      <c r="ED134">
        <v>1</v>
      </c>
      <c r="EE134">
        <v>0</v>
      </c>
      <c r="EF134">
        <v>0</v>
      </c>
      <c r="IG134">
        <v>0</v>
      </c>
      <c r="IH134">
        <v>0</v>
      </c>
      <c r="II134">
        <v>1</v>
      </c>
      <c r="IJ134">
        <v>0</v>
      </c>
      <c r="IK134">
        <v>0</v>
      </c>
      <c r="IL134">
        <v>1</v>
      </c>
      <c r="IM134">
        <v>1</v>
      </c>
      <c r="IN134">
        <v>0</v>
      </c>
      <c r="IO134">
        <v>0</v>
      </c>
      <c r="IP134">
        <v>0</v>
      </c>
      <c r="IQ134">
        <v>0</v>
      </c>
      <c r="IS134">
        <v>2</v>
      </c>
    </row>
    <row r="135" spans="1:257" x14ac:dyDescent="0.35">
      <c r="A135">
        <v>393198</v>
      </c>
      <c r="C135">
        <v>1</v>
      </c>
      <c r="D135" t="s">
        <v>781</v>
      </c>
      <c r="E135" t="s">
        <v>782</v>
      </c>
      <c r="F135" t="s">
        <v>783</v>
      </c>
      <c r="G135">
        <v>3</v>
      </c>
      <c r="I135">
        <v>1</v>
      </c>
      <c r="J135">
        <v>0</v>
      </c>
      <c r="K135">
        <v>1</v>
      </c>
      <c r="L135">
        <v>0</v>
      </c>
      <c r="M135">
        <v>0</v>
      </c>
      <c r="N135">
        <v>0</v>
      </c>
      <c r="O135">
        <v>0</v>
      </c>
      <c r="P135">
        <v>1</v>
      </c>
      <c r="Q135">
        <v>0</v>
      </c>
      <c r="R135">
        <v>1</v>
      </c>
      <c r="T135">
        <v>0</v>
      </c>
      <c r="U135">
        <v>1</v>
      </c>
      <c r="V135">
        <v>1</v>
      </c>
      <c r="X135">
        <v>11</v>
      </c>
      <c r="Y135">
        <v>2</v>
      </c>
      <c r="AA135">
        <v>11</v>
      </c>
      <c r="AB135">
        <v>2</v>
      </c>
      <c r="AC135">
        <v>1</v>
      </c>
      <c r="AD135">
        <v>1</v>
      </c>
      <c r="AE135">
        <v>0</v>
      </c>
      <c r="AF135">
        <v>1</v>
      </c>
      <c r="AG135">
        <v>0</v>
      </c>
      <c r="AH135">
        <v>0</v>
      </c>
      <c r="AJ135">
        <v>4</v>
      </c>
      <c r="AL135">
        <v>1</v>
      </c>
      <c r="AN135">
        <v>1</v>
      </c>
      <c r="AO135">
        <v>1</v>
      </c>
      <c r="AP135">
        <v>2</v>
      </c>
      <c r="AQ135">
        <v>1</v>
      </c>
      <c r="AR135">
        <v>6</v>
      </c>
      <c r="AS135">
        <v>1</v>
      </c>
      <c r="AT135">
        <v>1</v>
      </c>
      <c r="AU135">
        <v>1</v>
      </c>
      <c r="AV135">
        <v>1</v>
      </c>
      <c r="AW135">
        <v>0</v>
      </c>
      <c r="AX135">
        <v>0</v>
      </c>
      <c r="AY135">
        <v>0</v>
      </c>
      <c r="AZ135">
        <v>0</v>
      </c>
      <c r="BA135">
        <v>0</v>
      </c>
      <c r="BC135">
        <v>0</v>
      </c>
      <c r="BD135">
        <v>0</v>
      </c>
      <c r="BE135">
        <v>0</v>
      </c>
      <c r="BF135">
        <v>0</v>
      </c>
      <c r="BG135">
        <v>0</v>
      </c>
      <c r="BH135">
        <v>0</v>
      </c>
      <c r="BI135">
        <v>0</v>
      </c>
      <c r="BJ135">
        <v>0</v>
      </c>
      <c r="BK135">
        <v>0</v>
      </c>
      <c r="BL135">
        <v>0</v>
      </c>
      <c r="BM135">
        <v>0</v>
      </c>
      <c r="BN135">
        <v>0</v>
      </c>
      <c r="BO135">
        <v>0</v>
      </c>
      <c r="BP135">
        <v>0</v>
      </c>
      <c r="BQ135">
        <v>0</v>
      </c>
      <c r="BR135">
        <v>1</v>
      </c>
      <c r="BS135">
        <v>0</v>
      </c>
      <c r="BU135">
        <v>16</v>
      </c>
      <c r="BV135">
        <v>4</v>
      </c>
      <c r="BX135">
        <v>6</v>
      </c>
      <c r="BY135">
        <v>4</v>
      </c>
      <c r="DI135">
        <v>0</v>
      </c>
      <c r="DJ135">
        <v>1</v>
      </c>
      <c r="DK135">
        <v>0</v>
      </c>
      <c r="DL135">
        <v>1</v>
      </c>
      <c r="DM135">
        <v>0</v>
      </c>
      <c r="DN135">
        <v>0</v>
      </c>
      <c r="DO135">
        <v>0</v>
      </c>
      <c r="DP135">
        <v>0</v>
      </c>
      <c r="DQ135">
        <v>0</v>
      </c>
      <c r="DR135">
        <v>0</v>
      </c>
      <c r="DT135">
        <v>0</v>
      </c>
      <c r="DU135">
        <v>0</v>
      </c>
      <c r="DV135">
        <v>0</v>
      </c>
      <c r="DW135">
        <v>1</v>
      </c>
      <c r="DX135">
        <v>1</v>
      </c>
      <c r="DY135">
        <v>0</v>
      </c>
      <c r="DZ135">
        <v>0</v>
      </c>
      <c r="EA135">
        <v>1</v>
      </c>
      <c r="EB135">
        <v>0</v>
      </c>
      <c r="EC135">
        <v>0</v>
      </c>
      <c r="ED135">
        <v>0</v>
      </c>
      <c r="EE135">
        <v>0</v>
      </c>
      <c r="EF135">
        <v>0</v>
      </c>
      <c r="IG135">
        <v>1</v>
      </c>
      <c r="IH135">
        <v>0</v>
      </c>
      <c r="II135">
        <v>0</v>
      </c>
      <c r="IJ135">
        <v>0</v>
      </c>
      <c r="IK135">
        <v>1</v>
      </c>
      <c r="IL135">
        <v>0</v>
      </c>
      <c r="IM135">
        <v>0</v>
      </c>
      <c r="IN135">
        <v>0</v>
      </c>
      <c r="IO135">
        <v>0</v>
      </c>
      <c r="IP135">
        <v>0</v>
      </c>
      <c r="IQ135">
        <v>0</v>
      </c>
      <c r="IS135">
        <v>2</v>
      </c>
    </row>
    <row r="136" spans="1:257" x14ac:dyDescent="0.35">
      <c r="A136">
        <v>370101</v>
      </c>
      <c r="C136">
        <v>1</v>
      </c>
      <c r="D136" t="s">
        <v>784</v>
      </c>
      <c r="E136" t="s">
        <v>785</v>
      </c>
      <c r="F136" t="s">
        <v>786</v>
      </c>
      <c r="G136">
        <v>3</v>
      </c>
      <c r="I136">
        <v>0</v>
      </c>
      <c r="J136">
        <v>0</v>
      </c>
      <c r="K136">
        <v>1</v>
      </c>
      <c r="L136">
        <v>0</v>
      </c>
      <c r="M136">
        <v>0</v>
      </c>
      <c r="N136">
        <v>0</v>
      </c>
      <c r="O136">
        <v>0</v>
      </c>
      <c r="P136">
        <v>0</v>
      </c>
      <c r="Q136">
        <v>0</v>
      </c>
      <c r="R136">
        <v>1</v>
      </c>
      <c r="T136">
        <v>0</v>
      </c>
      <c r="U136">
        <v>1</v>
      </c>
      <c r="V136">
        <v>0</v>
      </c>
      <c r="X136">
        <v>60</v>
      </c>
      <c r="AA136">
        <v>60</v>
      </c>
      <c r="AC136">
        <v>1</v>
      </c>
      <c r="AD136">
        <v>0</v>
      </c>
      <c r="AE136">
        <v>0</v>
      </c>
      <c r="AF136">
        <v>0</v>
      </c>
      <c r="AG136">
        <v>0</v>
      </c>
      <c r="AH136">
        <v>0</v>
      </c>
      <c r="AJ136">
        <v>1</v>
      </c>
      <c r="AL136">
        <v>1</v>
      </c>
      <c r="AN136">
        <v>1</v>
      </c>
      <c r="AO136">
        <v>1</v>
      </c>
      <c r="AP136">
        <v>4</v>
      </c>
      <c r="AQ136">
        <v>1</v>
      </c>
      <c r="AR136">
        <v>4</v>
      </c>
      <c r="AS136">
        <v>1</v>
      </c>
      <c r="AT136">
        <v>1</v>
      </c>
      <c r="AU136">
        <v>2</v>
      </c>
      <c r="BC136">
        <v>0</v>
      </c>
      <c r="BD136">
        <v>0</v>
      </c>
      <c r="BE136">
        <v>0</v>
      </c>
      <c r="BF136">
        <v>0</v>
      </c>
      <c r="BG136">
        <v>0</v>
      </c>
      <c r="BH136">
        <v>0</v>
      </c>
      <c r="BI136">
        <v>0</v>
      </c>
      <c r="BJ136">
        <v>0</v>
      </c>
      <c r="BK136">
        <v>0</v>
      </c>
      <c r="BL136">
        <v>0</v>
      </c>
      <c r="BM136">
        <v>0</v>
      </c>
      <c r="BN136">
        <v>0</v>
      </c>
      <c r="BO136">
        <v>0</v>
      </c>
      <c r="BP136">
        <v>0</v>
      </c>
      <c r="BQ136">
        <v>0</v>
      </c>
      <c r="BR136">
        <v>1</v>
      </c>
      <c r="BS136">
        <v>0</v>
      </c>
      <c r="BU136">
        <v>16</v>
      </c>
      <c r="BV136">
        <v>4</v>
      </c>
      <c r="BX136">
        <v>5</v>
      </c>
      <c r="BY136">
        <v>5</v>
      </c>
      <c r="DI136">
        <v>1</v>
      </c>
      <c r="DJ136">
        <v>1</v>
      </c>
      <c r="DK136">
        <v>1</v>
      </c>
      <c r="DL136">
        <v>0</v>
      </c>
      <c r="DM136">
        <v>1</v>
      </c>
      <c r="DN136">
        <v>1</v>
      </c>
      <c r="DO136">
        <v>1</v>
      </c>
      <c r="DP136">
        <v>1</v>
      </c>
      <c r="DQ136">
        <v>0</v>
      </c>
      <c r="DR136">
        <v>0</v>
      </c>
      <c r="DT136">
        <v>0</v>
      </c>
      <c r="DU136">
        <v>0</v>
      </c>
      <c r="DV136">
        <v>0</v>
      </c>
      <c r="DW136">
        <v>0</v>
      </c>
      <c r="DX136">
        <v>0</v>
      </c>
      <c r="DY136">
        <v>0</v>
      </c>
      <c r="DZ136">
        <v>0</v>
      </c>
      <c r="EA136">
        <v>0</v>
      </c>
      <c r="EB136">
        <v>0</v>
      </c>
      <c r="EC136">
        <v>0</v>
      </c>
      <c r="ED136">
        <v>0</v>
      </c>
      <c r="EE136">
        <v>0</v>
      </c>
      <c r="EF136">
        <v>1</v>
      </c>
      <c r="IG136">
        <v>0</v>
      </c>
      <c r="IH136">
        <v>0</v>
      </c>
      <c r="II136">
        <v>0</v>
      </c>
      <c r="IJ136">
        <v>0</v>
      </c>
      <c r="IK136">
        <v>0</v>
      </c>
      <c r="IL136">
        <v>0</v>
      </c>
      <c r="IM136">
        <v>0</v>
      </c>
      <c r="IN136">
        <v>0</v>
      </c>
      <c r="IO136">
        <v>0</v>
      </c>
      <c r="IP136">
        <v>0</v>
      </c>
      <c r="IQ136">
        <v>1</v>
      </c>
      <c r="IS136">
        <v>2</v>
      </c>
    </row>
    <row r="137" spans="1:257" x14ac:dyDescent="0.35">
      <c r="A137">
        <v>405347</v>
      </c>
      <c r="C137">
        <v>1</v>
      </c>
      <c r="D137" t="s">
        <v>787</v>
      </c>
      <c r="E137" t="s">
        <v>788</v>
      </c>
      <c r="F137" t="s">
        <v>786</v>
      </c>
      <c r="G137">
        <v>15</v>
      </c>
      <c r="H137" t="s">
        <v>675</v>
      </c>
      <c r="I137">
        <v>0</v>
      </c>
      <c r="J137">
        <v>0</v>
      </c>
      <c r="K137">
        <v>1</v>
      </c>
      <c r="L137">
        <v>0</v>
      </c>
      <c r="M137">
        <v>0</v>
      </c>
      <c r="N137">
        <v>0</v>
      </c>
      <c r="O137">
        <v>0</v>
      </c>
      <c r="P137">
        <v>0</v>
      </c>
      <c r="Q137">
        <v>0</v>
      </c>
      <c r="R137">
        <v>1</v>
      </c>
      <c r="T137">
        <v>0</v>
      </c>
      <c r="U137">
        <v>1</v>
      </c>
      <c r="V137">
        <v>0</v>
      </c>
      <c r="X137">
        <v>142</v>
      </c>
      <c r="AA137">
        <v>142</v>
      </c>
      <c r="AC137">
        <v>1</v>
      </c>
      <c r="AD137">
        <v>0</v>
      </c>
      <c r="AE137">
        <v>0</v>
      </c>
      <c r="AF137">
        <v>0</v>
      </c>
      <c r="AG137">
        <v>0</v>
      </c>
      <c r="AH137">
        <v>0</v>
      </c>
      <c r="AJ137">
        <v>1</v>
      </c>
      <c r="AL137">
        <v>1</v>
      </c>
      <c r="AN137">
        <v>1</v>
      </c>
      <c r="AO137">
        <v>1</v>
      </c>
      <c r="AP137">
        <v>4</v>
      </c>
      <c r="AQ137">
        <v>2</v>
      </c>
      <c r="AS137">
        <v>1</v>
      </c>
      <c r="AT137">
        <v>1</v>
      </c>
      <c r="AU137">
        <v>1</v>
      </c>
      <c r="AV137">
        <v>1</v>
      </c>
      <c r="AW137">
        <v>0</v>
      </c>
      <c r="AX137">
        <v>0</v>
      </c>
      <c r="AY137">
        <v>0</v>
      </c>
      <c r="AZ137">
        <v>0</v>
      </c>
      <c r="BA137">
        <v>0</v>
      </c>
      <c r="BC137">
        <v>0</v>
      </c>
      <c r="BD137">
        <v>0</v>
      </c>
      <c r="BE137">
        <v>1</v>
      </c>
      <c r="BF137">
        <v>0</v>
      </c>
      <c r="BG137">
        <v>0</v>
      </c>
      <c r="BH137">
        <v>0</v>
      </c>
      <c r="BI137">
        <v>0</v>
      </c>
      <c r="BJ137">
        <v>0</v>
      </c>
      <c r="BK137">
        <v>0</v>
      </c>
      <c r="BL137">
        <v>0</v>
      </c>
      <c r="BM137">
        <v>1</v>
      </c>
      <c r="BN137">
        <v>1</v>
      </c>
      <c r="BO137">
        <v>1</v>
      </c>
      <c r="BP137">
        <v>1</v>
      </c>
      <c r="BQ137">
        <v>0</v>
      </c>
      <c r="BR137">
        <v>1</v>
      </c>
      <c r="BS137">
        <v>0</v>
      </c>
      <c r="BU137">
        <v>16</v>
      </c>
      <c r="BV137">
        <v>4</v>
      </c>
      <c r="BX137">
        <v>3</v>
      </c>
      <c r="BY137">
        <v>3</v>
      </c>
      <c r="DI137">
        <v>0</v>
      </c>
      <c r="DJ137">
        <v>0</v>
      </c>
      <c r="DK137">
        <v>1</v>
      </c>
      <c r="DL137">
        <v>0</v>
      </c>
      <c r="DM137">
        <v>0</v>
      </c>
      <c r="DN137">
        <v>1</v>
      </c>
      <c r="DO137">
        <v>0</v>
      </c>
      <c r="DP137">
        <v>1</v>
      </c>
      <c r="DQ137">
        <v>0</v>
      </c>
      <c r="DR137">
        <v>0</v>
      </c>
      <c r="DT137">
        <v>0</v>
      </c>
      <c r="DU137">
        <v>0</v>
      </c>
      <c r="DV137">
        <v>0</v>
      </c>
      <c r="DW137">
        <v>1</v>
      </c>
      <c r="DX137">
        <v>0</v>
      </c>
      <c r="DY137">
        <v>0</v>
      </c>
      <c r="DZ137">
        <v>0</v>
      </c>
      <c r="EA137">
        <v>1</v>
      </c>
      <c r="EB137">
        <v>1</v>
      </c>
      <c r="EC137">
        <v>0</v>
      </c>
      <c r="ED137">
        <v>0</v>
      </c>
      <c r="EE137">
        <v>0</v>
      </c>
      <c r="EF137">
        <v>0</v>
      </c>
      <c r="IG137">
        <v>0</v>
      </c>
      <c r="IH137">
        <v>0</v>
      </c>
      <c r="II137">
        <v>0</v>
      </c>
      <c r="IJ137">
        <v>0</v>
      </c>
      <c r="IK137">
        <v>0</v>
      </c>
      <c r="IL137">
        <v>0</v>
      </c>
      <c r="IM137">
        <v>0</v>
      </c>
      <c r="IN137">
        <v>0</v>
      </c>
      <c r="IO137">
        <v>0</v>
      </c>
      <c r="IP137">
        <v>0</v>
      </c>
      <c r="IQ137">
        <v>1</v>
      </c>
      <c r="IS137">
        <v>1</v>
      </c>
      <c r="IT137">
        <v>0</v>
      </c>
      <c r="IU137">
        <v>1</v>
      </c>
      <c r="IV137">
        <v>0</v>
      </c>
      <c r="IW137">
        <v>0</v>
      </c>
    </row>
    <row r="138" spans="1:257" x14ac:dyDescent="0.35">
      <c r="A138">
        <v>405480</v>
      </c>
      <c r="C138">
        <v>1</v>
      </c>
      <c r="D138" t="s">
        <v>789</v>
      </c>
      <c r="E138" t="s">
        <v>790</v>
      </c>
      <c r="F138" t="s">
        <v>786</v>
      </c>
      <c r="G138">
        <v>4</v>
      </c>
      <c r="I138">
        <v>1</v>
      </c>
      <c r="J138">
        <v>0</v>
      </c>
      <c r="K138">
        <v>0</v>
      </c>
      <c r="L138">
        <v>0</v>
      </c>
      <c r="M138">
        <v>0</v>
      </c>
      <c r="N138">
        <v>0</v>
      </c>
      <c r="O138">
        <v>0</v>
      </c>
      <c r="P138">
        <v>0</v>
      </c>
      <c r="Q138">
        <v>0</v>
      </c>
      <c r="R138">
        <v>1</v>
      </c>
      <c r="T138">
        <v>1</v>
      </c>
      <c r="U138">
        <v>0</v>
      </c>
      <c r="V138">
        <v>0</v>
      </c>
      <c r="W138">
        <v>0</v>
      </c>
      <c r="AC138">
        <v>1</v>
      </c>
      <c r="AD138">
        <v>0</v>
      </c>
      <c r="AE138">
        <v>0</v>
      </c>
      <c r="AF138">
        <v>0</v>
      </c>
      <c r="AG138">
        <v>0</v>
      </c>
      <c r="AH138">
        <v>0</v>
      </c>
      <c r="AJ138">
        <v>1</v>
      </c>
      <c r="AL138">
        <v>1</v>
      </c>
      <c r="AN138">
        <v>1</v>
      </c>
      <c r="AO138">
        <v>1</v>
      </c>
      <c r="AP138">
        <v>5</v>
      </c>
      <c r="AQ138">
        <v>2</v>
      </c>
      <c r="AS138">
        <v>2</v>
      </c>
      <c r="AT138">
        <v>1</v>
      </c>
      <c r="AU138">
        <v>1</v>
      </c>
      <c r="AV138">
        <v>1</v>
      </c>
      <c r="AW138">
        <v>0</v>
      </c>
      <c r="AX138">
        <v>0</v>
      </c>
      <c r="AY138">
        <v>0</v>
      </c>
      <c r="AZ138">
        <v>0</v>
      </c>
      <c r="BA138">
        <v>0</v>
      </c>
      <c r="BC138">
        <v>0</v>
      </c>
      <c r="BD138">
        <v>0</v>
      </c>
      <c r="BE138">
        <v>0</v>
      </c>
      <c r="BF138">
        <v>0</v>
      </c>
      <c r="BG138">
        <v>1</v>
      </c>
      <c r="BH138">
        <v>0</v>
      </c>
      <c r="BI138">
        <v>0</v>
      </c>
      <c r="BJ138">
        <v>0</v>
      </c>
      <c r="BK138">
        <v>0</v>
      </c>
      <c r="BL138">
        <v>0</v>
      </c>
      <c r="BM138">
        <v>0</v>
      </c>
      <c r="BN138">
        <v>0</v>
      </c>
      <c r="BO138">
        <v>0</v>
      </c>
      <c r="BP138">
        <v>0</v>
      </c>
      <c r="BQ138">
        <v>0</v>
      </c>
      <c r="BR138">
        <v>0</v>
      </c>
      <c r="BS138">
        <v>1</v>
      </c>
      <c r="BT138" t="s">
        <v>791</v>
      </c>
      <c r="BU138">
        <v>12</v>
      </c>
      <c r="BV138">
        <v>4</v>
      </c>
      <c r="BX138">
        <v>4</v>
      </c>
      <c r="BY138">
        <v>4</v>
      </c>
      <c r="DI138">
        <v>0</v>
      </c>
      <c r="DJ138">
        <v>0</v>
      </c>
      <c r="DK138">
        <v>0</v>
      </c>
      <c r="DL138">
        <v>0</v>
      </c>
      <c r="DM138">
        <v>0</v>
      </c>
      <c r="DN138">
        <v>0</v>
      </c>
      <c r="DO138">
        <v>0</v>
      </c>
      <c r="DP138">
        <v>0</v>
      </c>
      <c r="DQ138">
        <v>0</v>
      </c>
      <c r="DR138">
        <v>1</v>
      </c>
    </row>
    <row r="139" spans="1:257" x14ac:dyDescent="0.35">
      <c r="A139">
        <v>393083</v>
      </c>
      <c r="C139">
        <v>1</v>
      </c>
      <c r="D139" t="s">
        <v>792</v>
      </c>
      <c r="E139" t="s">
        <v>793</v>
      </c>
      <c r="F139" t="s">
        <v>786</v>
      </c>
      <c r="G139">
        <v>3</v>
      </c>
      <c r="I139">
        <v>0</v>
      </c>
      <c r="J139">
        <v>0</v>
      </c>
      <c r="K139">
        <v>1</v>
      </c>
      <c r="L139">
        <v>0</v>
      </c>
      <c r="M139">
        <v>0</v>
      </c>
      <c r="N139">
        <v>0</v>
      </c>
      <c r="O139">
        <v>0</v>
      </c>
      <c r="P139">
        <v>0</v>
      </c>
      <c r="Q139">
        <v>0</v>
      </c>
      <c r="R139">
        <v>1</v>
      </c>
      <c r="T139">
        <v>0</v>
      </c>
      <c r="U139">
        <v>1</v>
      </c>
      <c r="V139">
        <v>0</v>
      </c>
      <c r="X139">
        <v>225</v>
      </c>
      <c r="AA139">
        <v>225</v>
      </c>
      <c r="AC139">
        <v>1</v>
      </c>
      <c r="AD139">
        <v>0</v>
      </c>
      <c r="AE139">
        <v>0</v>
      </c>
      <c r="AF139">
        <v>0</v>
      </c>
      <c r="AG139">
        <v>0</v>
      </c>
      <c r="AH139">
        <v>0</v>
      </c>
      <c r="AJ139">
        <v>1</v>
      </c>
      <c r="AL139">
        <v>1</v>
      </c>
      <c r="AN139">
        <v>1</v>
      </c>
      <c r="AO139">
        <v>1</v>
      </c>
      <c r="AP139">
        <v>2</v>
      </c>
      <c r="AQ139">
        <v>2</v>
      </c>
      <c r="AS139">
        <v>2</v>
      </c>
      <c r="AT139">
        <v>1</v>
      </c>
      <c r="AU139">
        <v>1</v>
      </c>
      <c r="AV139">
        <v>1</v>
      </c>
      <c r="AW139">
        <v>0</v>
      </c>
      <c r="AX139">
        <v>0</v>
      </c>
      <c r="AY139">
        <v>0</v>
      </c>
      <c r="AZ139">
        <v>1</v>
      </c>
      <c r="BA139">
        <v>0</v>
      </c>
      <c r="BC139">
        <v>0</v>
      </c>
      <c r="BD139">
        <v>0</v>
      </c>
      <c r="BE139">
        <v>0</v>
      </c>
      <c r="BF139">
        <v>0</v>
      </c>
      <c r="BG139">
        <v>0</v>
      </c>
      <c r="BH139">
        <v>0</v>
      </c>
      <c r="BI139">
        <v>0</v>
      </c>
      <c r="BJ139">
        <v>0</v>
      </c>
      <c r="BK139">
        <v>0</v>
      </c>
      <c r="BL139">
        <v>0</v>
      </c>
      <c r="BM139">
        <v>0</v>
      </c>
      <c r="BN139">
        <v>0</v>
      </c>
      <c r="BO139">
        <v>0</v>
      </c>
      <c r="BP139">
        <v>0</v>
      </c>
      <c r="BQ139">
        <v>1</v>
      </c>
      <c r="BR139">
        <v>0</v>
      </c>
      <c r="BS139">
        <v>0</v>
      </c>
      <c r="BU139">
        <v>15</v>
      </c>
      <c r="BV139">
        <v>4</v>
      </c>
      <c r="BX139">
        <v>5</v>
      </c>
      <c r="BY139">
        <v>5</v>
      </c>
      <c r="DI139">
        <v>0</v>
      </c>
      <c r="DJ139">
        <v>0</v>
      </c>
      <c r="DK139">
        <v>0</v>
      </c>
      <c r="DL139">
        <v>0</v>
      </c>
      <c r="DM139">
        <v>1</v>
      </c>
      <c r="DN139">
        <v>1</v>
      </c>
      <c r="DO139">
        <v>0</v>
      </c>
      <c r="DP139">
        <v>0</v>
      </c>
      <c r="DQ139">
        <v>0</v>
      </c>
      <c r="DR139">
        <v>0</v>
      </c>
      <c r="DT139">
        <v>0</v>
      </c>
      <c r="DU139">
        <v>1</v>
      </c>
      <c r="DV139">
        <v>0</v>
      </c>
      <c r="DW139">
        <v>1</v>
      </c>
      <c r="DX139">
        <v>1</v>
      </c>
      <c r="DY139">
        <v>0</v>
      </c>
      <c r="DZ139">
        <v>0</v>
      </c>
      <c r="EA139">
        <v>1</v>
      </c>
      <c r="EB139">
        <v>0</v>
      </c>
      <c r="EC139">
        <v>1</v>
      </c>
      <c r="ED139">
        <v>1</v>
      </c>
      <c r="EE139">
        <v>0</v>
      </c>
      <c r="EF139">
        <v>0</v>
      </c>
      <c r="EI139" t="s">
        <v>794</v>
      </c>
      <c r="EJ139">
        <v>0</v>
      </c>
      <c r="EK139">
        <v>1</v>
      </c>
      <c r="EL139">
        <v>0</v>
      </c>
      <c r="EM139">
        <v>0</v>
      </c>
      <c r="EN139">
        <v>0</v>
      </c>
      <c r="EO139">
        <v>0</v>
      </c>
      <c r="EP139">
        <v>0</v>
      </c>
      <c r="EQ139">
        <v>0</v>
      </c>
      <c r="ER139">
        <v>0</v>
      </c>
      <c r="ES139">
        <v>0</v>
      </c>
      <c r="ET139">
        <v>0</v>
      </c>
      <c r="EU139">
        <v>1</v>
      </c>
      <c r="EV139">
        <v>0</v>
      </c>
      <c r="EW139">
        <v>0</v>
      </c>
      <c r="EX139">
        <v>0</v>
      </c>
      <c r="EY139">
        <v>0</v>
      </c>
      <c r="EZ139">
        <v>0</v>
      </c>
      <c r="FA139">
        <v>0</v>
      </c>
      <c r="FB139">
        <v>0</v>
      </c>
      <c r="FC139">
        <v>0</v>
      </c>
      <c r="FD139">
        <v>0</v>
      </c>
      <c r="FE139">
        <v>0</v>
      </c>
      <c r="GJ139" t="s">
        <v>795</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1</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G139">
        <v>0</v>
      </c>
      <c r="IH139">
        <v>0</v>
      </c>
      <c r="II139">
        <v>0</v>
      </c>
      <c r="IJ139">
        <v>0</v>
      </c>
      <c r="IK139">
        <v>0</v>
      </c>
      <c r="IL139">
        <v>0</v>
      </c>
      <c r="IM139">
        <v>0</v>
      </c>
      <c r="IN139">
        <v>0</v>
      </c>
      <c r="IO139">
        <v>0</v>
      </c>
      <c r="IP139">
        <v>0</v>
      </c>
      <c r="IQ139">
        <v>1</v>
      </c>
      <c r="IS139">
        <v>2</v>
      </c>
    </row>
    <row r="140" spans="1:257" x14ac:dyDescent="0.35">
      <c r="A140">
        <v>393107</v>
      </c>
      <c r="C140">
        <v>1</v>
      </c>
      <c r="D140" t="s">
        <v>796</v>
      </c>
      <c r="E140" t="s">
        <v>797</v>
      </c>
      <c r="F140" t="s">
        <v>786</v>
      </c>
      <c r="G140">
        <v>3</v>
      </c>
      <c r="I140">
        <v>1</v>
      </c>
      <c r="J140">
        <v>0</v>
      </c>
      <c r="K140">
        <v>1</v>
      </c>
      <c r="L140">
        <v>0</v>
      </c>
      <c r="M140">
        <v>0</v>
      </c>
      <c r="N140">
        <v>0</v>
      </c>
      <c r="O140">
        <v>1</v>
      </c>
      <c r="P140">
        <v>1</v>
      </c>
      <c r="Q140">
        <v>0</v>
      </c>
      <c r="R140">
        <v>1</v>
      </c>
      <c r="T140">
        <v>1</v>
      </c>
      <c r="U140">
        <v>1</v>
      </c>
      <c r="V140">
        <v>0</v>
      </c>
      <c r="W140">
        <v>2</v>
      </c>
      <c r="X140">
        <v>85</v>
      </c>
      <c r="Z140">
        <v>2</v>
      </c>
      <c r="AA140">
        <v>85</v>
      </c>
      <c r="AC140">
        <v>1</v>
      </c>
      <c r="AD140">
        <v>0</v>
      </c>
      <c r="AE140">
        <v>0</v>
      </c>
      <c r="AF140">
        <v>0</v>
      </c>
      <c r="AG140">
        <v>0</v>
      </c>
      <c r="AH140">
        <v>0</v>
      </c>
      <c r="AJ140">
        <v>1</v>
      </c>
      <c r="AL140">
        <v>1</v>
      </c>
      <c r="AN140">
        <v>1</v>
      </c>
      <c r="AO140">
        <v>1</v>
      </c>
      <c r="AP140">
        <v>1</v>
      </c>
      <c r="AQ140">
        <v>1</v>
      </c>
      <c r="AR140">
        <v>4</v>
      </c>
      <c r="AS140">
        <v>2</v>
      </c>
      <c r="AT140">
        <v>1</v>
      </c>
      <c r="AU140">
        <v>1</v>
      </c>
      <c r="AV140">
        <v>0</v>
      </c>
      <c r="AW140">
        <v>0</v>
      </c>
      <c r="AX140">
        <v>1</v>
      </c>
      <c r="AY140">
        <v>0</v>
      </c>
      <c r="AZ140">
        <v>0</v>
      </c>
      <c r="BA140">
        <v>0</v>
      </c>
      <c r="BC140">
        <v>1</v>
      </c>
      <c r="BD140">
        <v>0</v>
      </c>
      <c r="BE140">
        <v>1</v>
      </c>
      <c r="BF140">
        <v>0</v>
      </c>
      <c r="BG140">
        <v>1</v>
      </c>
      <c r="BH140">
        <v>0</v>
      </c>
      <c r="BI140">
        <v>1</v>
      </c>
      <c r="BJ140">
        <v>0</v>
      </c>
      <c r="BK140">
        <v>1</v>
      </c>
      <c r="BL140">
        <v>0</v>
      </c>
      <c r="BM140">
        <v>0</v>
      </c>
      <c r="BN140">
        <v>1</v>
      </c>
      <c r="BO140">
        <v>0</v>
      </c>
      <c r="BP140">
        <v>1</v>
      </c>
      <c r="BQ140">
        <v>1</v>
      </c>
      <c r="BR140">
        <v>0</v>
      </c>
      <c r="BS140">
        <v>0</v>
      </c>
      <c r="BU140">
        <v>12</v>
      </c>
      <c r="BV140">
        <v>4</v>
      </c>
      <c r="BX140">
        <v>4</v>
      </c>
      <c r="BY140">
        <v>3</v>
      </c>
      <c r="DI140">
        <v>0</v>
      </c>
      <c r="DJ140">
        <v>0</v>
      </c>
      <c r="DK140">
        <v>1</v>
      </c>
      <c r="DL140">
        <v>0</v>
      </c>
      <c r="DM140">
        <v>0</v>
      </c>
      <c r="DN140">
        <v>0</v>
      </c>
      <c r="DO140">
        <v>0</v>
      </c>
      <c r="DP140">
        <v>0</v>
      </c>
      <c r="DQ140">
        <v>1</v>
      </c>
      <c r="DR140">
        <v>0</v>
      </c>
      <c r="DS140" t="s">
        <v>798</v>
      </c>
      <c r="DT140">
        <v>0</v>
      </c>
      <c r="DU140">
        <v>1</v>
      </c>
      <c r="DV140">
        <v>0</v>
      </c>
      <c r="DW140">
        <v>0</v>
      </c>
      <c r="DX140">
        <v>0</v>
      </c>
      <c r="DY140">
        <v>0</v>
      </c>
      <c r="DZ140">
        <v>0</v>
      </c>
      <c r="EA140">
        <v>0</v>
      </c>
      <c r="EB140">
        <v>0</v>
      </c>
      <c r="EC140">
        <v>0</v>
      </c>
      <c r="ED140">
        <v>0</v>
      </c>
      <c r="EE140">
        <v>1</v>
      </c>
      <c r="EF140">
        <v>0</v>
      </c>
      <c r="EI140" t="s">
        <v>274</v>
      </c>
      <c r="EJ140">
        <v>1</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IE140" t="s">
        <v>799</v>
      </c>
      <c r="IF140">
        <v>12</v>
      </c>
      <c r="IG140">
        <v>1</v>
      </c>
      <c r="IH140">
        <v>1</v>
      </c>
      <c r="II140">
        <v>0</v>
      </c>
      <c r="IJ140">
        <v>1</v>
      </c>
      <c r="IK140">
        <v>0</v>
      </c>
      <c r="IL140">
        <v>0</v>
      </c>
      <c r="IM140">
        <v>0</v>
      </c>
      <c r="IN140">
        <v>0</v>
      </c>
      <c r="IO140">
        <v>0</v>
      </c>
      <c r="IP140">
        <v>0</v>
      </c>
      <c r="IQ140">
        <v>0</v>
      </c>
      <c r="IS140">
        <v>1</v>
      </c>
      <c r="IT140">
        <v>1</v>
      </c>
      <c r="IU140">
        <v>0</v>
      </c>
      <c r="IV140">
        <v>0</v>
      </c>
      <c r="IW140">
        <v>0</v>
      </c>
    </row>
    <row r="141" spans="1:257" x14ac:dyDescent="0.35">
      <c r="A141">
        <v>362630</v>
      </c>
      <c r="C141">
        <v>1</v>
      </c>
      <c r="D141" t="s">
        <v>800</v>
      </c>
      <c r="E141" t="s">
        <v>801</v>
      </c>
      <c r="F141" t="s">
        <v>802</v>
      </c>
      <c r="G141">
        <v>3</v>
      </c>
      <c r="I141">
        <v>0</v>
      </c>
      <c r="J141">
        <v>0</v>
      </c>
      <c r="K141">
        <v>1</v>
      </c>
      <c r="L141">
        <v>0</v>
      </c>
      <c r="M141">
        <v>0</v>
      </c>
      <c r="N141">
        <v>0</v>
      </c>
      <c r="O141">
        <v>0</v>
      </c>
      <c r="P141">
        <v>0</v>
      </c>
      <c r="Q141">
        <v>0</v>
      </c>
      <c r="R141">
        <v>1</v>
      </c>
      <c r="T141">
        <v>1</v>
      </c>
      <c r="U141">
        <v>1</v>
      </c>
      <c r="V141">
        <v>1</v>
      </c>
      <c r="W141">
        <v>4</v>
      </c>
      <c r="X141">
        <v>32</v>
      </c>
      <c r="Y141">
        <v>6</v>
      </c>
      <c r="Z141">
        <v>4</v>
      </c>
      <c r="AA141">
        <v>32</v>
      </c>
      <c r="AB141">
        <v>6</v>
      </c>
      <c r="AC141">
        <v>1</v>
      </c>
      <c r="AD141">
        <v>1</v>
      </c>
      <c r="AE141">
        <v>0</v>
      </c>
      <c r="AF141">
        <v>0</v>
      </c>
      <c r="AG141">
        <v>0</v>
      </c>
      <c r="AH141">
        <v>0</v>
      </c>
      <c r="AJ141">
        <v>1</v>
      </c>
      <c r="AL141">
        <v>1</v>
      </c>
      <c r="AN141">
        <v>1</v>
      </c>
      <c r="AO141">
        <v>1</v>
      </c>
      <c r="AP141">
        <v>4</v>
      </c>
      <c r="AQ141">
        <v>1</v>
      </c>
      <c r="AR141">
        <v>4</v>
      </c>
      <c r="AS141">
        <v>1</v>
      </c>
      <c r="AT141">
        <v>1</v>
      </c>
      <c r="AU141">
        <v>2</v>
      </c>
      <c r="BC141">
        <v>0</v>
      </c>
      <c r="BD141">
        <v>0</v>
      </c>
      <c r="BE141">
        <v>1</v>
      </c>
      <c r="BF141">
        <v>1</v>
      </c>
      <c r="BG141">
        <v>0</v>
      </c>
      <c r="BH141">
        <v>0</v>
      </c>
      <c r="BI141">
        <v>0</v>
      </c>
      <c r="BJ141">
        <v>0</v>
      </c>
      <c r="BK141">
        <v>0</v>
      </c>
      <c r="BL141">
        <v>0</v>
      </c>
      <c r="BM141">
        <v>0</v>
      </c>
      <c r="BN141">
        <v>0</v>
      </c>
      <c r="BO141">
        <v>0</v>
      </c>
      <c r="BP141">
        <v>1</v>
      </c>
      <c r="BQ141">
        <v>0</v>
      </c>
      <c r="BR141">
        <v>1</v>
      </c>
      <c r="BS141">
        <v>0</v>
      </c>
      <c r="BU141">
        <v>14</v>
      </c>
      <c r="BV141">
        <v>4</v>
      </c>
      <c r="BX141">
        <v>5</v>
      </c>
      <c r="BY141">
        <v>5</v>
      </c>
      <c r="DI141">
        <v>1</v>
      </c>
      <c r="DJ141">
        <v>0</v>
      </c>
      <c r="DK141">
        <v>1</v>
      </c>
      <c r="DL141">
        <v>0</v>
      </c>
      <c r="DM141">
        <v>1</v>
      </c>
      <c r="DN141">
        <v>0</v>
      </c>
      <c r="DO141">
        <v>0</v>
      </c>
      <c r="DP141">
        <v>0</v>
      </c>
      <c r="DQ141">
        <v>0</v>
      </c>
      <c r="DR141">
        <v>0</v>
      </c>
      <c r="DT141">
        <v>0</v>
      </c>
      <c r="DU141">
        <v>1</v>
      </c>
      <c r="DV141">
        <v>0</v>
      </c>
      <c r="DW141">
        <v>1</v>
      </c>
      <c r="DX141">
        <v>1</v>
      </c>
      <c r="DY141">
        <v>0</v>
      </c>
      <c r="DZ141">
        <v>0</v>
      </c>
      <c r="EA141">
        <v>1</v>
      </c>
      <c r="EB141">
        <v>1</v>
      </c>
      <c r="EC141">
        <v>0</v>
      </c>
      <c r="ED141">
        <v>1</v>
      </c>
      <c r="EE141">
        <v>0</v>
      </c>
      <c r="EF141">
        <v>0</v>
      </c>
      <c r="EI141" t="s">
        <v>803</v>
      </c>
      <c r="EJ141">
        <v>1</v>
      </c>
      <c r="EK141">
        <v>1</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IG141">
        <v>1</v>
      </c>
      <c r="IH141">
        <v>0</v>
      </c>
      <c r="II141">
        <v>1</v>
      </c>
      <c r="IJ141">
        <v>1</v>
      </c>
      <c r="IK141">
        <v>0</v>
      </c>
      <c r="IL141">
        <v>0</v>
      </c>
      <c r="IM141">
        <v>0</v>
      </c>
      <c r="IN141">
        <v>0</v>
      </c>
      <c r="IO141">
        <v>0</v>
      </c>
      <c r="IP141">
        <v>0</v>
      </c>
      <c r="IQ141">
        <v>0</v>
      </c>
      <c r="IS141">
        <v>1</v>
      </c>
      <c r="IT141">
        <v>1</v>
      </c>
      <c r="IU141">
        <v>0</v>
      </c>
      <c r="IV141">
        <v>0</v>
      </c>
      <c r="IW141">
        <v>0</v>
      </c>
    </row>
    <row r="142" spans="1:257" x14ac:dyDescent="0.35">
      <c r="A142">
        <v>376621</v>
      </c>
      <c r="C142">
        <v>1</v>
      </c>
      <c r="D142" t="s">
        <v>804</v>
      </c>
      <c r="E142" t="s">
        <v>805</v>
      </c>
      <c r="F142" t="s">
        <v>802</v>
      </c>
      <c r="G142">
        <v>13</v>
      </c>
      <c r="I142">
        <v>0</v>
      </c>
      <c r="J142">
        <v>0</v>
      </c>
      <c r="K142">
        <v>0</v>
      </c>
      <c r="L142">
        <v>0</v>
      </c>
      <c r="M142">
        <v>0</v>
      </c>
      <c r="N142">
        <v>0</v>
      </c>
      <c r="O142">
        <v>0</v>
      </c>
      <c r="P142">
        <v>1</v>
      </c>
      <c r="Q142">
        <v>0</v>
      </c>
      <c r="R142">
        <v>1</v>
      </c>
      <c r="T142">
        <v>1</v>
      </c>
      <c r="U142">
        <v>1</v>
      </c>
      <c r="V142">
        <v>1</v>
      </c>
      <c r="W142">
        <v>4</v>
      </c>
      <c r="X142">
        <v>9</v>
      </c>
      <c r="Y142">
        <v>0</v>
      </c>
      <c r="Z142">
        <v>4</v>
      </c>
      <c r="AA142">
        <v>9</v>
      </c>
      <c r="AC142">
        <v>1</v>
      </c>
      <c r="AD142">
        <v>1</v>
      </c>
      <c r="AE142">
        <v>0</v>
      </c>
      <c r="AF142">
        <v>0</v>
      </c>
      <c r="AG142">
        <v>0</v>
      </c>
      <c r="AH142">
        <v>0</v>
      </c>
      <c r="AJ142">
        <v>1</v>
      </c>
      <c r="AL142">
        <v>1</v>
      </c>
      <c r="AN142">
        <v>1</v>
      </c>
      <c r="AO142">
        <v>1</v>
      </c>
      <c r="AP142">
        <v>4</v>
      </c>
      <c r="AQ142">
        <v>1</v>
      </c>
      <c r="AR142">
        <v>4</v>
      </c>
      <c r="AS142">
        <v>2</v>
      </c>
      <c r="AT142">
        <v>1</v>
      </c>
      <c r="AU142">
        <v>2</v>
      </c>
      <c r="BC142">
        <v>1</v>
      </c>
      <c r="BD142">
        <v>0</v>
      </c>
      <c r="BE142">
        <v>1</v>
      </c>
      <c r="BF142">
        <v>1</v>
      </c>
      <c r="BG142">
        <v>1</v>
      </c>
      <c r="BH142">
        <v>0</v>
      </c>
      <c r="BI142">
        <v>0</v>
      </c>
      <c r="BJ142">
        <v>0</v>
      </c>
      <c r="BK142">
        <v>1</v>
      </c>
      <c r="BL142">
        <v>0</v>
      </c>
      <c r="BM142">
        <v>0</v>
      </c>
      <c r="BN142">
        <v>0</v>
      </c>
      <c r="BO142">
        <v>0</v>
      </c>
      <c r="BP142">
        <v>1</v>
      </c>
      <c r="BQ142">
        <v>0</v>
      </c>
      <c r="BR142">
        <v>1</v>
      </c>
      <c r="BS142">
        <v>0</v>
      </c>
      <c r="BU142">
        <v>16</v>
      </c>
      <c r="BV142">
        <v>4</v>
      </c>
      <c r="BX142">
        <v>5</v>
      </c>
      <c r="BY142">
        <v>4</v>
      </c>
      <c r="DI142">
        <v>1</v>
      </c>
      <c r="DJ142">
        <v>1</v>
      </c>
      <c r="DK142">
        <v>1</v>
      </c>
      <c r="DL142">
        <v>1</v>
      </c>
      <c r="DM142">
        <v>1</v>
      </c>
      <c r="DN142">
        <v>1</v>
      </c>
      <c r="DO142">
        <v>0</v>
      </c>
      <c r="DP142">
        <v>1</v>
      </c>
      <c r="DQ142">
        <v>0</v>
      </c>
      <c r="DR142">
        <v>0</v>
      </c>
      <c r="DT142">
        <v>0</v>
      </c>
      <c r="DU142">
        <v>1</v>
      </c>
      <c r="DV142">
        <v>1</v>
      </c>
      <c r="DW142">
        <v>0</v>
      </c>
      <c r="DX142">
        <v>1</v>
      </c>
      <c r="DY142">
        <v>0</v>
      </c>
      <c r="DZ142">
        <v>0</v>
      </c>
      <c r="EA142">
        <v>1</v>
      </c>
      <c r="EB142">
        <v>0</v>
      </c>
      <c r="EC142">
        <v>0</v>
      </c>
      <c r="ED142">
        <v>0</v>
      </c>
      <c r="EE142">
        <v>0</v>
      </c>
      <c r="EF142">
        <v>0</v>
      </c>
      <c r="EI142" t="s">
        <v>274</v>
      </c>
      <c r="EJ142">
        <v>1</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t="s">
        <v>300</v>
      </c>
      <c r="FG142">
        <v>1</v>
      </c>
      <c r="FH142">
        <v>0</v>
      </c>
      <c r="FI142">
        <v>0</v>
      </c>
      <c r="FJ142">
        <v>0</v>
      </c>
      <c r="FK142">
        <v>0</v>
      </c>
      <c r="FL142">
        <v>0</v>
      </c>
      <c r="FM142">
        <v>0</v>
      </c>
      <c r="FN142">
        <v>0</v>
      </c>
      <c r="FO142">
        <v>0</v>
      </c>
      <c r="FP142">
        <v>0</v>
      </c>
      <c r="FQ142">
        <v>0</v>
      </c>
      <c r="FR142">
        <v>0</v>
      </c>
      <c r="FS142">
        <v>0</v>
      </c>
      <c r="FT142">
        <v>0</v>
      </c>
      <c r="FU142">
        <v>0</v>
      </c>
      <c r="FV142">
        <v>0</v>
      </c>
      <c r="FW142">
        <v>0</v>
      </c>
      <c r="FX142">
        <v>0</v>
      </c>
      <c r="FY142">
        <v>0</v>
      </c>
      <c r="IG142">
        <v>1</v>
      </c>
      <c r="IH142">
        <v>0</v>
      </c>
      <c r="II142">
        <v>1</v>
      </c>
      <c r="IJ142">
        <v>1</v>
      </c>
      <c r="IK142">
        <v>0</v>
      </c>
      <c r="IL142">
        <v>0</v>
      </c>
      <c r="IM142">
        <v>0</v>
      </c>
      <c r="IN142">
        <v>0</v>
      </c>
      <c r="IO142">
        <v>0</v>
      </c>
      <c r="IP142">
        <v>0</v>
      </c>
      <c r="IQ142">
        <v>0</v>
      </c>
      <c r="IS142">
        <v>1</v>
      </c>
      <c r="IT142">
        <v>1</v>
      </c>
      <c r="IU142">
        <v>0</v>
      </c>
      <c r="IV142">
        <v>0</v>
      </c>
      <c r="IW142">
        <v>0</v>
      </c>
    </row>
    <row r="143" spans="1:257" x14ac:dyDescent="0.35">
      <c r="A143">
        <v>397145</v>
      </c>
      <c r="C143">
        <v>1</v>
      </c>
      <c r="D143" t="s">
        <v>806</v>
      </c>
      <c r="E143" t="s">
        <v>807</v>
      </c>
      <c r="F143" t="s">
        <v>808</v>
      </c>
      <c r="G143">
        <v>3</v>
      </c>
      <c r="I143">
        <v>1</v>
      </c>
      <c r="J143">
        <v>0</v>
      </c>
      <c r="K143">
        <v>1</v>
      </c>
      <c r="L143">
        <v>0</v>
      </c>
      <c r="M143">
        <v>0</v>
      </c>
      <c r="N143">
        <v>0</v>
      </c>
      <c r="O143">
        <v>0</v>
      </c>
      <c r="P143">
        <v>1</v>
      </c>
      <c r="Q143">
        <v>0</v>
      </c>
      <c r="R143">
        <v>1</v>
      </c>
      <c r="T143">
        <v>1</v>
      </c>
      <c r="U143">
        <v>0</v>
      </c>
      <c r="V143">
        <v>1</v>
      </c>
      <c r="W143">
        <v>5</v>
      </c>
      <c r="Y143">
        <v>1</v>
      </c>
      <c r="Z143">
        <v>5</v>
      </c>
      <c r="AB143">
        <v>1</v>
      </c>
      <c r="AC143">
        <v>1</v>
      </c>
      <c r="AD143">
        <v>0</v>
      </c>
      <c r="AE143">
        <v>0</v>
      </c>
      <c r="AF143">
        <v>0</v>
      </c>
      <c r="AG143">
        <v>0</v>
      </c>
      <c r="AH143">
        <v>0</v>
      </c>
      <c r="AJ143">
        <v>1</v>
      </c>
      <c r="AL143">
        <v>1</v>
      </c>
      <c r="AN143">
        <v>1</v>
      </c>
      <c r="AO143">
        <v>1</v>
      </c>
      <c r="AP143">
        <v>2</v>
      </c>
      <c r="AQ143">
        <v>2</v>
      </c>
      <c r="AS143">
        <v>2</v>
      </c>
      <c r="AT143">
        <v>1</v>
      </c>
      <c r="AU143">
        <v>2</v>
      </c>
      <c r="BC143">
        <v>1</v>
      </c>
      <c r="BD143">
        <v>0</v>
      </c>
      <c r="BE143">
        <v>1</v>
      </c>
      <c r="BF143">
        <v>1</v>
      </c>
      <c r="BG143">
        <v>0</v>
      </c>
      <c r="BH143">
        <v>0</v>
      </c>
      <c r="BI143">
        <v>0</v>
      </c>
      <c r="BJ143">
        <v>0</v>
      </c>
      <c r="BK143">
        <v>1</v>
      </c>
      <c r="BL143">
        <v>0</v>
      </c>
      <c r="BM143">
        <v>1</v>
      </c>
      <c r="BN143">
        <v>1</v>
      </c>
      <c r="BO143">
        <v>1</v>
      </c>
      <c r="BP143">
        <v>1</v>
      </c>
      <c r="BQ143">
        <v>0</v>
      </c>
      <c r="BR143">
        <v>0</v>
      </c>
      <c r="BS143">
        <v>0</v>
      </c>
      <c r="BU143">
        <v>4</v>
      </c>
      <c r="BV143">
        <v>4</v>
      </c>
      <c r="BX143">
        <v>2</v>
      </c>
      <c r="BY143">
        <v>3</v>
      </c>
      <c r="DI143">
        <v>0</v>
      </c>
      <c r="DJ143">
        <v>1</v>
      </c>
      <c r="DK143">
        <v>1</v>
      </c>
      <c r="DL143">
        <v>0</v>
      </c>
      <c r="DM143">
        <v>0</v>
      </c>
      <c r="DN143">
        <v>1</v>
      </c>
      <c r="DO143">
        <v>0</v>
      </c>
      <c r="DP143">
        <v>0</v>
      </c>
      <c r="DQ143">
        <v>0</v>
      </c>
      <c r="DR143">
        <v>0</v>
      </c>
      <c r="DT143">
        <v>0</v>
      </c>
      <c r="DU143">
        <v>1</v>
      </c>
      <c r="DV143">
        <v>0</v>
      </c>
      <c r="DW143">
        <v>1</v>
      </c>
      <c r="DX143">
        <v>0</v>
      </c>
      <c r="DY143">
        <v>0</v>
      </c>
      <c r="DZ143">
        <v>0</v>
      </c>
      <c r="EA143">
        <v>1</v>
      </c>
      <c r="EB143">
        <v>0</v>
      </c>
      <c r="EC143">
        <v>0</v>
      </c>
      <c r="ED143">
        <v>0</v>
      </c>
      <c r="EE143">
        <v>0</v>
      </c>
      <c r="EF143">
        <v>0</v>
      </c>
      <c r="EI143" t="s">
        <v>809</v>
      </c>
      <c r="EJ143">
        <v>0</v>
      </c>
      <c r="EK143">
        <v>0</v>
      </c>
      <c r="EL143">
        <v>0</v>
      </c>
      <c r="EM143">
        <v>0</v>
      </c>
      <c r="EN143">
        <v>0</v>
      </c>
      <c r="EO143">
        <v>0</v>
      </c>
      <c r="EP143">
        <v>0</v>
      </c>
      <c r="EQ143">
        <v>0</v>
      </c>
      <c r="ER143">
        <v>0</v>
      </c>
      <c r="ES143">
        <v>0</v>
      </c>
      <c r="ET143">
        <v>0</v>
      </c>
      <c r="EU143">
        <v>0</v>
      </c>
      <c r="EV143">
        <v>0</v>
      </c>
      <c r="EW143">
        <v>0</v>
      </c>
      <c r="EX143">
        <v>0</v>
      </c>
      <c r="EY143">
        <v>1</v>
      </c>
      <c r="EZ143">
        <v>0</v>
      </c>
      <c r="FA143">
        <v>0</v>
      </c>
      <c r="FB143">
        <v>0</v>
      </c>
      <c r="FC143">
        <v>0</v>
      </c>
      <c r="FD143">
        <v>0</v>
      </c>
      <c r="FE143">
        <v>0</v>
      </c>
      <c r="IG143">
        <v>1</v>
      </c>
      <c r="IH143">
        <v>0</v>
      </c>
      <c r="II143">
        <v>0</v>
      </c>
      <c r="IJ143">
        <v>1</v>
      </c>
      <c r="IK143">
        <v>0</v>
      </c>
      <c r="IL143">
        <v>0</v>
      </c>
      <c r="IM143">
        <v>0</v>
      </c>
      <c r="IN143">
        <v>1</v>
      </c>
      <c r="IO143">
        <v>0</v>
      </c>
      <c r="IP143">
        <v>0</v>
      </c>
      <c r="IQ143">
        <v>0</v>
      </c>
      <c r="IS143">
        <v>2</v>
      </c>
    </row>
    <row r="144" spans="1:257" x14ac:dyDescent="0.35">
      <c r="A144">
        <v>405512</v>
      </c>
      <c r="C144">
        <v>1</v>
      </c>
      <c r="D144" t="s">
        <v>810</v>
      </c>
      <c r="E144" t="s">
        <v>811</v>
      </c>
      <c r="F144" t="s">
        <v>812</v>
      </c>
      <c r="G144">
        <v>13</v>
      </c>
      <c r="I144">
        <v>0</v>
      </c>
      <c r="J144">
        <v>0</v>
      </c>
      <c r="K144">
        <v>0</v>
      </c>
      <c r="L144">
        <v>0</v>
      </c>
      <c r="M144">
        <v>0</v>
      </c>
      <c r="N144">
        <v>0</v>
      </c>
      <c r="O144">
        <v>0</v>
      </c>
      <c r="P144">
        <v>1</v>
      </c>
      <c r="Q144">
        <v>0</v>
      </c>
      <c r="R144">
        <v>1</v>
      </c>
      <c r="T144">
        <v>0</v>
      </c>
      <c r="U144">
        <v>1</v>
      </c>
      <c r="V144">
        <v>0</v>
      </c>
      <c r="X144">
        <v>3</v>
      </c>
      <c r="AA144">
        <v>3</v>
      </c>
      <c r="AC144">
        <v>1</v>
      </c>
      <c r="AD144">
        <v>0</v>
      </c>
      <c r="AE144">
        <v>0</v>
      </c>
      <c r="AF144">
        <v>0</v>
      </c>
      <c r="AG144">
        <v>0</v>
      </c>
      <c r="AH144">
        <v>0</v>
      </c>
      <c r="AJ144">
        <v>1</v>
      </c>
      <c r="AL144">
        <v>1</v>
      </c>
      <c r="AN144">
        <v>3</v>
      </c>
      <c r="AQ144">
        <v>2</v>
      </c>
      <c r="AS144">
        <v>1</v>
      </c>
      <c r="AT144">
        <v>1</v>
      </c>
      <c r="AU144">
        <v>1</v>
      </c>
      <c r="AV144">
        <v>1</v>
      </c>
      <c r="AW144">
        <v>0</v>
      </c>
      <c r="AX144">
        <v>0</v>
      </c>
      <c r="AY144">
        <v>0</v>
      </c>
      <c r="AZ144">
        <v>0</v>
      </c>
      <c r="BA144">
        <v>0</v>
      </c>
      <c r="BC144">
        <v>0</v>
      </c>
      <c r="BD144">
        <v>0</v>
      </c>
      <c r="BE144">
        <v>0</v>
      </c>
      <c r="BF144">
        <v>0</v>
      </c>
      <c r="BG144">
        <v>0</v>
      </c>
      <c r="BH144">
        <v>1</v>
      </c>
      <c r="BI144">
        <v>0</v>
      </c>
      <c r="BJ144">
        <v>0</v>
      </c>
      <c r="BK144">
        <v>0</v>
      </c>
      <c r="BL144">
        <v>0</v>
      </c>
      <c r="BM144">
        <v>0</v>
      </c>
      <c r="BN144">
        <v>1</v>
      </c>
      <c r="BO144">
        <v>0</v>
      </c>
      <c r="BP144">
        <v>1</v>
      </c>
      <c r="BQ144">
        <v>0</v>
      </c>
      <c r="BR144">
        <v>0</v>
      </c>
      <c r="BS144">
        <v>0</v>
      </c>
      <c r="BU144">
        <v>8</v>
      </c>
      <c r="BV144">
        <v>4</v>
      </c>
      <c r="BX144">
        <v>1</v>
      </c>
      <c r="BY144">
        <v>4</v>
      </c>
      <c r="DI144">
        <v>0</v>
      </c>
      <c r="DJ144">
        <v>1</v>
      </c>
      <c r="DK144">
        <v>0</v>
      </c>
      <c r="DL144">
        <v>0</v>
      </c>
      <c r="DM144">
        <v>0</v>
      </c>
      <c r="DN144">
        <v>0</v>
      </c>
      <c r="DO144">
        <v>0</v>
      </c>
      <c r="DP144">
        <v>0</v>
      </c>
      <c r="DQ144">
        <v>0</v>
      </c>
      <c r="DR144">
        <v>0</v>
      </c>
    </row>
    <row r="145" spans="1:258" x14ac:dyDescent="0.35">
      <c r="A145">
        <v>405200</v>
      </c>
      <c r="C145">
        <v>1</v>
      </c>
      <c r="D145" t="s">
        <v>813</v>
      </c>
      <c r="E145" t="s">
        <v>814</v>
      </c>
      <c r="F145" t="s">
        <v>815</v>
      </c>
      <c r="G145">
        <v>3</v>
      </c>
      <c r="I145">
        <v>0</v>
      </c>
      <c r="J145">
        <v>0</v>
      </c>
      <c r="K145">
        <v>0</v>
      </c>
      <c r="L145">
        <v>0</v>
      </c>
      <c r="M145">
        <v>0</v>
      </c>
      <c r="N145">
        <v>1</v>
      </c>
      <c r="O145">
        <v>0</v>
      </c>
      <c r="P145">
        <v>0</v>
      </c>
      <c r="Q145">
        <v>0</v>
      </c>
      <c r="R145">
        <v>3</v>
      </c>
      <c r="S145" t="s">
        <v>816</v>
      </c>
      <c r="T145">
        <v>1</v>
      </c>
      <c r="U145">
        <v>0</v>
      </c>
      <c r="V145">
        <v>0</v>
      </c>
      <c r="W145">
        <v>11</v>
      </c>
      <c r="Z145">
        <v>11</v>
      </c>
      <c r="AC145">
        <v>0</v>
      </c>
      <c r="AD145">
        <v>1</v>
      </c>
      <c r="AE145">
        <v>0</v>
      </c>
      <c r="AF145">
        <v>0</v>
      </c>
      <c r="AG145">
        <v>0</v>
      </c>
      <c r="AH145">
        <v>0</v>
      </c>
      <c r="AJ145">
        <v>2</v>
      </c>
      <c r="AL145">
        <v>1</v>
      </c>
      <c r="AN145">
        <v>1</v>
      </c>
      <c r="AO145">
        <v>1</v>
      </c>
      <c r="AP145">
        <v>4</v>
      </c>
      <c r="AQ145">
        <v>2</v>
      </c>
      <c r="AS145">
        <v>2</v>
      </c>
      <c r="AT145">
        <v>1</v>
      </c>
      <c r="AU145">
        <v>2</v>
      </c>
      <c r="BC145">
        <v>0</v>
      </c>
      <c r="BD145">
        <v>0</v>
      </c>
      <c r="BE145">
        <v>0</v>
      </c>
      <c r="BF145">
        <v>0</v>
      </c>
      <c r="BG145">
        <v>0</v>
      </c>
      <c r="BH145">
        <v>0</v>
      </c>
      <c r="BI145">
        <v>0</v>
      </c>
      <c r="BJ145">
        <v>0</v>
      </c>
      <c r="BK145">
        <v>0</v>
      </c>
      <c r="BL145">
        <v>0</v>
      </c>
      <c r="BM145">
        <v>0</v>
      </c>
      <c r="BN145">
        <v>0</v>
      </c>
      <c r="BO145">
        <v>0</v>
      </c>
      <c r="BP145">
        <v>0</v>
      </c>
      <c r="BQ145">
        <v>0</v>
      </c>
      <c r="BR145">
        <v>1</v>
      </c>
      <c r="BS145">
        <v>0</v>
      </c>
      <c r="BU145">
        <v>16</v>
      </c>
      <c r="BV145">
        <v>4</v>
      </c>
      <c r="BX145">
        <v>5</v>
      </c>
      <c r="BY145">
        <v>5</v>
      </c>
      <c r="DI145">
        <v>0</v>
      </c>
      <c r="DJ145">
        <v>1</v>
      </c>
      <c r="DK145">
        <v>0</v>
      </c>
      <c r="DL145">
        <v>0</v>
      </c>
      <c r="DM145">
        <v>0</v>
      </c>
      <c r="DN145">
        <v>0</v>
      </c>
      <c r="DO145">
        <v>0</v>
      </c>
      <c r="DP145">
        <v>1</v>
      </c>
      <c r="DQ145">
        <v>0</v>
      </c>
      <c r="DR145">
        <v>0</v>
      </c>
      <c r="DT145">
        <v>0</v>
      </c>
      <c r="DU145">
        <v>1</v>
      </c>
      <c r="DV145">
        <v>0</v>
      </c>
      <c r="DW145">
        <v>0</v>
      </c>
      <c r="DX145">
        <v>0</v>
      </c>
      <c r="DY145">
        <v>0</v>
      </c>
      <c r="DZ145">
        <v>0</v>
      </c>
      <c r="EA145">
        <v>0</v>
      </c>
      <c r="EB145">
        <v>1</v>
      </c>
      <c r="EC145">
        <v>0</v>
      </c>
      <c r="ED145">
        <v>1</v>
      </c>
      <c r="EE145">
        <v>0</v>
      </c>
      <c r="EF145">
        <v>0</v>
      </c>
      <c r="EI145" t="s">
        <v>274</v>
      </c>
      <c r="EJ145">
        <v>1</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IG145">
        <v>1</v>
      </c>
      <c r="IH145">
        <v>0</v>
      </c>
      <c r="II145">
        <v>0</v>
      </c>
      <c r="IJ145">
        <v>0</v>
      </c>
      <c r="IK145">
        <v>1</v>
      </c>
      <c r="IL145">
        <v>0</v>
      </c>
      <c r="IM145">
        <v>0</v>
      </c>
      <c r="IN145">
        <v>1</v>
      </c>
      <c r="IO145">
        <v>0</v>
      </c>
      <c r="IP145">
        <v>0</v>
      </c>
      <c r="IQ145">
        <v>0</v>
      </c>
      <c r="IS145">
        <v>2</v>
      </c>
    </row>
    <row r="146" spans="1:258" x14ac:dyDescent="0.35">
      <c r="A146">
        <v>405199</v>
      </c>
      <c r="C146">
        <v>1</v>
      </c>
      <c r="D146" t="s">
        <v>817</v>
      </c>
      <c r="E146" t="s">
        <v>818</v>
      </c>
      <c r="F146" t="s">
        <v>815</v>
      </c>
      <c r="G146">
        <v>3</v>
      </c>
      <c r="I146">
        <v>1</v>
      </c>
      <c r="J146">
        <v>0</v>
      </c>
      <c r="K146">
        <v>1</v>
      </c>
      <c r="L146">
        <v>0</v>
      </c>
      <c r="M146">
        <v>0</v>
      </c>
      <c r="N146">
        <v>0</v>
      </c>
      <c r="O146">
        <v>0</v>
      </c>
      <c r="P146">
        <v>1</v>
      </c>
      <c r="Q146">
        <v>0</v>
      </c>
      <c r="R146">
        <v>1</v>
      </c>
      <c r="T146">
        <v>1</v>
      </c>
      <c r="U146">
        <v>1</v>
      </c>
      <c r="V146">
        <v>0</v>
      </c>
      <c r="W146">
        <v>4</v>
      </c>
      <c r="X146">
        <v>7</v>
      </c>
      <c r="Z146">
        <v>4</v>
      </c>
      <c r="AA146">
        <v>7</v>
      </c>
      <c r="AC146">
        <v>1</v>
      </c>
      <c r="AD146">
        <v>0</v>
      </c>
      <c r="AE146">
        <v>0</v>
      </c>
      <c r="AF146">
        <v>0</v>
      </c>
      <c r="AG146">
        <v>0</v>
      </c>
      <c r="AH146">
        <v>0</v>
      </c>
      <c r="AJ146">
        <v>2</v>
      </c>
      <c r="AL146">
        <v>1</v>
      </c>
      <c r="AN146">
        <v>1</v>
      </c>
      <c r="AO146">
        <v>1</v>
      </c>
      <c r="AP146">
        <v>4</v>
      </c>
      <c r="AQ146">
        <v>1</v>
      </c>
      <c r="AR146">
        <v>6</v>
      </c>
      <c r="AS146">
        <v>1</v>
      </c>
      <c r="AT146">
        <v>1</v>
      </c>
      <c r="AU146">
        <v>2</v>
      </c>
      <c r="BC146">
        <v>0</v>
      </c>
      <c r="BD146">
        <v>0</v>
      </c>
      <c r="BE146">
        <v>0</v>
      </c>
      <c r="BF146">
        <v>0</v>
      </c>
      <c r="BG146">
        <v>0</v>
      </c>
      <c r="BH146">
        <v>0</v>
      </c>
      <c r="BI146">
        <v>0</v>
      </c>
      <c r="BJ146">
        <v>0</v>
      </c>
      <c r="BK146">
        <v>0</v>
      </c>
      <c r="BL146">
        <v>0</v>
      </c>
      <c r="BM146">
        <v>0</v>
      </c>
      <c r="BN146">
        <v>0</v>
      </c>
      <c r="BO146">
        <v>0</v>
      </c>
      <c r="BP146">
        <v>0</v>
      </c>
      <c r="BQ146">
        <v>0</v>
      </c>
      <c r="BR146">
        <v>1</v>
      </c>
      <c r="BS146">
        <v>0</v>
      </c>
      <c r="BU146">
        <v>16</v>
      </c>
      <c r="BV146">
        <v>4</v>
      </c>
      <c r="BX146">
        <v>4</v>
      </c>
      <c r="BY146">
        <v>4</v>
      </c>
      <c r="DI146">
        <v>1</v>
      </c>
      <c r="DJ146">
        <v>1</v>
      </c>
      <c r="DK146">
        <v>0</v>
      </c>
      <c r="DL146">
        <v>1</v>
      </c>
      <c r="DM146">
        <v>0</v>
      </c>
      <c r="DN146">
        <v>0</v>
      </c>
      <c r="DO146">
        <v>0</v>
      </c>
      <c r="DP146">
        <v>0</v>
      </c>
      <c r="DQ146">
        <v>0</v>
      </c>
      <c r="DR146">
        <v>0</v>
      </c>
      <c r="DT146">
        <v>0</v>
      </c>
      <c r="DU146">
        <v>0</v>
      </c>
      <c r="DV146">
        <v>0</v>
      </c>
      <c r="DW146">
        <v>0</v>
      </c>
      <c r="DX146">
        <v>0</v>
      </c>
      <c r="DY146">
        <v>0</v>
      </c>
      <c r="DZ146">
        <v>0</v>
      </c>
      <c r="EA146">
        <v>0</v>
      </c>
      <c r="EB146">
        <v>0</v>
      </c>
      <c r="EC146">
        <v>0</v>
      </c>
      <c r="ED146">
        <v>1</v>
      </c>
      <c r="EE146">
        <v>0</v>
      </c>
      <c r="EF146">
        <v>0</v>
      </c>
      <c r="IG146">
        <v>0</v>
      </c>
      <c r="IH146">
        <v>0</v>
      </c>
      <c r="II146">
        <v>0</v>
      </c>
      <c r="IJ146">
        <v>0</v>
      </c>
      <c r="IK146">
        <v>0</v>
      </c>
      <c r="IL146">
        <v>0</v>
      </c>
      <c r="IM146">
        <v>0</v>
      </c>
      <c r="IN146">
        <v>0</v>
      </c>
      <c r="IO146">
        <v>0</v>
      </c>
      <c r="IP146">
        <v>0</v>
      </c>
      <c r="IQ146">
        <v>1</v>
      </c>
      <c r="IS146">
        <v>2</v>
      </c>
    </row>
    <row r="147" spans="1:258" x14ac:dyDescent="0.35">
      <c r="A147">
        <v>373019</v>
      </c>
      <c r="C147">
        <v>1</v>
      </c>
      <c r="D147" t="s">
        <v>819</v>
      </c>
      <c r="E147" t="s">
        <v>820</v>
      </c>
      <c r="F147" t="s">
        <v>815</v>
      </c>
      <c r="G147">
        <v>11</v>
      </c>
      <c r="I147">
        <v>1</v>
      </c>
      <c r="J147">
        <v>0</v>
      </c>
      <c r="K147">
        <v>0</v>
      </c>
      <c r="L147">
        <v>0</v>
      </c>
      <c r="M147">
        <v>0</v>
      </c>
      <c r="N147">
        <v>1</v>
      </c>
      <c r="O147">
        <v>0</v>
      </c>
      <c r="P147">
        <v>0</v>
      </c>
      <c r="Q147">
        <v>0</v>
      </c>
      <c r="R147">
        <v>1</v>
      </c>
      <c r="T147">
        <v>1</v>
      </c>
      <c r="U147">
        <v>1</v>
      </c>
      <c r="V147">
        <v>1</v>
      </c>
      <c r="W147">
        <v>4</v>
      </c>
      <c r="X147">
        <v>0</v>
      </c>
      <c r="Y147">
        <v>0</v>
      </c>
      <c r="Z147">
        <v>4</v>
      </c>
      <c r="AC147">
        <v>0</v>
      </c>
      <c r="AD147">
        <v>1</v>
      </c>
      <c r="AE147">
        <v>0</v>
      </c>
      <c r="AF147">
        <v>0</v>
      </c>
      <c r="AG147">
        <v>0</v>
      </c>
      <c r="AH147">
        <v>0</v>
      </c>
      <c r="AJ147">
        <v>2</v>
      </c>
      <c r="AL147">
        <v>2</v>
      </c>
      <c r="AN147">
        <v>1</v>
      </c>
      <c r="AO147">
        <v>1</v>
      </c>
      <c r="AP147">
        <v>4</v>
      </c>
      <c r="AQ147">
        <v>1</v>
      </c>
      <c r="AR147">
        <v>4</v>
      </c>
      <c r="AS147">
        <v>2</v>
      </c>
      <c r="AT147">
        <v>1</v>
      </c>
      <c r="AU147">
        <v>1</v>
      </c>
      <c r="AV147">
        <v>0</v>
      </c>
      <c r="AW147">
        <v>1</v>
      </c>
      <c r="AX147">
        <v>0</v>
      </c>
      <c r="AY147">
        <v>0</v>
      </c>
      <c r="AZ147">
        <v>0</v>
      </c>
      <c r="BA147">
        <v>0</v>
      </c>
      <c r="BC147">
        <v>1</v>
      </c>
      <c r="BD147">
        <v>0</v>
      </c>
      <c r="BE147">
        <v>0</v>
      </c>
      <c r="BF147">
        <v>0</v>
      </c>
      <c r="BG147">
        <v>0</v>
      </c>
      <c r="BH147">
        <v>0</v>
      </c>
      <c r="BI147">
        <v>0</v>
      </c>
      <c r="BJ147">
        <v>0</v>
      </c>
      <c r="BK147">
        <v>1</v>
      </c>
      <c r="BL147">
        <v>0</v>
      </c>
      <c r="BM147">
        <v>0</v>
      </c>
      <c r="BN147">
        <v>0</v>
      </c>
      <c r="BO147">
        <v>0</v>
      </c>
      <c r="BP147">
        <v>0</v>
      </c>
      <c r="BQ147">
        <v>0</v>
      </c>
      <c r="BR147">
        <v>0</v>
      </c>
      <c r="BS147">
        <v>0</v>
      </c>
      <c r="BU147">
        <v>9</v>
      </c>
      <c r="BV147">
        <v>4</v>
      </c>
      <c r="BX147">
        <v>3</v>
      </c>
      <c r="BY147">
        <v>4</v>
      </c>
      <c r="DI147">
        <v>0</v>
      </c>
      <c r="DJ147">
        <v>0</v>
      </c>
      <c r="DK147">
        <v>1</v>
      </c>
      <c r="DL147">
        <v>0</v>
      </c>
      <c r="DM147">
        <v>0</v>
      </c>
      <c r="DN147">
        <v>1</v>
      </c>
      <c r="DO147">
        <v>0</v>
      </c>
      <c r="DP147">
        <v>0</v>
      </c>
      <c r="DQ147">
        <v>0</v>
      </c>
      <c r="DR147">
        <v>0</v>
      </c>
      <c r="DT147">
        <v>0</v>
      </c>
      <c r="DU147">
        <v>1</v>
      </c>
      <c r="DV147">
        <v>0</v>
      </c>
      <c r="DW147">
        <v>1</v>
      </c>
      <c r="DX147">
        <v>1</v>
      </c>
      <c r="DY147">
        <v>0</v>
      </c>
      <c r="DZ147">
        <v>0</v>
      </c>
      <c r="EA147">
        <v>1</v>
      </c>
      <c r="EB147">
        <v>0</v>
      </c>
      <c r="EC147">
        <v>0</v>
      </c>
      <c r="ED147">
        <v>0</v>
      </c>
      <c r="EE147">
        <v>0</v>
      </c>
      <c r="EF147">
        <v>0</v>
      </c>
      <c r="EI147" t="s">
        <v>821</v>
      </c>
      <c r="EJ147">
        <v>1</v>
      </c>
      <c r="EK147">
        <v>1</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IG147">
        <v>0</v>
      </c>
      <c r="IH147">
        <v>0</v>
      </c>
      <c r="II147">
        <v>1</v>
      </c>
      <c r="IJ147">
        <v>0</v>
      </c>
      <c r="IK147">
        <v>0</v>
      </c>
      <c r="IL147">
        <v>0</v>
      </c>
      <c r="IM147">
        <v>1</v>
      </c>
      <c r="IN147">
        <v>0</v>
      </c>
      <c r="IO147">
        <v>0</v>
      </c>
      <c r="IP147">
        <v>0</v>
      </c>
      <c r="IQ147">
        <v>0</v>
      </c>
      <c r="IS147">
        <v>2</v>
      </c>
    </row>
    <row r="148" spans="1:258" x14ac:dyDescent="0.35">
      <c r="A148">
        <v>405491</v>
      </c>
      <c r="C148">
        <v>1</v>
      </c>
      <c r="D148" t="s">
        <v>822</v>
      </c>
      <c r="E148" t="s">
        <v>823</v>
      </c>
      <c r="F148" t="s">
        <v>815</v>
      </c>
      <c r="G148">
        <v>3</v>
      </c>
      <c r="I148">
        <v>1</v>
      </c>
      <c r="J148">
        <v>0</v>
      </c>
      <c r="K148">
        <v>1</v>
      </c>
      <c r="L148">
        <v>0</v>
      </c>
      <c r="M148">
        <v>0</v>
      </c>
      <c r="N148">
        <v>0</v>
      </c>
      <c r="O148">
        <v>0</v>
      </c>
      <c r="P148">
        <v>1</v>
      </c>
      <c r="Q148">
        <v>0</v>
      </c>
      <c r="R148">
        <v>1</v>
      </c>
      <c r="T148">
        <v>1</v>
      </c>
      <c r="U148">
        <v>1</v>
      </c>
      <c r="V148">
        <v>0</v>
      </c>
      <c r="W148">
        <v>1</v>
      </c>
      <c r="X148">
        <v>6</v>
      </c>
      <c r="Z148">
        <v>1</v>
      </c>
      <c r="AA148">
        <v>6</v>
      </c>
      <c r="AC148">
        <v>1</v>
      </c>
      <c r="AD148">
        <v>1</v>
      </c>
      <c r="AE148">
        <v>0</v>
      </c>
      <c r="AF148">
        <v>1</v>
      </c>
      <c r="AG148">
        <v>0</v>
      </c>
      <c r="AH148">
        <v>0</v>
      </c>
      <c r="AJ148">
        <v>4</v>
      </c>
      <c r="AL148">
        <v>1</v>
      </c>
      <c r="AN148">
        <v>1</v>
      </c>
      <c r="AO148">
        <v>1</v>
      </c>
      <c r="AP148">
        <v>3</v>
      </c>
      <c r="AQ148">
        <v>2</v>
      </c>
      <c r="AS148">
        <v>2</v>
      </c>
      <c r="AT148">
        <v>1</v>
      </c>
      <c r="AU148">
        <v>2</v>
      </c>
      <c r="BC148">
        <v>0</v>
      </c>
      <c r="BD148">
        <v>0</v>
      </c>
      <c r="BE148">
        <v>0</v>
      </c>
      <c r="BF148">
        <v>1</v>
      </c>
      <c r="BG148">
        <v>1</v>
      </c>
      <c r="BH148">
        <v>0</v>
      </c>
      <c r="BI148">
        <v>0</v>
      </c>
      <c r="BJ148">
        <v>0</v>
      </c>
      <c r="BK148">
        <v>0</v>
      </c>
      <c r="BL148">
        <v>0</v>
      </c>
      <c r="BM148">
        <v>0</v>
      </c>
      <c r="BN148">
        <v>0</v>
      </c>
      <c r="BO148">
        <v>0</v>
      </c>
      <c r="BP148">
        <v>0</v>
      </c>
      <c r="BQ148">
        <v>0</v>
      </c>
      <c r="BR148">
        <v>0</v>
      </c>
      <c r="BS148">
        <v>0</v>
      </c>
      <c r="BU148">
        <v>4</v>
      </c>
      <c r="BV148">
        <v>4</v>
      </c>
      <c r="BX148">
        <v>1</v>
      </c>
      <c r="BY148">
        <v>1</v>
      </c>
      <c r="DI148">
        <v>0</v>
      </c>
      <c r="DJ148">
        <v>0</v>
      </c>
      <c r="DK148">
        <v>0</v>
      </c>
      <c r="DL148">
        <v>0</v>
      </c>
      <c r="DM148">
        <v>0</v>
      </c>
      <c r="DN148">
        <v>1</v>
      </c>
      <c r="DO148">
        <v>0</v>
      </c>
      <c r="DP148">
        <v>0</v>
      </c>
      <c r="DQ148">
        <v>0</v>
      </c>
      <c r="DR148">
        <v>0</v>
      </c>
      <c r="DT148">
        <v>0</v>
      </c>
      <c r="DU148">
        <v>0</v>
      </c>
      <c r="DV148">
        <v>0</v>
      </c>
      <c r="DW148">
        <v>1</v>
      </c>
      <c r="DX148">
        <v>0</v>
      </c>
      <c r="DY148">
        <v>0</v>
      </c>
      <c r="DZ148">
        <v>0</v>
      </c>
      <c r="EA148">
        <v>0</v>
      </c>
      <c r="EB148">
        <v>0</v>
      </c>
      <c r="EC148">
        <v>0</v>
      </c>
      <c r="ED148">
        <v>1</v>
      </c>
      <c r="EE148">
        <v>0</v>
      </c>
      <c r="EF148">
        <v>0</v>
      </c>
      <c r="IG148">
        <v>1</v>
      </c>
      <c r="IH148">
        <v>0</v>
      </c>
      <c r="II148">
        <v>0</v>
      </c>
      <c r="IJ148">
        <v>0</v>
      </c>
      <c r="IK148">
        <v>0</v>
      </c>
      <c r="IL148">
        <v>0</v>
      </c>
      <c r="IM148">
        <v>0</v>
      </c>
      <c r="IN148">
        <v>0</v>
      </c>
      <c r="IO148">
        <v>0</v>
      </c>
      <c r="IP148">
        <v>0</v>
      </c>
      <c r="IQ148">
        <v>0</v>
      </c>
      <c r="IS148">
        <v>2</v>
      </c>
    </row>
    <row r="149" spans="1:258" x14ac:dyDescent="0.35">
      <c r="A149">
        <v>370612</v>
      </c>
      <c r="C149">
        <v>1</v>
      </c>
      <c r="D149" t="s">
        <v>824</v>
      </c>
      <c r="E149" t="s">
        <v>825</v>
      </c>
      <c r="F149" t="s">
        <v>826</v>
      </c>
      <c r="G149">
        <v>6</v>
      </c>
      <c r="I149">
        <v>1</v>
      </c>
      <c r="J149">
        <v>0</v>
      </c>
      <c r="K149">
        <v>0</v>
      </c>
      <c r="L149">
        <v>0</v>
      </c>
      <c r="M149">
        <v>0</v>
      </c>
      <c r="N149">
        <v>0</v>
      </c>
      <c r="O149">
        <v>0</v>
      </c>
      <c r="P149">
        <v>0</v>
      </c>
      <c r="Q149">
        <v>0</v>
      </c>
      <c r="R149">
        <v>1</v>
      </c>
      <c r="T149">
        <v>0</v>
      </c>
      <c r="U149">
        <v>1</v>
      </c>
      <c r="V149">
        <v>0</v>
      </c>
      <c r="X149">
        <v>38</v>
      </c>
      <c r="AA149">
        <v>38</v>
      </c>
      <c r="AC149">
        <v>1</v>
      </c>
      <c r="AD149">
        <v>0</v>
      </c>
      <c r="AE149">
        <v>0</v>
      </c>
      <c r="AF149">
        <v>0</v>
      </c>
      <c r="AG149">
        <v>0</v>
      </c>
      <c r="AH149">
        <v>0</v>
      </c>
      <c r="AJ149">
        <v>1</v>
      </c>
      <c r="AL149">
        <v>1</v>
      </c>
      <c r="AN149">
        <v>1</v>
      </c>
      <c r="AO149">
        <v>1</v>
      </c>
      <c r="AP149">
        <v>5</v>
      </c>
      <c r="AQ149">
        <v>1</v>
      </c>
      <c r="AR149">
        <v>6</v>
      </c>
      <c r="AS149">
        <v>2</v>
      </c>
      <c r="AT149">
        <v>1</v>
      </c>
      <c r="AU149">
        <v>2</v>
      </c>
      <c r="BC149">
        <v>0</v>
      </c>
      <c r="BD149">
        <v>0</v>
      </c>
      <c r="BE149">
        <v>1</v>
      </c>
      <c r="BF149">
        <v>0</v>
      </c>
      <c r="BG149">
        <v>0</v>
      </c>
      <c r="BH149">
        <v>0</v>
      </c>
      <c r="BI149">
        <v>0</v>
      </c>
      <c r="BJ149">
        <v>0</v>
      </c>
      <c r="BK149">
        <v>1</v>
      </c>
      <c r="BL149">
        <v>1</v>
      </c>
      <c r="BM149">
        <v>1</v>
      </c>
      <c r="BN149">
        <v>1</v>
      </c>
      <c r="BO149">
        <v>1</v>
      </c>
      <c r="BP149">
        <v>1</v>
      </c>
      <c r="BQ149">
        <v>0</v>
      </c>
      <c r="BR149">
        <v>0</v>
      </c>
      <c r="BS149">
        <v>0</v>
      </c>
      <c r="BU149">
        <v>9</v>
      </c>
      <c r="BV149">
        <v>4</v>
      </c>
      <c r="BX149">
        <v>2</v>
      </c>
      <c r="BY149">
        <v>2</v>
      </c>
      <c r="DI149">
        <v>1</v>
      </c>
      <c r="DJ149">
        <v>0</v>
      </c>
      <c r="DK149">
        <v>0</v>
      </c>
      <c r="DL149">
        <v>1</v>
      </c>
      <c r="DM149">
        <v>1</v>
      </c>
      <c r="DN149">
        <v>0</v>
      </c>
      <c r="DO149">
        <v>0</v>
      </c>
      <c r="DP149">
        <v>0</v>
      </c>
      <c r="DQ149">
        <v>0</v>
      </c>
      <c r="DR149">
        <v>0</v>
      </c>
      <c r="DT149">
        <v>0</v>
      </c>
      <c r="DU149">
        <v>0</v>
      </c>
      <c r="DV149">
        <v>1</v>
      </c>
      <c r="DW149">
        <v>0</v>
      </c>
      <c r="DX149">
        <v>0</v>
      </c>
      <c r="DY149">
        <v>0</v>
      </c>
      <c r="DZ149">
        <v>0</v>
      </c>
      <c r="EA149">
        <v>0</v>
      </c>
      <c r="EB149">
        <v>0</v>
      </c>
      <c r="EC149">
        <v>0</v>
      </c>
      <c r="ED149">
        <v>0</v>
      </c>
      <c r="EE149">
        <v>0</v>
      </c>
      <c r="EF149">
        <v>0</v>
      </c>
      <c r="FF149" t="s">
        <v>421</v>
      </c>
      <c r="FG149">
        <v>0</v>
      </c>
      <c r="FH149">
        <v>0</v>
      </c>
      <c r="FI149">
        <v>0</v>
      </c>
      <c r="FJ149">
        <v>0</v>
      </c>
      <c r="FK149">
        <v>0</v>
      </c>
      <c r="FL149">
        <v>0</v>
      </c>
      <c r="FM149">
        <v>0</v>
      </c>
      <c r="FN149">
        <v>0</v>
      </c>
      <c r="FO149">
        <v>0</v>
      </c>
      <c r="FP149">
        <v>1</v>
      </c>
      <c r="FQ149">
        <v>0</v>
      </c>
      <c r="FR149">
        <v>0</v>
      </c>
      <c r="FS149">
        <v>0</v>
      </c>
      <c r="FT149">
        <v>0</v>
      </c>
      <c r="FU149">
        <v>0</v>
      </c>
      <c r="FV149">
        <v>0</v>
      </c>
      <c r="FW149">
        <v>0</v>
      </c>
      <c r="FX149">
        <v>0</v>
      </c>
      <c r="FY149">
        <v>0</v>
      </c>
      <c r="IG149">
        <v>0</v>
      </c>
      <c r="IH149">
        <v>1</v>
      </c>
      <c r="II149">
        <v>0</v>
      </c>
      <c r="IJ149">
        <v>0</v>
      </c>
      <c r="IK149">
        <v>0</v>
      </c>
      <c r="IL149">
        <v>0</v>
      </c>
      <c r="IM149">
        <v>0</v>
      </c>
      <c r="IN149">
        <v>0</v>
      </c>
      <c r="IO149">
        <v>0</v>
      </c>
      <c r="IP149">
        <v>0</v>
      </c>
      <c r="IQ149">
        <v>0</v>
      </c>
      <c r="IS149">
        <v>1</v>
      </c>
      <c r="IT149">
        <v>0</v>
      </c>
      <c r="IU149">
        <v>0</v>
      </c>
      <c r="IV149">
        <v>0</v>
      </c>
      <c r="IW149">
        <v>1</v>
      </c>
      <c r="IX149" t="s">
        <v>827</v>
      </c>
    </row>
    <row r="150" spans="1:258" x14ac:dyDescent="0.35">
      <c r="A150">
        <v>393102</v>
      </c>
      <c r="C150">
        <v>1</v>
      </c>
      <c r="D150" t="s">
        <v>828</v>
      </c>
      <c r="E150" t="s">
        <v>829</v>
      </c>
      <c r="F150" t="s">
        <v>830</v>
      </c>
      <c r="G150">
        <v>3</v>
      </c>
      <c r="I150">
        <v>0</v>
      </c>
      <c r="J150">
        <v>0</v>
      </c>
      <c r="K150">
        <v>1</v>
      </c>
      <c r="L150">
        <v>0</v>
      </c>
      <c r="M150">
        <v>0</v>
      </c>
      <c r="N150">
        <v>1</v>
      </c>
      <c r="O150">
        <v>0</v>
      </c>
      <c r="P150">
        <v>0</v>
      </c>
      <c r="Q150">
        <v>0</v>
      </c>
      <c r="R150">
        <v>1</v>
      </c>
      <c r="T150">
        <v>1</v>
      </c>
      <c r="U150">
        <v>1</v>
      </c>
      <c r="V150">
        <v>0</v>
      </c>
      <c r="W150">
        <v>8</v>
      </c>
      <c r="X150">
        <v>30</v>
      </c>
      <c r="Z150">
        <v>8</v>
      </c>
      <c r="AA150">
        <v>30</v>
      </c>
      <c r="AC150">
        <v>1</v>
      </c>
      <c r="AD150">
        <v>1</v>
      </c>
      <c r="AE150">
        <v>0</v>
      </c>
      <c r="AF150">
        <v>0</v>
      </c>
      <c r="AG150">
        <v>0</v>
      </c>
      <c r="AH150">
        <v>0</v>
      </c>
      <c r="AJ150">
        <v>1</v>
      </c>
      <c r="AL150">
        <v>1</v>
      </c>
      <c r="AN150">
        <v>3</v>
      </c>
      <c r="AQ150">
        <v>2</v>
      </c>
      <c r="AS150">
        <v>2</v>
      </c>
      <c r="AT150">
        <v>1</v>
      </c>
      <c r="AU150">
        <v>1</v>
      </c>
      <c r="AV150">
        <v>0</v>
      </c>
      <c r="AW150">
        <v>1</v>
      </c>
      <c r="AX150">
        <v>1</v>
      </c>
      <c r="AY150">
        <v>1</v>
      </c>
      <c r="AZ150">
        <v>0</v>
      </c>
      <c r="BA150">
        <v>0</v>
      </c>
      <c r="BC150">
        <v>0</v>
      </c>
      <c r="BD150">
        <v>0</v>
      </c>
      <c r="BE150">
        <v>0</v>
      </c>
      <c r="BF150">
        <v>0</v>
      </c>
      <c r="BG150">
        <v>0</v>
      </c>
      <c r="BH150">
        <v>0</v>
      </c>
      <c r="BI150">
        <v>0</v>
      </c>
      <c r="BJ150">
        <v>0</v>
      </c>
      <c r="BK150">
        <v>1</v>
      </c>
      <c r="BL150">
        <v>0</v>
      </c>
      <c r="BM150">
        <v>0</v>
      </c>
      <c r="BN150">
        <v>0</v>
      </c>
      <c r="BO150">
        <v>0</v>
      </c>
      <c r="BP150">
        <v>0</v>
      </c>
      <c r="BQ150">
        <v>0</v>
      </c>
      <c r="BR150">
        <v>0</v>
      </c>
      <c r="BS150">
        <v>0</v>
      </c>
      <c r="BU150">
        <v>9</v>
      </c>
      <c r="BV150">
        <v>4</v>
      </c>
    </row>
    <row r="151" spans="1:258" x14ac:dyDescent="0.35">
      <c r="A151">
        <v>397071</v>
      </c>
      <c r="C151">
        <v>1</v>
      </c>
      <c r="D151" t="s">
        <v>831</v>
      </c>
      <c r="E151" t="s">
        <v>832</v>
      </c>
      <c r="F151" t="s">
        <v>830</v>
      </c>
      <c r="G151">
        <v>3</v>
      </c>
      <c r="I151">
        <v>0</v>
      </c>
      <c r="J151">
        <v>0</v>
      </c>
      <c r="K151">
        <v>0</v>
      </c>
      <c r="L151">
        <v>0</v>
      </c>
      <c r="M151">
        <v>0</v>
      </c>
      <c r="N151">
        <v>0</v>
      </c>
      <c r="O151">
        <v>1</v>
      </c>
      <c r="P151">
        <v>0</v>
      </c>
      <c r="Q151">
        <v>0</v>
      </c>
      <c r="R151">
        <v>2</v>
      </c>
      <c r="T151">
        <v>0</v>
      </c>
      <c r="U151">
        <v>1</v>
      </c>
      <c r="V151">
        <v>0</v>
      </c>
      <c r="X151">
        <v>2</v>
      </c>
      <c r="AA151">
        <v>2</v>
      </c>
      <c r="AC151">
        <v>1</v>
      </c>
      <c r="AD151">
        <v>0</v>
      </c>
      <c r="AE151">
        <v>0</v>
      </c>
      <c r="AF151">
        <v>0</v>
      </c>
      <c r="AG151">
        <v>0</v>
      </c>
      <c r="AH151">
        <v>0</v>
      </c>
      <c r="AJ151">
        <v>1</v>
      </c>
      <c r="AL151">
        <v>3</v>
      </c>
      <c r="AN151">
        <v>1</v>
      </c>
      <c r="AO151">
        <v>1</v>
      </c>
      <c r="AP151">
        <v>5</v>
      </c>
      <c r="AQ151">
        <v>1</v>
      </c>
      <c r="AR151">
        <v>4</v>
      </c>
      <c r="AS151">
        <v>2</v>
      </c>
      <c r="AT151">
        <v>1</v>
      </c>
      <c r="AU151">
        <v>2</v>
      </c>
      <c r="BC151">
        <v>0</v>
      </c>
      <c r="BD151">
        <v>0</v>
      </c>
      <c r="BE151">
        <v>0</v>
      </c>
      <c r="BF151">
        <v>0</v>
      </c>
      <c r="BG151">
        <v>0</v>
      </c>
      <c r="BH151">
        <v>0</v>
      </c>
      <c r="BI151">
        <v>0</v>
      </c>
      <c r="BJ151">
        <v>0</v>
      </c>
      <c r="BK151">
        <v>0</v>
      </c>
      <c r="BL151">
        <v>0</v>
      </c>
      <c r="BM151">
        <v>0</v>
      </c>
      <c r="BN151">
        <v>0</v>
      </c>
      <c r="BO151">
        <v>0</v>
      </c>
      <c r="BP151">
        <v>0</v>
      </c>
      <c r="BQ151">
        <v>0</v>
      </c>
      <c r="BR151">
        <v>1</v>
      </c>
      <c r="BS151">
        <v>1</v>
      </c>
      <c r="BT151" t="s">
        <v>833</v>
      </c>
      <c r="BU151">
        <v>16</v>
      </c>
      <c r="BV151">
        <v>4</v>
      </c>
      <c r="BX151">
        <v>2</v>
      </c>
      <c r="BY151">
        <v>3</v>
      </c>
      <c r="DI151">
        <v>0</v>
      </c>
      <c r="DJ151">
        <v>1</v>
      </c>
      <c r="DK151">
        <v>0</v>
      </c>
      <c r="DL151">
        <v>0</v>
      </c>
      <c r="DM151">
        <v>0</v>
      </c>
      <c r="DN151">
        <v>1</v>
      </c>
      <c r="DO151">
        <v>0</v>
      </c>
      <c r="DP151">
        <v>0</v>
      </c>
      <c r="DQ151">
        <v>0</v>
      </c>
      <c r="DR151">
        <v>0</v>
      </c>
      <c r="DT151">
        <v>0</v>
      </c>
      <c r="DU151">
        <v>0</v>
      </c>
      <c r="DV151">
        <v>0</v>
      </c>
      <c r="DW151">
        <v>1</v>
      </c>
      <c r="DX151">
        <v>0</v>
      </c>
      <c r="DY151">
        <v>0</v>
      </c>
      <c r="DZ151">
        <v>0</v>
      </c>
      <c r="EA151">
        <v>0</v>
      </c>
      <c r="EB151">
        <v>0</v>
      </c>
      <c r="EC151">
        <v>0</v>
      </c>
      <c r="ED151">
        <v>0</v>
      </c>
      <c r="EE151">
        <v>1</v>
      </c>
      <c r="EF151">
        <v>0</v>
      </c>
      <c r="IE151" t="s">
        <v>274</v>
      </c>
      <c r="IF151">
        <v>8</v>
      </c>
      <c r="IG151">
        <v>1</v>
      </c>
      <c r="IH151">
        <v>0</v>
      </c>
      <c r="II151">
        <v>1</v>
      </c>
      <c r="IJ151">
        <v>0</v>
      </c>
      <c r="IK151">
        <v>0</v>
      </c>
      <c r="IL151">
        <v>0</v>
      </c>
      <c r="IM151">
        <v>0</v>
      </c>
      <c r="IN151">
        <v>0</v>
      </c>
      <c r="IO151">
        <v>0</v>
      </c>
      <c r="IP151">
        <v>0</v>
      </c>
      <c r="IQ151">
        <v>0</v>
      </c>
      <c r="IS151">
        <v>2</v>
      </c>
    </row>
    <row r="152" spans="1:258" x14ac:dyDescent="0.35">
      <c r="A152">
        <v>405318</v>
      </c>
      <c r="C152">
        <v>1</v>
      </c>
      <c r="D152" t="s">
        <v>834</v>
      </c>
      <c r="E152" t="s">
        <v>835</v>
      </c>
      <c r="F152" t="s">
        <v>826</v>
      </c>
      <c r="G152">
        <v>3</v>
      </c>
      <c r="I152">
        <v>0</v>
      </c>
      <c r="J152">
        <v>0</v>
      </c>
      <c r="K152">
        <v>1</v>
      </c>
      <c r="L152">
        <v>0</v>
      </c>
      <c r="M152">
        <v>0</v>
      </c>
      <c r="N152">
        <v>0</v>
      </c>
      <c r="O152">
        <v>0</v>
      </c>
      <c r="P152">
        <v>0</v>
      </c>
      <c r="Q152">
        <v>0</v>
      </c>
      <c r="R152">
        <v>2</v>
      </c>
      <c r="T152">
        <v>1</v>
      </c>
      <c r="U152">
        <v>1</v>
      </c>
      <c r="V152">
        <v>0</v>
      </c>
      <c r="W152">
        <v>3</v>
      </c>
      <c r="X152">
        <v>1</v>
      </c>
      <c r="Z152">
        <v>3</v>
      </c>
      <c r="AA152">
        <v>1</v>
      </c>
      <c r="AC152">
        <v>1</v>
      </c>
      <c r="AD152">
        <v>1</v>
      </c>
      <c r="AE152">
        <v>0</v>
      </c>
      <c r="AF152">
        <v>0</v>
      </c>
      <c r="AG152">
        <v>0</v>
      </c>
      <c r="AH152">
        <v>0</v>
      </c>
      <c r="AJ152">
        <v>2</v>
      </c>
      <c r="AL152">
        <v>5</v>
      </c>
      <c r="AM152" t="s">
        <v>836</v>
      </c>
      <c r="AN152">
        <v>3</v>
      </c>
      <c r="AQ152">
        <v>2</v>
      </c>
      <c r="AS152">
        <v>2</v>
      </c>
      <c r="AT152">
        <v>2</v>
      </c>
      <c r="AU152">
        <v>2</v>
      </c>
      <c r="BC152">
        <v>0</v>
      </c>
      <c r="BD152">
        <v>0</v>
      </c>
      <c r="BE152">
        <v>0</v>
      </c>
      <c r="BF152">
        <v>0</v>
      </c>
      <c r="BG152">
        <v>0</v>
      </c>
      <c r="BH152">
        <v>0</v>
      </c>
      <c r="BI152">
        <v>0</v>
      </c>
      <c r="BJ152">
        <v>0</v>
      </c>
      <c r="BK152">
        <v>0</v>
      </c>
      <c r="BL152">
        <v>0</v>
      </c>
      <c r="BM152">
        <v>0</v>
      </c>
      <c r="BN152">
        <v>0</v>
      </c>
      <c r="BO152">
        <v>0</v>
      </c>
      <c r="BP152">
        <v>0</v>
      </c>
      <c r="BQ152">
        <v>0</v>
      </c>
      <c r="BR152">
        <v>1</v>
      </c>
      <c r="BS152">
        <v>0</v>
      </c>
      <c r="BU152">
        <v>16</v>
      </c>
      <c r="BV152">
        <v>4</v>
      </c>
      <c r="BX152">
        <v>3</v>
      </c>
      <c r="BY152">
        <v>3</v>
      </c>
      <c r="DI152">
        <v>0</v>
      </c>
      <c r="DJ152">
        <v>0</v>
      </c>
      <c r="DK152">
        <v>0</v>
      </c>
      <c r="DL152">
        <v>0</v>
      </c>
      <c r="DM152">
        <v>1</v>
      </c>
      <c r="DN152">
        <v>1</v>
      </c>
      <c r="DO152">
        <v>0</v>
      </c>
      <c r="DP152">
        <v>0</v>
      </c>
      <c r="DQ152">
        <v>0</v>
      </c>
      <c r="DR152">
        <v>0</v>
      </c>
      <c r="DT152">
        <v>0</v>
      </c>
      <c r="DU152">
        <v>0</v>
      </c>
      <c r="DV152">
        <v>0</v>
      </c>
      <c r="DW152">
        <v>1</v>
      </c>
      <c r="DX152">
        <v>0</v>
      </c>
      <c r="DY152">
        <v>0</v>
      </c>
      <c r="DZ152">
        <v>0</v>
      </c>
      <c r="EA152">
        <v>0</v>
      </c>
      <c r="EB152">
        <v>0</v>
      </c>
      <c r="EC152">
        <v>0</v>
      </c>
      <c r="ED152">
        <v>1</v>
      </c>
      <c r="EE152">
        <v>0</v>
      </c>
      <c r="EF152">
        <v>0</v>
      </c>
      <c r="IG152">
        <v>1</v>
      </c>
      <c r="IH152">
        <v>1</v>
      </c>
      <c r="II152">
        <v>0</v>
      </c>
      <c r="IJ152">
        <v>0</v>
      </c>
      <c r="IK152">
        <v>1</v>
      </c>
      <c r="IL152">
        <v>0</v>
      </c>
      <c r="IM152">
        <v>0</v>
      </c>
      <c r="IN152">
        <v>0</v>
      </c>
      <c r="IO152">
        <v>0</v>
      </c>
      <c r="IP152">
        <v>0</v>
      </c>
      <c r="IQ152">
        <v>0</v>
      </c>
      <c r="IS152">
        <v>2</v>
      </c>
    </row>
    <row r="153" spans="1:258" x14ac:dyDescent="0.35">
      <c r="A153">
        <v>345879</v>
      </c>
      <c r="C153">
        <v>1</v>
      </c>
      <c r="D153" t="s">
        <v>837</v>
      </c>
      <c r="E153" t="s">
        <v>838</v>
      </c>
      <c r="F153" t="s">
        <v>839</v>
      </c>
      <c r="G153">
        <v>2</v>
      </c>
      <c r="I153">
        <v>1</v>
      </c>
      <c r="J153">
        <v>1</v>
      </c>
      <c r="K153">
        <v>1</v>
      </c>
      <c r="L153">
        <v>0</v>
      </c>
      <c r="M153">
        <v>0</v>
      </c>
      <c r="N153">
        <v>0</v>
      </c>
      <c r="O153">
        <v>0</v>
      </c>
      <c r="P153">
        <v>0</v>
      </c>
      <c r="Q153">
        <v>0</v>
      </c>
      <c r="R153">
        <v>1</v>
      </c>
      <c r="T153">
        <v>1</v>
      </c>
      <c r="U153">
        <v>1</v>
      </c>
      <c r="V153">
        <v>0</v>
      </c>
      <c r="W153">
        <v>30</v>
      </c>
      <c r="X153">
        <v>420</v>
      </c>
      <c r="Z153">
        <v>30</v>
      </c>
      <c r="AA153">
        <v>420</v>
      </c>
      <c r="AC153">
        <v>1</v>
      </c>
      <c r="AD153">
        <v>1</v>
      </c>
      <c r="AE153">
        <v>0</v>
      </c>
      <c r="AF153">
        <v>0</v>
      </c>
      <c r="AG153">
        <v>0</v>
      </c>
      <c r="AH153">
        <v>0</v>
      </c>
      <c r="AJ153">
        <v>5</v>
      </c>
      <c r="AL153">
        <v>4</v>
      </c>
      <c r="AN153">
        <v>1</v>
      </c>
      <c r="AO153">
        <v>1</v>
      </c>
      <c r="AP153">
        <v>2</v>
      </c>
      <c r="AQ153">
        <v>1</v>
      </c>
      <c r="AR153">
        <v>6</v>
      </c>
      <c r="AS153">
        <v>1</v>
      </c>
      <c r="AT153">
        <v>1</v>
      </c>
      <c r="AU153">
        <v>1</v>
      </c>
      <c r="AV153">
        <v>1</v>
      </c>
      <c r="AW153">
        <v>1</v>
      </c>
      <c r="AX153">
        <v>1</v>
      </c>
      <c r="AY153">
        <v>1</v>
      </c>
      <c r="AZ153">
        <v>1</v>
      </c>
      <c r="BA153">
        <v>0</v>
      </c>
      <c r="BC153">
        <v>0</v>
      </c>
      <c r="BD153">
        <v>0</v>
      </c>
      <c r="BE153">
        <v>1</v>
      </c>
      <c r="BF153">
        <v>0</v>
      </c>
      <c r="BG153">
        <v>0</v>
      </c>
      <c r="BH153">
        <v>0</v>
      </c>
      <c r="BI153">
        <v>0</v>
      </c>
      <c r="BJ153">
        <v>0</v>
      </c>
      <c r="BK153">
        <v>1</v>
      </c>
      <c r="BL153">
        <v>0</v>
      </c>
      <c r="BM153">
        <v>0</v>
      </c>
      <c r="BN153">
        <v>0</v>
      </c>
      <c r="BO153">
        <v>0</v>
      </c>
      <c r="BP153">
        <v>1</v>
      </c>
      <c r="BQ153">
        <v>1</v>
      </c>
      <c r="BR153">
        <v>0</v>
      </c>
      <c r="BS153">
        <v>0</v>
      </c>
      <c r="BU153">
        <v>15</v>
      </c>
      <c r="BV153">
        <v>1</v>
      </c>
      <c r="BW153" t="s">
        <v>840</v>
      </c>
      <c r="BX153">
        <v>5</v>
      </c>
      <c r="BY153">
        <v>5</v>
      </c>
      <c r="DI153">
        <v>0</v>
      </c>
      <c r="DJ153">
        <v>1</v>
      </c>
      <c r="DK153">
        <v>1</v>
      </c>
      <c r="DL153">
        <v>1</v>
      </c>
      <c r="DM153">
        <v>0</v>
      </c>
      <c r="DN153">
        <v>1</v>
      </c>
      <c r="DO153">
        <v>1</v>
      </c>
      <c r="DP153">
        <v>1</v>
      </c>
      <c r="DQ153">
        <v>0</v>
      </c>
      <c r="DR153">
        <v>0</v>
      </c>
      <c r="DT153">
        <v>0</v>
      </c>
      <c r="DU153">
        <v>1</v>
      </c>
      <c r="DV153">
        <v>1</v>
      </c>
      <c r="DW153">
        <v>1</v>
      </c>
      <c r="DX153">
        <v>1</v>
      </c>
      <c r="DY153">
        <v>1</v>
      </c>
      <c r="DZ153">
        <v>0</v>
      </c>
      <c r="EA153">
        <v>1</v>
      </c>
      <c r="EB153">
        <v>1</v>
      </c>
      <c r="EC153">
        <v>1</v>
      </c>
      <c r="ED153">
        <v>1</v>
      </c>
      <c r="EE153">
        <v>0</v>
      </c>
      <c r="EF153">
        <v>0</v>
      </c>
      <c r="EI153" t="s">
        <v>841</v>
      </c>
      <c r="FF153" t="s">
        <v>842</v>
      </c>
      <c r="FG153">
        <v>0</v>
      </c>
      <c r="FH153">
        <v>0</v>
      </c>
      <c r="FI153">
        <v>1</v>
      </c>
      <c r="FJ153">
        <v>0</v>
      </c>
      <c r="FK153">
        <v>0</v>
      </c>
      <c r="FL153">
        <v>0</v>
      </c>
      <c r="FM153">
        <v>0</v>
      </c>
      <c r="FN153">
        <v>0</v>
      </c>
      <c r="FO153">
        <v>0</v>
      </c>
      <c r="FP153">
        <v>0</v>
      </c>
      <c r="FQ153">
        <v>0</v>
      </c>
      <c r="FR153">
        <v>0</v>
      </c>
      <c r="FS153">
        <v>0</v>
      </c>
      <c r="FT153">
        <v>0</v>
      </c>
      <c r="FU153">
        <v>0</v>
      </c>
      <c r="FV153">
        <v>0</v>
      </c>
      <c r="FW153">
        <v>0</v>
      </c>
      <c r="FX153">
        <v>0</v>
      </c>
      <c r="FY153">
        <v>0</v>
      </c>
      <c r="GJ153" t="s">
        <v>843</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1</v>
      </c>
      <c r="IG153">
        <v>1</v>
      </c>
      <c r="IH153">
        <v>1</v>
      </c>
      <c r="II153">
        <v>1</v>
      </c>
      <c r="IJ153">
        <v>0</v>
      </c>
      <c r="IK153">
        <v>0</v>
      </c>
      <c r="IL153">
        <v>0</v>
      </c>
      <c r="IM153">
        <v>0</v>
      </c>
      <c r="IN153">
        <v>0</v>
      </c>
      <c r="IO153">
        <v>0</v>
      </c>
      <c r="IP153">
        <v>0</v>
      </c>
      <c r="IQ153">
        <v>0</v>
      </c>
      <c r="IS153">
        <v>1</v>
      </c>
      <c r="IT153">
        <v>1</v>
      </c>
      <c r="IU153">
        <v>0</v>
      </c>
      <c r="IV153">
        <v>1</v>
      </c>
      <c r="IW153">
        <v>0</v>
      </c>
    </row>
    <row r="154" spans="1:258" x14ac:dyDescent="0.35">
      <c r="A154">
        <v>370193</v>
      </c>
      <c r="C154">
        <v>1</v>
      </c>
      <c r="D154" t="s">
        <v>844</v>
      </c>
      <c r="E154" t="s">
        <v>695</v>
      </c>
      <c r="F154" t="s">
        <v>839</v>
      </c>
      <c r="G154">
        <v>3</v>
      </c>
      <c r="I154">
        <v>0</v>
      </c>
      <c r="J154">
        <v>0</v>
      </c>
      <c r="K154">
        <v>1</v>
      </c>
      <c r="L154">
        <v>0</v>
      </c>
      <c r="M154">
        <v>0</v>
      </c>
      <c r="N154">
        <v>0</v>
      </c>
      <c r="O154">
        <v>0</v>
      </c>
      <c r="P154">
        <v>0</v>
      </c>
      <c r="Q154">
        <v>0</v>
      </c>
      <c r="R154">
        <v>1</v>
      </c>
      <c r="T154">
        <v>0</v>
      </c>
      <c r="U154">
        <v>1</v>
      </c>
      <c r="V154">
        <v>1</v>
      </c>
      <c r="X154">
        <v>70</v>
      </c>
      <c r="Y154">
        <v>18</v>
      </c>
      <c r="AA154">
        <v>70</v>
      </c>
      <c r="AB154">
        <v>18</v>
      </c>
      <c r="AC154">
        <v>1</v>
      </c>
      <c r="AD154">
        <v>0</v>
      </c>
      <c r="AE154">
        <v>0</v>
      </c>
      <c r="AF154">
        <v>0</v>
      </c>
      <c r="AG154">
        <v>0</v>
      </c>
      <c r="AH154">
        <v>0</v>
      </c>
      <c r="AJ154">
        <v>1</v>
      </c>
      <c r="AL154">
        <v>1</v>
      </c>
      <c r="AN154">
        <v>1</v>
      </c>
      <c r="AO154">
        <v>1</v>
      </c>
      <c r="AP154">
        <v>4</v>
      </c>
      <c r="AQ154">
        <v>1</v>
      </c>
      <c r="AR154">
        <v>5</v>
      </c>
      <c r="AS154">
        <v>1</v>
      </c>
      <c r="AT154">
        <v>1</v>
      </c>
      <c r="AU154">
        <v>2</v>
      </c>
      <c r="BC154">
        <v>0</v>
      </c>
      <c r="BD154">
        <v>0</v>
      </c>
      <c r="BE154">
        <v>0</v>
      </c>
      <c r="BF154">
        <v>1</v>
      </c>
      <c r="BG154">
        <v>1</v>
      </c>
      <c r="BH154">
        <v>0</v>
      </c>
      <c r="BI154">
        <v>0</v>
      </c>
      <c r="BJ154">
        <v>0</v>
      </c>
      <c r="BK154">
        <v>0</v>
      </c>
      <c r="BL154">
        <v>0</v>
      </c>
      <c r="BM154">
        <v>0</v>
      </c>
      <c r="BN154">
        <v>0</v>
      </c>
      <c r="BO154">
        <v>0</v>
      </c>
      <c r="BP154">
        <v>0</v>
      </c>
      <c r="BQ154">
        <v>0</v>
      </c>
      <c r="BR154">
        <v>0</v>
      </c>
      <c r="BS154">
        <v>0</v>
      </c>
      <c r="BU154">
        <v>5</v>
      </c>
      <c r="BV154">
        <v>4</v>
      </c>
      <c r="BX154">
        <v>4</v>
      </c>
      <c r="BY154">
        <v>4</v>
      </c>
      <c r="DI154">
        <v>0</v>
      </c>
      <c r="DJ154">
        <v>0</v>
      </c>
      <c r="DK154">
        <v>1</v>
      </c>
      <c r="DL154">
        <v>0</v>
      </c>
      <c r="DM154">
        <v>0</v>
      </c>
      <c r="DN154">
        <v>0</v>
      </c>
      <c r="DO154">
        <v>0</v>
      </c>
      <c r="DP154">
        <v>1</v>
      </c>
      <c r="DQ154">
        <v>1</v>
      </c>
      <c r="DR154">
        <v>0</v>
      </c>
      <c r="DS154" t="s">
        <v>845</v>
      </c>
      <c r="DT154">
        <v>0</v>
      </c>
      <c r="DU154">
        <v>1</v>
      </c>
      <c r="DV154">
        <v>0</v>
      </c>
      <c r="DW154">
        <v>0</v>
      </c>
      <c r="DX154">
        <v>0</v>
      </c>
      <c r="DY154">
        <v>0</v>
      </c>
      <c r="DZ154">
        <v>0</v>
      </c>
      <c r="EA154">
        <v>0</v>
      </c>
      <c r="EB154">
        <v>0</v>
      </c>
      <c r="EC154">
        <v>0</v>
      </c>
      <c r="ED154">
        <v>1</v>
      </c>
      <c r="EE154">
        <v>0</v>
      </c>
      <c r="EF154">
        <v>0</v>
      </c>
      <c r="EI154" t="s">
        <v>846</v>
      </c>
      <c r="EJ154">
        <v>1</v>
      </c>
      <c r="EK154">
        <v>1</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IG154">
        <v>1</v>
      </c>
      <c r="IH154">
        <v>0</v>
      </c>
      <c r="II154">
        <v>0</v>
      </c>
      <c r="IJ154">
        <v>0</v>
      </c>
      <c r="IK154">
        <v>0</v>
      </c>
      <c r="IL154">
        <v>0</v>
      </c>
      <c r="IM154">
        <v>0</v>
      </c>
      <c r="IN154">
        <v>0</v>
      </c>
      <c r="IO154">
        <v>0</v>
      </c>
      <c r="IP154">
        <v>0</v>
      </c>
      <c r="IQ154">
        <v>0</v>
      </c>
      <c r="IS154">
        <v>1</v>
      </c>
      <c r="IT154">
        <v>0</v>
      </c>
      <c r="IU154">
        <v>1</v>
      </c>
      <c r="IV154">
        <v>0</v>
      </c>
      <c r="IW154">
        <v>0</v>
      </c>
    </row>
    <row r="155" spans="1:258" x14ac:dyDescent="0.35">
      <c r="A155">
        <v>405352</v>
      </c>
      <c r="C155">
        <v>1</v>
      </c>
      <c r="D155" t="s">
        <v>847</v>
      </c>
      <c r="E155" t="s">
        <v>848</v>
      </c>
      <c r="F155" t="s">
        <v>849</v>
      </c>
      <c r="G155">
        <v>4</v>
      </c>
      <c r="I155">
        <v>0</v>
      </c>
      <c r="J155">
        <v>0</v>
      </c>
      <c r="K155">
        <v>0</v>
      </c>
      <c r="L155">
        <v>1</v>
      </c>
      <c r="M155">
        <v>0</v>
      </c>
      <c r="N155">
        <v>0</v>
      </c>
      <c r="O155">
        <v>0</v>
      </c>
      <c r="P155">
        <v>0</v>
      </c>
      <c r="Q155">
        <v>0</v>
      </c>
      <c r="R155">
        <v>1</v>
      </c>
      <c r="T155">
        <v>1</v>
      </c>
      <c r="U155">
        <v>1</v>
      </c>
      <c r="V155">
        <v>0</v>
      </c>
      <c r="W155">
        <v>10</v>
      </c>
      <c r="X155">
        <v>20</v>
      </c>
      <c r="Z155">
        <v>10</v>
      </c>
      <c r="AA155">
        <v>20</v>
      </c>
      <c r="AC155">
        <v>1</v>
      </c>
      <c r="AD155">
        <v>1</v>
      </c>
      <c r="AE155">
        <v>0</v>
      </c>
      <c r="AF155">
        <v>0</v>
      </c>
      <c r="AG155">
        <v>0</v>
      </c>
      <c r="AH155">
        <v>0</v>
      </c>
      <c r="AJ155">
        <v>2</v>
      </c>
      <c r="AL155">
        <v>1</v>
      </c>
      <c r="AN155">
        <v>1</v>
      </c>
      <c r="AO155">
        <v>1</v>
      </c>
      <c r="AP155">
        <v>3</v>
      </c>
      <c r="AQ155">
        <v>1</v>
      </c>
      <c r="AR155">
        <v>2</v>
      </c>
      <c r="AS155">
        <v>1</v>
      </c>
      <c r="AT155">
        <v>1</v>
      </c>
      <c r="AU155">
        <v>1</v>
      </c>
      <c r="AV155">
        <v>0</v>
      </c>
      <c r="AW155">
        <v>0</v>
      </c>
      <c r="AX155">
        <v>0</v>
      </c>
      <c r="AY155">
        <v>0</v>
      </c>
      <c r="AZ155">
        <v>0</v>
      </c>
      <c r="BA155">
        <v>1</v>
      </c>
      <c r="BB155" t="s">
        <v>850</v>
      </c>
      <c r="BC155">
        <v>0</v>
      </c>
      <c r="BD155">
        <v>0</v>
      </c>
      <c r="BE155">
        <v>0</v>
      </c>
      <c r="BF155">
        <v>0</v>
      </c>
      <c r="BG155">
        <v>1</v>
      </c>
      <c r="BH155">
        <v>0</v>
      </c>
      <c r="BI155">
        <v>0</v>
      </c>
      <c r="BJ155">
        <v>0</v>
      </c>
      <c r="BK155">
        <v>0</v>
      </c>
      <c r="BL155">
        <v>0</v>
      </c>
      <c r="BM155">
        <v>0</v>
      </c>
      <c r="BN155">
        <v>0</v>
      </c>
      <c r="BO155">
        <v>0</v>
      </c>
      <c r="BP155">
        <v>0</v>
      </c>
      <c r="BQ155">
        <v>0</v>
      </c>
      <c r="BR155">
        <v>0</v>
      </c>
      <c r="BS155">
        <v>0</v>
      </c>
      <c r="BU155">
        <v>15</v>
      </c>
      <c r="BV155">
        <v>1</v>
      </c>
      <c r="BW155" t="s">
        <v>851</v>
      </c>
      <c r="BX155">
        <v>4</v>
      </c>
      <c r="BY155">
        <v>4</v>
      </c>
      <c r="DI155">
        <v>0</v>
      </c>
      <c r="DJ155">
        <v>0</v>
      </c>
      <c r="DK155">
        <v>0</v>
      </c>
      <c r="DL155">
        <v>0</v>
      </c>
      <c r="DM155">
        <v>1</v>
      </c>
      <c r="DN155">
        <v>1</v>
      </c>
      <c r="DO155">
        <v>0</v>
      </c>
      <c r="DP155">
        <v>0</v>
      </c>
      <c r="DQ155">
        <v>0</v>
      </c>
      <c r="DR155">
        <v>0</v>
      </c>
      <c r="DT155">
        <v>0</v>
      </c>
      <c r="DU155">
        <v>1</v>
      </c>
      <c r="DV155">
        <v>0</v>
      </c>
      <c r="DW155">
        <v>1</v>
      </c>
      <c r="DX155">
        <v>0</v>
      </c>
      <c r="DY155">
        <v>0</v>
      </c>
      <c r="DZ155">
        <v>0</v>
      </c>
      <c r="EA155">
        <v>0</v>
      </c>
      <c r="EB155">
        <v>0</v>
      </c>
      <c r="EC155">
        <v>0</v>
      </c>
      <c r="ED155">
        <v>0</v>
      </c>
      <c r="EE155">
        <v>0</v>
      </c>
      <c r="EF155">
        <v>0</v>
      </c>
      <c r="EI155" t="s">
        <v>421</v>
      </c>
      <c r="EJ155">
        <v>1</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IG155">
        <v>1</v>
      </c>
      <c r="IH155">
        <v>1</v>
      </c>
      <c r="II155">
        <v>0</v>
      </c>
      <c r="IJ155">
        <v>0</v>
      </c>
      <c r="IK155">
        <v>0</v>
      </c>
      <c r="IL155">
        <v>0</v>
      </c>
      <c r="IM155">
        <v>0</v>
      </c>
      <c r="IN155">
        <v>1</v>
      </c>
      <c r="IO155">
        <v>0</v>
      </c>
      <c r="IP155">
        <v>0</v>
      </c>
      <c r="IQ155">
        <v>0</v>
      </c>
      <c r="IS155">
        <v>2</v>
      </c>
    </row>
    <row r="156" spans="1:258" x14ac:dyDescent="0.35">
      <c r="A156">
        <v>405450</v>
      </c>
      <c r="C156">
        <v>1</v>
      </c>
      <c r="D156" t="s">
        <v>852</v>
      </c>
      <c r="E156" t="s">
        <v>853</v>
      </c>
      <c r="F156" t="s">
        <v>854</v>
      </c>
      <c r="G156">
        <v>4</v>
      </c>
      <c r="I156">
        <v>0</v>
      </c>
      <c r="J156">
        <v>0</v>
      </c>
      <c r="K156">
        <v>0</v>
      </c>
      <c r="L156">
        <v>1</v>
      </c>
      <c r="M156">
        <v>1</v>
      </c>
      <c r="N156">
        <v>1</v>
      </c>
      <c r="O156">
        <v>0</v>
      </c>
      <c r="P156">
        <v>0</v>
      </c>
      <c r="Q156">
        <v>0</v>
      </c>
      <c r="R156">
        <v>1</v>
      </c>
      <c r="T156">
        <v>1</v>
      </c>
      <c r="U156">
        <v>0</v>
      </c>
      <c r="V156">
        <v>1</v>
      </c>
      <c r="W156">
        <v>26</v>
      </c>
      <c r="Y156">
        <v>55</v>
      </c>
      <c r="Z156">
        <v>26</v>
      </c>
      <c r="AB156">
        <v>55</v>
      </c>
      <c r="AC156">
        <v>1</v>
      </c>
      <c r="AD156">
        <v>1</v>
      </c>
      <c r="AE156">
        <v>0</v>
      </c>
      <c r="AF156">
        <v>0</v>
      </c>
      <c r="AG156">
        <v>0</v>
      </c>
      <c r="AH156">
        <v>0</v>
      </c>
      <c r="AJ156">
        <v>1</v>
      </c>
      <c r="AL156">
        <v>4</v>
      </c>
      <c r="AN156">
        <v>1</v>
      </c>
      <c r="AO156">
        <v>1</v>
      </c>
      <c r="AP156">
        <v>4</v>
      </c>
      <c r="AQ156">
        <v>1</v>
      </c>
      <c r="AR156">
        <v>2</v>
      </c>
      <c r="AS156">
        <v>1</v>
      </c>
      <c r="AT156">
        <v>1</v>
      </c>
      <c r="AU156">
        <v>2</v>
      </c>
      <c r="BC156">
        <v>0</v>
      </c>
      <c r="BD156">
        <v>0</v>
      </c>
      <c r="BE156">
        <v>0</v>
      </c>
      <c r="BF156">
        <v>0</v>
      </c>
      <c r="BG156">
        <v>0</v>
      </c>
      <c r="BH156">
        <v>0</v>
      </c>
      <c r="BI156">
        <v>0</v>
      </c>
      <c r="BJ156">
        <v>0</v>
      </c>
      <c r="BK156">
        <v>0</v>
      </c>
      <c r="BL156">
        <v>0</v>
      </c>
      <c r="BM156">
        <v>0</v>
      </c>
      <c r="BN156">
        <v>0</v>
      </c>
      <c r="BO156">
        <v>0</v>
      </c>
      <c r="BP156">
        <v>0</v>
      </c>
      <c r="BQ156">
        <v>0</v>
      </c>
      <c r="BR156">
        <v>1</v>
      </c>
      <c r="BS156">
        <v>0</v>
      </c>
      <c r="BU156">
        <v>16</v>
      </c>
      <c r="BV156">
        <v>3</v>
      </c>
      <c r="BW156" t="s">
        <v>855</v>
      </c>
      <c r="BX156">
        <v>3</v>
      </c>
      <c r="BY156">
        <v>3</v>
      </c>
      <c r="DI156">
        <v>1</v>
      </c>
      <c r="DJ156">
        <v>0</v>
      </c>
      <c r="DK156">
        <v>0</v>
      </c>
      <c r="DL156">
        <v>0</v>
      </c>
      <c r="DM156">
        <v>0</v>
      </c>
      <c r="DN156">
        <v>1</v>
      </c>
      <c r="DO156">
        <v>0</v>
      </c>
      <c r="DP156">
        <v>0</v>
      </c>
      <c r="DQ156">
        <v>1</v>
      </c>
      <c r="DR156">
        <v>0</v>
      </c>
      <c r="DS156" t="s">
        <v>856</v>
      </c>
      <c r="DT156">
        <v>0</v>
      </c>
      <c r="DU156">
        <v>1</v>
      </c>
      <c r="DV156">
        <v>0</v>
      </c>
      <c r="DW156">
        <v>1</v>
      </c>
      <c r="DX156">
        <v>1</v>
      </c>
      <c r="DY156">
        <v>0</v>
      </c>
      <c r="DZ156">
        <v>0</v>
      </c>
      <c r="EA156">
        <v>1</v>
      </c>
      <c r="EB156">
        <v>0</v>
      </c>
      <c r="EC156">
        <v>0</v>
      </c>
      <c r="ED156">
        <v>1</v>
      </c>
      <c r="EE156">
        <v>0</v>
      </c>
      <c r="EF156">
        <v>0</v>
      </c>
      <c r="EI156" t="s">
        <v>857</v>
      </c>
      <c r="EJ156">
        <v>1</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IG156">
        <v>1</v>
      </c>
      <c r="IH156">
        <v>0</v>
      </c>
      <c r="II156">
        <v>0</v>
      </c>
      <c r="IJ156">
        <v>1</v>
      </c>
      <c r="IK156">
        <v>1</v>
      </c>
      <c r="IL156">
        <v>0</v>
      </c>
      <c r="IM156">
        <v>0</v>
      </c>
      <c r="IN156">
        <v>0</v>
      </c>
      <c r="IO156">
        <v>0</v>
      </c>
      <c r="IP156">
        <v>0</v>
      </c>
      <c r="IQ156">
        <v>0</v>
      </c>
      <c r="IS156">
        <v>1</v>
      </c>
      <c r="IT156">
        <v>0</v>
      </c>
      <c r="IU156">
        <v>0</v>
      </c>
      <c r="IV156">
        <v>1</v>
      </c>
      <c r="IW156">
        <v>0</v>
      </c>
    </row>
    <row r="157" spans="1:258" x14ac:dyDescent="0.35">
      <c r="A157">
        <v>405326</v>
      </c>
      <c r="C157">
        <v>1</v>
      </c>
      <c r="D157" t="s">
        <v>858</v>
      </c>
      <c r="E157" t="s">
        <v>859</v>
      </c>
      <c r="F157" t="s">
        <v>854</v>
      </c>
      <c r="G157">
        <v>3</v>
      </c>
      <c r="I157">
        <v>0</v>
      </c>
      <c r="J157">
        <v>0</v>
      </c>
      <c r="K157">
        <v>1</v>
      </c>
      <c r="L157">
        <v>0</v>
      </c>
      <c r="M157">
        <v>0</v>
      </c>
      <c r="N157">
        <v>1</v>
      </c>
      <c r="O157">
        <v>0</v>
      </c>
      <c r="P157">
        <v>0</v>
      </c>
      <c r="Q157">
        <v>0</v>
      </c>
      <c r="R157">
        <v>1</v>
      </c>
      <c r="T157">
        <v>1</v>
      </c>
      <c r="U157">
        <v>1</v>
      </c>
      <c r="V157">
        <v>0</v>
      </c>
      <c r="W157">
        <v>6</v>
      </c>
      <c r="X157">
        <v>19</v>
      </c>
      <c r="Z157">
        <v>6</v>
      </c>
      <c r="AA157">
        <v>19</v>
      </c>
      <c r="AC157">
        <v>1</v>
      </c>
      <c r="AD157">
        <v>1</v>
      </c>
      <c r="AE157">
        <v>0</v>
      </c>
      <c r="AF157">
        <v>0</v>
      </c>
      <c r="AG157">
        <v>0</v>
      </c>
      <c r="AH157">
        <v>0</v>
      </c>
      <c r="AJ157">
        <v>1</v>
      </c>
      <c r="AL157">
        <v>1</v>
      </c>
      <c r="AN157">
        <v>1</v>
      </c>
      <c r="AO157">
        <v>1</v>
      </c>
      <c r="AP157">
        <v>5</v>
      </c>
      <c r="AQ157">
        <v>2</v>
      </c>
      <c r="AS157">
        <v>2</v>
      </c>
      <c r="AT157">
        <v>2</v>
      </c>
      <c r="AU157">
        <v>1</v>
      </c>
      <c r="AV157">
        <v>0</v>
      </c>
      <c r="AW157">
        <v>0</v>
      </c>
      <c r="AX157">
        <v>0</v>
      </c>
      <c r="AY157">
        <v>0</v>
      </c>
      <c r="AZ157">
        <v>0</v>
      </c>
      <c r="BA157">
        <v>1</v>
      </c>
      <c r="BB157" t="s">
        <v>860</v>
      </c>
      <c r="BC157">
        <v>0</v>
      </c>
      <c r="BD157">
        <v>0</v>
      </c>
      <c r="BE157">
        <v>1</v>
      </c>
      <c r="BF157">
        <v>1</v>
      </c>
      <c r="BG157">
        <v>0</v>
      </c>
      <c r="BH157">
        <v>0</v>
      </c>
      <c r="BI157">
        <v>0</v>
      </c>
      <c r="BJ157">
        <v>0</v>
      </c>
      <c r="BK157">
        <v>0</v>
      </c>
      <c r="BL157">
        <v>0</v>
      </c>
      <c r="BM157">
        <v>0</v>
      </c>
      <c r="BN157">
        <v>0</v>
      </c>
      <c r="BO157">
        <v>0</v>
      </c>
      <c r="BP157">
        <v>0</v>
      </c>
      <c r="BQ157">
        <v>0</v>
      </c>
      <c r="BR157">
        <v>0</v>
      </c>
      <c r="BS157">
        <v>0</v>
      </c>
      <c r="BU157">
        <v>15</v>
      </c>
      <c r="BV157">
        <v>3</v>
      </c>
      <c r="BW157" t="s">
        <v>861</v>
      </c>
      <c r="BX157">
        <v>4</v>
      </c>
      <c r="BY157">
        <v>4</v>
      </c>
      <c r="DI157">
        <v>0</v>
      </c>
      <c r="DJ157">
        <v>1</v>
      </c>
      <c r="DK157">
        <v>0</v>
      </c>
      <c r="DL157">
        <v>0</v>
      </c>
      <c r="DM157">
        <v>0</v>
      </c>
      <c r="DN157">
        <v>1</v>
      </c>
      <c r="DO157">
        <v>0</v>
      </c>
      <c r="DP157">
        <v>0</v>
      </c>
      <c r="DQ157">
        <v>0</v>
      </c>
      <c r="DR157">
        <v>0</v>
      </c>
      <c r="DT157">
        <v>0</v>
      </c>
      <c r="DU157">
        <v>1</v>
      </c>
      <c r="DV157">
        <v>0</v>
      </c>
      <c r="DW157">
        <v>0</v>
      </c>
      <c r="DX157">
        <v>1</v>
      </c>
      <c r="DY157">
        <v>0</v>
      </c>
      <c r="DZ157">
        <v>0</v>
      </c>
      <c r="EA157">
        <v>1</v>
      </c>
      <c r="EB157">
        <v>1</v>
      </c>
      <c r="EC157">
        <v>1</v>
      </c>
      <c r="ED157">
        <v>1</v>
      </c>
      <c r="EE157">
        <v>0</v>
      </c>
      <c r="EF157">
        <v>0</v>
      </c>
      <c r="EI157" t="s">
        <v>862</v>
      </c>
      <c r="EJ157">
        <v>1</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GJ157" t="s">
        <v>863</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1</v>
      </c>
      <c r="IG157">
        <v>0</v>
      </c>
      <c r="IH157">
        <v>0</v>
      </c>
      <c r="II157">
        <v>0</v>
      </c>
      <c r="IJ157">
        <v>0</v>
      </c>
      <c r="IK157">
        <v>0</v>
      </c>
      <c r="IL157">
        <v>0</v>
      </c>
      <c r="IM157">
        <v>0</v>
      </c>
      <c r="IN157">
        <v>0</v>
      </c>
      <c r="IO157">
        <v>0</v>
      </c>
      <c r="IP157">
        <v>0</v>
      </c>
      <c r="IQ157">
        <v>1</v>
      </c>
      <c r="IS157">
        <v>1</v>
      </c>
      <c r="IT157">
        <v>1</v>
      </c>
      <c r="IU157">
        <v>1</v>
      </c>
      <c r="IV157">
        <v>0</v>
      </c>
      <c r="IW157">
        <v>0</v>
      </c>
    </row>
    <row r="158" spans="1:258" x14ac:dyDescent="0.35">
      <c r="A158">
        <v>405524</v>
      </c>
      <c r="C158">
        <v>1</v>
      </c>
      <c r="D158" t="s">
        <v>864</v>
      </c>
      <c r="E158" t="s">
        <v>865</v>
      </c>
      <c r="F158" t="s">
        <v>849</v>
      </c>
      <c r="G158">
        <v>4</v>
      </c>
      <c r="I158">
        <v>1</v>
      </c>
      <c r="J158">
        <v>0</v>
      </c>
      <c r="K158">
        <v>0</v>
      </c>
      <c r="L158">
        <v>0</v>
      </c>
      <c r="M158">
        <v>0</v>
      </c>
      <c r="N158">
        <v>0</v>
      </c>
      <c r="O158">
        <v>0</v>
      </c>
      <c r="P158">
        <v>0</v>
      </c>
      <c r="Q158">
        <v>0</v>
      </c>
      <c r="R158">
        <v>1</v>
      </c>
      <c r="T158">
        <v>0</v>
      </c>
      <c r="U158">
        <v>1</v>
      </c>
      <c r="V158">
        <v>0</v>
      </c>
      <c r="X158">
        <v>12</v>
      </c>
      <c r="AA158">
        <v>12</v>
      </c>
      <c r="AC158">
        <v>1</v>
      </c>
      <c r="AD158">
        <v>0</v>
      </c>
      <c r="AE158">
        <v>0</v>
      </c>
      <c r="AF158">
        <v>0</v>
      </c>
      <c r="AG158">
        <v>0</v>
      </c>
      <c r="AH158">
        <v>0</v>
      </c>
      <c r="AJ158">
        <v>1</v>
      </c>
      <c r="AL158">
        <v>1</v>
      </c>
      <c r="AN158">
        <v>1</v>
      </c>
      <c r="AO158">
        <v>1</v>
      </c>
      <c r="AP158">
        <v>2</v>
      </c>
      <c r="AQ158">
        <v>1</v>
      </c>
      <c r="AR158">
        <v>3</v>
      </c>
      <c r="AS158">
        <v>1</v>
      </c>
      <c r="AT158">
        <v>1</v>
      </c>
      <c r="AU158">
        <v>1</v>
      </c>
      <c r="AV158">
        <v>0</v>
      </c>
      <c r="AW158">
        <v>0</v>
      </c>
      <c r="AX158">
        <v>0</v>
      </c>
      <c r="AY158">
        <v>0</v>
      </c>
      <c r="AZ158">
        <v>0</v>
      </c>
      <c r="BA158">
        <v>1</v>
      </c>
      <c r="BB158" t="s">
        <v>866</v>
      </c>
      <c r="BC158">
        <v>0</v>
      </c>
      <c r="BD158">
        <v>0</v>
      </c>
      <c r="BE158">
        <v>1</v>
      </c>
      <c r="BF158">
        <v>1</v>
      </c>
      <c r="BG158">
        <v>1</v>
      </c>
      <c r="BH158">
        <v>0</v>
      </c>
      <c r="BI158">
        <v>0</v>
      </c>
      <c r="BJ158">
        <v>1</v>
      </c>
      <c r="BK158">
        <v>1</v>
      </c>
      <c r="BL158">
        <v>0</v>
      </c>
      <c r="BM158">
        <v>1</v>
      </c>
      <c r="BN158">
        <v>0</v>
      </c>
      <c r="BO158">
        <v>0</v>
      </c>
      <c r="BP158">
        <v>0</v>
      </c>
      <c r="BQ158">
        <v>0</v>
      </c>
      <c r="BR158">
        <v>0</v>
      </c>
      <c r="BS158">
        <v>1</v>
      </c>
      <c r="BT158" t="s">
        <v>867</v>
      </c>
      <c r="BU158">
        <v>5</v>
      </c>
      <c r="BV158">
        <v>2</v>
      </c>
      <c r="BW158" t="s">
        <v>868</v>
      </c>
      <c r="BX158">
        <v>6</v>
      </c>
      <c r="BY158">
        <v>1</v>
      </c>
    </row>
    <row r="159" spans="1:258" x14ac:dyDescent="0.35">
      <c r="A159">
        <v>347465</v>
      </c>
      <c r="C159">
        <v>1</v>
      </c>
      <c r="D159" t="s">
        <v>869</v>
      </c>
      <c r="E159" t="s">
        <v>870</v>
      </c>
      <c r="F159" t="s">
        <v>849</v>
      </c>
      <c r="G159">
        <v>6</v>
      </c>
      <c r="I159">
        <v>0</v>
      </c>
      <c r="J159">
        <v>0</v>
      </c>
      <c r="K159">
        <v>1</v>
      </c>
      <c r="L159">
        <v>0</v>
      </c>
      <c r="M159">
        <v>1</v>
      </c>
      <c r="N159">
        <v>1</v>
      </c>
      <c r="O159">
        <v>0</v>
      </c>
      <c r="P159">
        <v>1</v>
      </c>
      <c r="Q159">
        <v>0</v>
      </c>
      <c r="R159">
        <v>1</v>
      </c>
      <c r="T159">
        <v>1</v>
      </c>
      <c r="U159">
        <v>1</v>
      </c>
      <c r="V159">
        <v>0</v>
      </c>
      <c r="W159">
        <v>11</v>
      </c>
      <c r="X159">
        <v>13</v>
      </c>
      <c r="Z159">
        <v>11</v>
      </c>
      <c r="AA159">
        <v>13</v>
      </c>
      <c r="AC159">
        <v>1</v>
      </c>
      <c r="AD159">
        <v>1</v>
      </c>
      <c r="AE159">
        <v>0</v>
      </c>
      <c r="AF159">
        <v>0</v>
      </c>
      <c r="AG159">
        <v>0</v>
      </c>
      <c r="AH159">
        <v>0</v>
      </c>
      <c r="AJ159">
        <v>1</v>
      </c>
      <c r="AL159">
        <v>1</v>
      </c>
      <c r="AN159">
        <v>1</v>
      </c>
      <c r="AO159">
        <v>1</v>
      </c>
      <c r="AP159">
        <v>3</v>
      </c>
      <c r="AQ159">
        <v>2</v>
      </c>
      <c r="AS159">
        <v>2</v>
      </c>
      <c r="AT159">
        <v>1</v>
      </c>
      <c r="AU159">
        <v>1</v>
      </c>
      <c r="AV159">
        <v>1</v>
      </c>
      <c r="AW159">
        <v>0</v>
      </c>
      <c r="AX159">
        <v>0</v>
      </c>
      <c r="AY159">
        <v>1</v>
      </c>
      <c r="AZ159">
        <v>0</v>
      </c>
      <c r="BA159">
        <v>0</v>
      </c>
      <c r="BC159">
        <v>0</v>
      </c>
      <c r="BD159">
        <v>0</v>
      </c>
      <c r="BE159">
        <v>0</v>
      </c>
      <c r="BF159">
        <v>0</v>
      </c>
      <c r="BG159">
        <v>0</v>
      </c>
      <c r="BH159">
        <v>0</v>
      </c>
      <c r="BI159">
        <v>0</v>
      </c>
      <c r="BJ159">
        <v>1</v>
      </c>
      <c r="BK159">
        <v>1</v>
      </c>
      <c r="BL159">
        <v>0</v>
      </c>
      <c r="BM159">
        <v>0</v>
      </c>
      <c r="BN159">
        <v>0</v>
      </c>
      <c r="BO159">
        <v>0</v>
      </c>
      <c r="BP159">
        <v>1</v>
      </c>
      <c r="BQ159">
        <v>0</v>
      </c>
      <c r="BR159">
        <v>0</v>
      </c>
      <c r="BS159">
        <v>0</v>
      </c>
      <c r="BU159">
        <v>8</v>
      </c>
      <c r="BV159">
        <v>1</v>
      </c>
      <c r="BW159" t="s">
        <v>871</v>
      </c>
      <c r="BX159">
        <v>3</v>
      </c>
      <c r="BY159">
        <v>4</v>
      </c>
      <c r="DI159">
        <v>0</v>
      </c>
      <c r="DJ159">
        <v>0</v>
      </c>
      <c r="DK159">
        <v>1</v>
      </c>
      <c r="DL159">
        <v>1</v>
      </c>
      <c r="DM159">
        <v>0</v>
      </c>
      <c r="DN159">
        <v>1</v>
      </c>
      <c r="DO159">
        <v>0</v>
      </c>
      <c r="DP159">
        <v>1</v>
      </c>
      <c r="DQ159">
        <v>0</v>
      </c>
      <c r="DR159">
        <v>0</v>
      </c>
      <c r="DT159">
        <v>0</v>
      </c>
      <c r="DU159">
        <v>1</v>
      </c>
      <c r="DV159">
        <v>0</v>
      </c>
      <c r="DW159">
        <v>0</v>
      </c>
      <c r="DX159">
        <v>1</v>
      </c>
      <c r="DY159">
        <v>0</v>
      </c>
      <c r="DZ159">
        <v>1</v>
      </c>
      <c r="EA159">
        <v>0</v>
      </c>
      <c r="EB159">
        <v>1</v>
      </c>
      <c r="EC159">
        <v>1</v>
      </c>
      <c r="ED159">
        <v>1</v>
      </c>
      <c r="EE159">
        <v>0</v>
      </c>
      <c r="EF159">
        <v>0</v>
      </c>
      <c r="EI159" t="s">
        <v>857</v>
      </c>
      <c r="EJ159">
        <v>1</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Z159" t="s">
        <v>872</v>
      </c>
      <c r="GA159">
        <v>1</v>
      </c>
      <c r="GB159">
        <v>0</v>
      </c>
      <c r="GC159">
        <v>0</v>
      </c>
      <c r="GD159">
        <v>0</v>
      </c>
      <c r="GE159">
        <v>0</v>
      </c>
      <c r="GF159">
        <v>0</v>
      </c>
      <c r="GG159">
        <v>0</v>
      </c>
      <c r="GH159">
        <v>0</v>
      </c>
      <c r="GI159">
        <v>0</v>
      </c>
      <c r="GJ159" t="s">
        <v>873</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1</v>
      </c>
      <c r="IG159">
        <v>1</v>
      </c>
      <c r="IH159">
        <v>1</v>
      </c>
      <c r="II159">
        <v>1</v>
      </c>
      <c r="IJ159">
        <v>0</v>
      </c>
      <c r="IK159">
        <v>0</v>
      </c>
      <c r="IL159">
        <v>0</v>
      </c>
      <c r="IM159">
        <v>0</v>
      </c>
      <c r="IN159">
        <v>0</v>
      </c>
      <c r="IO159">
        <v>0</v>
      </c>
      <c r="IP159">
        <v>0</v>
      </c>
      <c r="IQ159">
        <v>0</v>
      </c>
      <c r="IS159">
        <v>1</v>
      </c>
      <c r="IT159">
        <v>1</v>
      </c>
      <c r="IU159">
        <v>1</v>
      </c>
      <c r="IV159">
        <v>1</v>
      </c>
      <c r="IW159">
        <v>0</v>
      </c>
    </row>
    <row r="160" spans="1:258" x14ac:dyDescent="0.35">
      <c r="A160">
        <v>405457</v>
      </c>
      <c r="C160">
        <v>1</v>
      </c>
      <c r="D160" t="s">
        <v>874</v>
      </c>
      <c r="E160" t="s">
        <v>875</v>
      </c>
      <c r="F160" t="s">
        <v>849</v>
      </c>
      <c r="G160">
        <v>12</v>
      </c>
      <c r="I160">
        <v>0</v>
      </c>
      <c r="J160">
        <v>0</v>
      </c>
      <c r="K160">
        <v>1</v>
      </c>
      <c r="L160">
        <v>0</v>
      </c>
      <c r="M160">
        <v>0</v>
      </c>
      <c r="N160">
        <v>0</v>
      </c>
      <c r="O160">
        <v>0</v>
      </c>
      <c r="P160">
        <v>0</v>
      </c>
      <c r="Q160">
        <v>0</v>
      </c>
      <c r="R160">
        <v>1</v>
      </c>
      <c r="T160">
        <v>1</v>
      </c>
      <c r="U160">
        <v>1</v>
      </c>
      <c r="V160">
        <v>0</v>
      </c>
      <c r="W160">
        <v>15</v>
      </c>
      <c r="X160">
        <v>40</v>
      </c>
      <c r="Z160">
        <v>15</v>
      </c>
      <c r="AA160">
        <v>40</v>
      </c>
      <c r="AC160">
        <v>1</v>
      </c>
      <c r="AD160">
        <v>0</v>
      </c>
      <c r="AE160">
        <v>0</v>
      </c>
      <c r="AF160">
        <v>0</v>
      </c>
      <c r="AG160">
        <v>0</v>
      </c>
      <c r="AH160">
        <v>0</v>
      </c>
      <c r="AJ160">
        <v>1</v>
      </c>
      <c r="AL160">
        <v>1</v>
      </c>
      <c r="AN160">
        <v>1</v>
      </c>
      <c r="AO160">
        <v>1</v>
      </c>
      <c r="AP160">
        <v>5</v>
      </c>
      <c r="AQ160">
        <v>1</v>
      </c>
      <c r="AR160">
        <v>4</v>
      </c>
      <c r="AS160">
        <v>1</v>
      </c>
      <c r="AT160">
        <v>1</v>
      </c>
      <c r="AU160">
        <v>1</v>
      </c>
      <c r="AV160">
        <v>0</v>
      </c>
      <c r="AW160">
        <v>0</v>
      </c>
      <c r="AX160">
        <v>0</v>
      </c>
      <c r="AY160">
        <v>0</v>
      </c>
      <c r="AZ160">
        <v>0</v>
      </c>
      <c r="BA160">
        <v>1</v>
      </c>
      <c r="BB160" t="s">
        <v>876</v>
      </c>
      <c r="BC160">
        <v>0</v>
      </c>
      <c r="BD160">
        <v>0</v>
      </c>
      <c r="BE160">
        <v>0</v>
      </c>
      <c r="BF160">
        <v>0</v>
      </c>
      <c r="BG160">
        <v>1</v>
      </c>
      <c r="BH160">
        <v>0</v>
      </c>
      <c r="BI160">
        <v>0</v>
      </c>
      <c r="BJ160">
        <v>0</v>
      </c>
      <c r="BK160">
        <v>0</v>
      </c>
      <c r="BL160">
        <v>0</v>
      </c>
      <c r="BM160">
        <v>1</v>
      </c>
      <c r="BN160">
        <v>0</v>
      </c>
      <c r="BO160">
        <v>0</v>
      </c>
      <c r="BP160">
        <v>0</v>
      </c>
      <c r="BQ160">
        <v>1</v>
      </c>
      <c r="BR160">
        <v>0</v>
      </c>
      <c r="BS160">
        <v>0</v>
      </c>
      <c r="BU160">
        <v>9</v>
      </c>
      <c r="BV160">
        <v>2</v>
      </c>
      <c r="BW160" t="s">
        <v>877</v>
      </c>
      <c r="BX160">
        <v>3</v>
      </c>
      <c r="BY160">
        <v>3</v>
      </c>
      <c r="DI160">
        <v>0</v>
      </c>
      <c r="DJ160">
        <v>1</v>
      </c>
      <c r="DK160">
        <v>1</v>
      </c>
      <c r="DL160">
        <v>0</v>
      </c>
      <c r="DM160">
        <v>0</v>
      </c>
      <c r="DN160">
        <v>1</v>
      </c>
      <c r="DO160">
        <v>0</v>
      </c>
      <c r="DP160">
        <v>1</v>
      </c>
      <c r="DQ160">
        <v>0</v>
      </c>
      <c r="DR160">
        <v>0</v>
      </c>
      <c r="DT160">
        <v>0</v>
      </c>
      <c r="DU160">
        <v>1</v>
      </c>
      <c r="DV160">
        <v>1</v>
      </c>
      <c r="DW160">
        <v>1</v>
      </c>
      <c r="DX160">
        <v>1</v>
      </c>
      <c r="DY160">
        <v>0</v>
      </c>
      <c r="DZ160">
        <v>1</v>
      </c>
      <c r="EA160">
        <v>0</v>
      </c>
      <c r="EB160">
        <v>1</v>
      </c>
      <c r="EC160">
        <v>0</v>
      </c>
      <c r="ED160">
        <v>1</v>
      </c>
      <c r="EE160">
        <v>1</v>
      </c>
      <c r="EF160">
        <v>0</v>
      </c>
      <c r="EI160" t="s">
        <v>274</v>
      </c>
      <c r="EJ160">
        <v>1</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t="s">
        <v>355</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1</v>
      </c>
      <c r="FZ160" t="s">
        <v>355</v>
      </c>
      <c r="GA160">
        <v>0</v>
      </c>
      <c r="GB160">
        <v>0</v>
      </c>
      <c r="GC160">
        <v>0</v>
      </c>
      <c r="GD160">
        <v>0</v>
      </c>
      <c r="GE160">
        <v>0</v>
      </c>
      <c r="GF160">
        <v>0</v>
      </c>
      <c r="GG160">
        <v>0</v>
      </c>
      <c r="GH160">
        <v>0</v>
      </c>
      <c r="GI160">
        <v>1</v>
      </c>
      <c r="IE160" t="s">
        <v>878</v>
      </c>
      <c r="IF160">
        <v>11</v>
      </c>
      <c r="IG160">
        <v>0</v>
      </c>
      <c r="IH160">
        <v>0</v>
      </c>
      <c r="II160">
        <v>0</v>
      </c>
      <c r="IJ160">
        <v>0</v>
      </c>
      <c r="IK160">
        <v>0</v>
      </c>
      <c r="IL160">
        <v>0</v>
      </c>
      <c r="IM160">
        <v>0</v>
      </c>
      <c r="IN160">
        <v>0</v>
      </c>
      <c r="IO160">
        <v>1</v>
      </c>
      <c r="IP160">
        <v>0</v>
      </c>
      <c r="IQ160">
        <v>0</v>
      </c>
      <c r="IS160">
        <v>1</v>
      </c>
      <c r="IT160">
        <v>0</v>
      </c>
      <c r="IU160">
        <v>0</v>
      </c>
      <c r="IV160">
        <v>0</v>
      </c>
      <c r="IW160">
        <v>1</v>
      </c>
      <c r="IX160" t="s">
        <v>879</v>
      </c>
    </row>
    <row r="161" spans="1:257" x14ac:dyDescent="0.35">
      <c r="A161">
        <v>385649</v>
      </c>
      <c r="C161">
        <v>1</v>
      </c>
      <c r="D161" t="s">
        <v>880</v>
      </c>
      <c r="E161" t="s">
        <v>881</v>
      </c>
      <c r="F161" t="s">
        <v>849</v>
      </c>
      <c r="G161">
        <v>3</v>
      </c>
      <c r="I161">
        <v>0</v>
      </c>
      <c r="J161">
        <v>0</v>
      </c>
      <c r="K161">
        <v>1</v>
      </c>
      <c r="L161">
        <v>0</v>
      </c>
      <c r="M161">
        <v>0</v>
      </c>
      <c r="N161">
        <v>0</v>
      </c>
      <c r="O161">
        <v>0</v>
      </c>
      <c r="P161">
        <v>0</v>
      </c>
      <c r="Q161">
        <v>0</v>
      </c>
      <c r="R161">
        <v>1</v>
      </c>
      <c r="T161">
        <v>1</v>
      </c>
      <c r="U161">
        <v>1</v>
      </c>
      <c r="V161">
        <v>0</v>
      </c>
      <c r="W161">
        <v>16</v>
      </c>
      <c r="X161">
        <v>50</v>
      </c>
      <c r="Z161">
        <v>16</v>
      </c>
      <c r="AA161">
        <v>50</v>
      </c>
      <c r="AC161">
        <v>1</v>
      </c>
      <c r="AD161">
        <v>1</v>
      </c>
      <c r="AE161">
        <v>0</v>
      </c>
      <c r="AF161">
        <v>1</v>
      </c>
      <c r="AG161">
        <v>0</v>
      </c>
      <c r="AH161">
        <v>0</v>
      </c>
      <c r="AJ161">
        <v>1</v>
      </c>
      <c r="AL161">
        <v>1</v>
      </c>
      <c r="AN161">
        <v>1</v>
      </c>
      <c r="AO161">
        <v>1</v>
      </c>
      <c r="AP161">
        <v>3</v>
      </c>
      <c r="AQ161">
        <v>2</v>
      </c>
      <c r="AS161">
        <v>2</v>
      </c>
      <c r="AT161">
        <v>1</v>
      </c>
      <c r="AU161">
        <v>1</v>
      </c>
      <c r="AV161">
        <v>1</v>
      </c>
      <c r="AW161">
        <v>0</v>
      </c>
      <c r="AX161">
        <v>0</v>
      </c>
      <c r="AY161">
        <v>0</v>
      </c>
      <c r="AZ161">
        <v>0</v>
      </c>
      <c r="BA161">
        <v>0</v>
      </c>
      <c r="BC161">
        <v>1</v>
      </c>
      <c r="BD161">
        <v>1</v>
      </c>
      <c r="BE161">
        <v>1</v>
      </c>
      <c r="BF161">
        <v>0</v>
      </c>
      <c r="BG161">
        <v>1</v>
      </c>
      <c r="BH161">
        <v>0</v>
      </c>
      <c r="BI161">
        <v>0</v>
      </c>
      <c r="BJ161">
        <v>1</v>
      </c>
      <c r="BK161">
        <v>1</v>
      </c>
      <c r="BL161">
        <v>0</v>
      </c>
      <c r="BM161">
        <v>1</v>
      </c>
      <c r="BN161">
        <v>0</v>
      </c>
      <c r="BO161">
        <v>0</v>
      </c>
      <c r="BP161">
        <v>1</v>
      </c>
      <c r="BQ161">
        <v>1</v>
      </c>
      <c r="BR161">
        <v>0</v>
      </c>
      <c r="BS161">
        <v>0</v>
      </c>
      <c r="BU161">
        <v>8</v>
      </c>
      <c r="BV161">
        <v>3</v>
      </c>
      <c r="BW161" t="s">
        <v>882</v>
      </c>
      <c r="BX161">
        <v>4</v>
      </c>
      <c r="BY161">
        <v>4</v>
      </c>
      <c r="DI161">
        <v>0</v>
      </c>
      <c r="DJ161">
        <v>0</v>
      </c>
      <c r="DK161">
        <v>0</v>
      </c>
      <c r="DL161">
        <v>0</v>
      </c>
      <c r="DM161">
        <v>0</v>
      </c>
      <c r="DN161">
        <v>1</v>
      </c>
      <c r="DO161">
        <v>0</v>
      </c>
      <c r="DP161">
        <v>0</v>
      </c>
      <c r="DQ161">
        <v>1</v>
      </c>
      <c r="DR161">
        <v>0</v>
      </c>
      <c r="DS161" t="s">
        <v>883</v>
      </c>
      <c r="DT161">
        <v>0</v>
      </c>
      <c r="DU161">
        <v>1</v>
      </c>
      <c r="DV161">
        <v>0</v>
      </c>
      <c r="DW161">
        <v>0</v>
      </c>
      <c r="DX161">
        <v>1</v>
      </c>
      <c r="DY161">
        <v>0</v>
      </c>
      <c r="DZ161">
        <v>0</v>
      </c>
      <c r="EA161">
        <v>0</v>
      </c>
      <c r="EB161">
        <v>0</v>
      </c>
      <c r="EC161">
        <v>1</v>
      </c>
      <c r="ED161">
        <v>1</v>
      </c>
      <c r="EE161">
        <v>0</v>
      </c>
      <c r="EF161">
        <v>0</v>
      </c>
      <c r="EI161" t="s">
        <v>884</v>
      </c>
      <c r="EJ161">
        <v>1</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GJ161" t="s">
        <v>885</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1</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0</v>
      </c>
      <c r="IG161">
        <v>1</v>
      </c>
      <c r="IH161">
        <v>0</v>
      </c>
      <c r="II161">
        <v>1</v>
      </c>
      <c r="IJ161">
        <v>1</v>
      </c>
      <c r="IK161">
        <v>0</v>
      </c>
      <c r="IL161">
        <v>0</v>
      </c>
      <c r="IM161">
        <v>0</v>
      </c>
      <c r="IN161">
        <v>0</v>
      </c>
      <c r="IO161">
        <v>0</v>
      </c>
      <c r="IP161">
        <v>0</v>
      </c>
      <c r="IQ161">
        <v>0</v>
      </c>
      <c r="IS161">
        <v>2</v>
      </c>
    </row>
    <row r="162" spans="1:257" x14ac:dyDescent="0.35">
      <c r="A162">
        <v>405381</v>
      </c>
      <c r="C162">
        <v>1</v>
      </c>
      <c r="D162" t="s">
        <v>886</v>
      </c>
      <c r="E162" t="s">
        <v>887</v>
      </c>
      <c r="F162" t="s">
        <v>888</v>
      </c>
      <c r="G162">
        <v>13</v>
      </c>
      <c r="I162">
        <v>1</v>
      </c>
      <c r="J162">
        <v>0</v>
      </c>
      <c r="K162">
        <v>0</v>
      </c>
      <c r="L162">
        <v>0</v>
      </c>
      <c r="M162">
        <v>0</v>
      </c>
      <c r="N162">
        <v>0</v>
      </c>
      <c r="O162">
        <v>0</v>
      </c>
      <c r="P162">
        <v>0</v>
      </c>
      <c r="Q162">
        <v>0</v>
      </c>
      <c r="R162">
        <v>1</v>
      </c>
      <c r="T162">
        <v>0</v>
      </c>
      <c r="U162">
        <v>1</v>
      </c>
      <c r="V162">
        <v>0</v>
      </c>
      <c r="X162">
        <v>54</v>
      </c>
      <c r="AA162">
        <v>54</v>
      </c>
      <c r="AC162">
        <v>1</v>
      </c>
      <c r="AD162">
        <v>1</v>
      </c>
      <c r="AE162">
        <v>0</v>
      </c>
      <c r="AF162">
        <v>0</v>
      </c>
      <c r="AG162">
        <v>0</v>
      </c>
      <c r="AH162">
        <v>0</v>
      </c>
    </row>
    <row r="163" spans="1:257" x14ac:dyDescent="0.35">
      <c r="A163">
        <v>374818</v>
      </c>
      <c r="C163">
        <v>1</v>
      </c>
      <c r="D163" t="s">
        <v>889</v>
      </c>
      <c r="E163" t="s">
        <v>890</v>
      </c>
      <c r="F163" t="s">
        <v>888</v>
      </c>
      <c r="G163">
        <v>3</v>
      </c>
      <c r="I163">
        <v>0</v>
      </c>
      <c r="J163">
        <v>0</v>
      </c>
      <c r="K163">
        <v>1</v>
      </c>
      <c r="L163">
        <v>0</v>
      </c>
      <c r="M163">
        <v>0</v>
      </c>
      <c r="N163">
        <v>0</v>
      </c>
      <c r="O163">
        <v>0</v>
      </c>
      <c r="P163">
        <v>0</v>
      </c>
      <c r="Q163">
        <v>0</v>
      </c>
      <c r="R163">
        <v>1</v>
      </c>
      <c r="T163">
        <v>1</v>
      </c>
      <c r="U163">
        <v>1</v>
      </c>
      <c r="V163">
        <v>0</v>
      </c>
      <c r="W163">
        <v>11</v>
      </c>
      <c r="X163">
        <v>3</v>
      </c>
      <c r="Z163">
        <v>11</v>
      </c>
      <c r="AA163">
        <v>3</v>
      </c>
      <c r="AC163">
        <v>0</v>
      </c>
      <c r="AD163">
        <v>1</v>
      </c>
      <c r="AE163">
        <v>0</v>
      </c>
      <c r="AF163">
        <v>0</v>
      </c>
      <c r="AG163">
        <v>0</v>
      </c>
      <c r="AH163">
        <v>0</v>
      </c>
      <c r="AJ163">
        <v>2</v>
      </c>
      <c r="AL163">
        <v>4</v>
      </c>
      <c r="AN163">
        <v>1</v>
      </c>
      <c r="AO163">
        <v>1</v>
      </c>
      <c r="AP163">
        <v>4</v>
      </c>
      <c r="AQ163">
        <v>1</v>
      </c>
      <c r="AR163">
        <v>4</v>
      </c>
      <c r="AS163">
        <v>1</v>
      </c>
      <c r="AT163">
        <v>1</v>
      </c>
      <c r="AU163">
        <v>1</v>
      </c>
      <c r="AV163">
        <v>0</v>
      </c>
      <c r="AW163">
        <v>0</v>
      </c>
      <c r="AX163">
        <v>0</v>
      </c>
      <c r="AY163">
        <v>1</v>
      </c>
      <c r="AZ163">
        <v>0</v>
      </c>
      <c r="BA163">
        <v>0</v>
      </c>
      <c r="BC163">
        <v>1</v>
      </c>
      <c r="BD163">
        <v>0</v>
      </c>
      <c r="BE163">
        <v>0</v>
      </c>
      <c r="BF163">
        <v>0</v>
      </c>
      <c r="BG163">
        <v>1</v>
      </c>
      <c r="BH163">
        <v>0</v>
      </c>
      <c r="BI163">
        <v>0</v>
      </c>
      <c r="BJ163">
        <v>0</v>
      </c>
      <c r="BK163">
        <v>0</v>
      </c>
      <c r="BL163">
        <v>0</v>
      </c>
      <c r="BM163">
        <v>0</v>
      </c>
      <c r="BN163">
        <v>0</v>
      </c>
      <c r="BO163">
        <v>0</v>
      </c>
      <c r="BP163">
        <v>1</v>
      </c>
      <c r="BQ163">
        <v>0</v>
      </c>
      <c r="BR163">
        <v>0</v>
      </c>
      <c r="BS163">
        <v>1</v>
      </c>
      <c r="BT163" t="s">
        <v>891</v>
      </c>
      <c r="BU163">
        <v>14</v>
      </c>
      <c r="BV163">
        <v>4</v>
      </c>
      <c r="BX163">
        <v>5</v>
      </c>
      <c r="BY163">
        <v>5</v>
      </c>
      <c r="DI163">
        <v>1</v>
      </c>
      <c r="DJ163">
        <v>0</v>
      </c>
      <c r="DK163">
        <v>0</v>
      </c>
      <c r="DL163">
        <v>1</v>
      </c>
      <c r="DM163">
        <v>1</v>
      </c>
      <c r="DN163">
        <v>1</v>
      </c>
      <c r="DO163">
        <v>1</v>
      </c>
      <c r="DP163">
        <v>1</v>
      </c>
      <c r="DQ163">
        <v>0</v>
      </c>
      <c r="DR163">
        <v>0</v>
      </c>
      <c r="DT163">
        <v>0</v>
      </c>
      <c r="DU163">
        <v>0</v>
      </c>
      <c r="DV163">
        <v>0</v>
      </c>
      <c r="DW163">
        <v>0</v>
      </c>
      <c r="DX163">
        <v>1</v>
      </c>
      <c r="DY163">
        <v>0</v>
      </c>
      <c r="DZ163">
        <v>0</v>
      </c>
      <c r="EA163">
        <v>1</v>
      </c>
      <c r="EB163">
        <v>0</v>
      </c>
      <c r="EC163">
        <v>0</v>
      </c>
      <c r="ED163">
        <v>1</v>
      </c>
      <c r="EE163">
        <v>0</v>
      </c>
      <c r="EF163">
        <v>0</v>
      </c>
      <c r="IG163">
        <v>1</v>
      </c>
      <c r="IH163">
        <v>1</v>
      </c>
      <c r="II163">
        <v>0</v>
      </c>
      <c r="IJ163">
        <v>0</v>
      </c>
      <c r="IK163">
        <v>1</v>
      </c>
      <c r="IL163">
        <v>0</v>
      </c>
      <c r="IM163">
        <v>0</v>
      </c>
      <c r="IN163">
        <v>0</v>
      </c>
      <c r="IO163">
        <v>0</v>
      </c>
      <c r="IP163">
        <v>0</v>
      </c>
      <c r="IQ163">
        <v>0</v>
      </c>
      <c r="IS163">
        <v>2</v>
      </c>
    </row>
    <row r="164" spans="1:257" x14ac:dyDescent="0.35">
      <c r="A164">
        <v>405236</v>
      </c>
      <c r="C164">
        <v>1</v>
      </c>
      <c r="D164" t="s">
        <v>831</v>
      </c>
      <c r="E164" t="s">
        <v>832</v>
      </c>
      <c r="F164" t="s">
        <v>888</v>
      </c>
      <c r="G164">
        <v>3</v>
      </c>
      <c r="I164">
        <v>0</v>
      </c>
      <c r="J164">
        <v>0</v>
      </c>
      <c r="K164">
        <v>0</v>
      </c>
      <c r="L164">
        <v>0</v>
      </c>
      <c r="M164">
        <v>0</v>
      </c>
      <c r="N164">
        <v>0</v>
      </c>
      <c r="O164">
        <v>0</v>
      </c>
      <c r="P164">
        <v>1</v>
      </c>
      <c r="Q164">
        <v>0</v>
      </c>
      <c r="R164">
        <v>2</v>
      </c>
      <c r="T164">
        <v>0</v>
      </c>
      <c r="U164">
        <v>1</v>
      </c>
      <c r="V164">
        <v>0</v>
      </c>
      <c r="X164">
        <v>2</v>
      </c>
      <c r="AA164">
        <v>2</v>
      </c>
      <c r="AC164">
        <v>1</v>
      </c>
      <c r="AD164">
        <v>0</v>
      </c>
      <c r="AE164">
        <v>0</v>
      </c>
      <c r="AF164">
        <v>0</v>
      </c>
      <c r="AG164">
        <v>0</v>
      </c>
      <c r="AH164">
        <v>0</v>
      </c>
      <c r="AJ164">
        <v>1</v>
      </c>
      <c r="AL164">
        <v>3</v>
      </c>
      <c r="AN164">
        <v>1</v>
      </c>
      <c r="AO164">
        <v>1</v>
      </c>
      <c r="AP164">
        <v>4</v>
      </c>
      <c r="AQ164">
        <v>1</v>
      </c>
      <c r="AR164">
        <v>4</v>
      </c>
      <c r="AS164">
        <v>1</v>
      </c>
      <c r="AT164">
        <v>1</v>
      </c>
      <c r="AU164">
        <v>2</v>
      </c>
      <c r="BC164">
        <v>0</v>
      </c>
      <c r="BD164">
        <v>0</v>
      </c>
      <c r="BE164">
        <v>0</v>
      </c>
      <c r="BF164">
        <v>0</v>
      </c>
      <c r="BG164">
        <v>0</v>
      </c>
      <c r="BH164">
        <v>0</v>
      </c>
      <c r="BI164">
        <v>0</v>
      </c>
      <c r="BJ164">
        <v>0</v>
      </c>
      <c r="BK164">
        <v>0</v>
      </c>
      <c r="BL164">
        <v>0</v>
      </c>
      <c r="BM164">
        <v>0</v>
      </c>
      <c r="BN164">
        <v>0</v>
      </c>
      <c r="BO164">
        <v>0</v>
      </c>
      <c r="BP164">
        <v>1</v>
      </c>
      <c r="BQ164">
        <v>0</v>
      </c>
      <c r="BR164">
        <v>1</v>
      </c>
      <c r="BS164">
        <v>0</v>
      </c>
      <c r="BU164">
        <v>3</v>
      </c>
      <c r="BV164">
        <v>4</v>
      </c>
      <c r="BX164">
        <v>2</v>
      </c>
      <c r="BY164">
        <v>3</v>
      </c>
      <c r="DI164">
        <v>0</v>
      </c>
      <c r="DJ164">
        <v>0</v>
      </c>
      <c r="DK164">
        <v>0</v>
      </c>
      <c r="DL164">
        <v>0</v>
      </c>
      <c r="DM164">
        <v>0</v>
      </c>
      <c r="DN164">
        <v>1</v>
      </c>
      <c r="DO164">
        <v>0</v>
      </c>
      <c r="DP164">
        <v>0</v>
      </c>
      <c r="DQ164">
        <v>0</v>
      </c>
      <c r="DR164">
        <v>0</v>
      </c>
      <c r="DT164">
        <v>0</v>
      </c>
      <c r="DU164">
        <v>0</v>
      </c>
      <c r="DV164">
        <v>0</v>
      </c>
      <c r="DW164">
        <v>1</v>
      </c>
      <c r="DX164">
        <v>0</v>
      </c>
      <c r="DY164">
        <v>0</v>
      </c>
      <c r="DZ164">
        <v>0</v>
      </c>
      <c r="EA164">
        <v>0</v>
      </c>
      <c r="EB164">
        <v>1</v>
      </c>
      <c r="EC164">
        <v>0</v>
      </c>
      <c r="ED164">
        <v>0</v>
      </c>
      <c r="EE164">
        <v>0</v>
      </c>
      <c r="EF164">
        <v>0</v>
      </c>
      <c r="IG164">
        <v>1</v>
      </c>
      <c r="IH164">
        <v>0</v>
      </c>
      <c r="II164">
        <v>0</v>
      </c>
      <c r="IJ164">
        <v>0</v>
      </c>
      <c r="IK164">
        <v>0</v>
      </c>
      <c r="IL164">
        <v>0</v>
      </c>
      <c r="IM164">
        <v>0</v>
      </c>
      <c r="IN164">
        <v>0</v>
      </c>
      <c r="IO164">
        <v>0</v>
      </c>
      <c r="IP164">
        <v>0</v>
      </c>
      <c r="IQ164">
        <v>0</v>
      </c>
      <c r="IS164">
        <v>2</v>
      </c>
    </row>
    <row r="165" spans="1:257" x14ac:dyDescent="0.35">
      <c r="A165">
        <v>363860</v>
      </c>
      <c r="C165">
        <v>1</v>
      </c>
      <c r="D165" t="s">
        <v>892</v>
      </c>
      <c r="E165" t="s">
        <v>893</v>
      </c>
      <c r="F165" t="s">
        <v>888</v>
      </c>
      <c r="G165">
        <v>3</v>
      </c>
      <c r="I165">
        <v>0</v>
      </c>
      <c r="J165">
        <v>0</v>
      </c>
      <c r="K165">
        <v>0</v>
      </c>
      <c r="L165">
        <v>1</v>
      </c>
      <c r="M165">
        <v>0</v>
      </c>
      <c r="N165">
        <v>1</v>
      </c>
      <c r="O165">
        <v>0</v>
      </c>
      <c r="P165">
        <v>0</v>
      </c>
      <c r="Q165">
        <v>0</v>
      </c>
      <c r="R165">
        <v>1</v>
      </c>
      <c r="T165">
        <v>1</v>
      </c>
      <c r="U165">
        <v>1</v>
      </c>
      <c r="V165">
        <v>0</v>
      </c>
      <c r="W165">
        <v>55</v>
      </c>
      <c r="X165">
        <v>40</v>
      </c>
      <c r="Z165">
        <v>55</v>
      </c>
      <c r="AA165">
        <v>40</v>
      </c>
      <c r="AC165">
        <v>1</v>
      </c>
      <c r="AD165">
        <v>1</v>
      </c>
      <c r="AE165">
        <v>0</v>
      </c>
      <c r="AF165">
        <v>0</v>
      </c>
      <c r="AG165">
        <v>0</v>
      </c>
      <c r="AH165">
        <v>0</v>
      </c>
      <c r="AJ165">
        <v>2</v>
      </c>
      <c r="AL165">
        <v>1</v>
      </c>
      <c r="AN165">
        <v>1</v>
      </c>
      <c r="AO165">
        <v>1</v>
      </c>
      <c r="AP165">
        <v>4</v>
      </c>
      <c r="AQ165">
        <v>1</v>
      </c>
      <c r="AR165">
        <v>5</v>
      </c>
      <c r="AS165">
        <v>1</v>
      </c>
      <c r="AT165">
        <v>1</v>
      </c>
      <c r="AU165">
        <v>1</v>
      </c>
      <c r="AV165">
        <v>1</v>
      </c>
      <c r="AW165">
        <v>0</v>
      </c>
      <c r="AX165">
        <v>0</v>
      </c>
      <c r="AY165">
        <v>0</v>
      </c>
      <c r="AZ165">
        <v>1</v>
      </c>
      <c r="BA165">
        <v>0</v>
      </c>
      <c r="BC165">
        <v>0</v>
      </c>
      <c r="BD165">
        <v>0</v>
      </c>
      <c r="BE165">
        <v>0</v>
      </c>
      <c r="BF165">
        <v>0</v>
      </c>
      <c r="BG165">
        <v>1</v>
      </c>
      <c r="BH165">
        <v>0</v>
      </c>
      <c r="BI165">
        <v>0</v>
      </c>
      <c r="BJ165">
        <v>0</v>
      </c>
      <c r="BK165">
        <v>0</v>
      </c>
      <c r="BL165">
        <v>0</v>
      </c>
      <c r="BM165">
        <v>0</v>
      </c>
      <c r="BN165">
        <v>0</v>
      </c>
      <c r="BO165">
        <v>0</v>
      </c>
      <c r="BP165">
        <v>0</v>
      </c>
      <c r="BQ165">
        <v>0</v>
      </c>
      <c r="BR165">
        <v>0</v>
      </c>
      <c r="BS165">
        <v>1</v>
      </c>
      <c r="BT165" t="s">
        <v>894</v>
      </c>
      <c r="BU165">
        <v>9</v>
      </c>
      <c r="BV165">
        <v>4</v>
      </c>
      <c r="BX165">
        <v>5</v>
      </c>
      <c r="BY165">
        <v>5</v>
      </c>
      <c r="DI165">
        <v>0</v>
      </c>
      <c r="DJ165">
        <v>0</v>
      </c>
      <c r="DK165">
        <v>1</v>
      </c>
      <c r="DL165">
        <v>0</v>
      </c>
      <c r="DM165">
        <v>0</v>
      </c>
      <c r="DN165">
        <v>1</v>
      </c>
      <c r="DO165">
        <v>0</v>
      </c>
      <c r="DP165">
        <v>0</v>
      </c>
      <c r="DQ165">
        <v>1</v>
      </c>
      <c r="DR165">
        <v>0</v>
      </c>
      <c r="DS165" t="s">
        <v>895</v>
      </c>
      <c r="DT165">
        <v>0</v>
      </c>
      <c r="DU165">
        <v>1</v>
      </c>
      <c r="DV165">
        <v>0</v>
      </c>
      <c r="DW165">
        <v>1</v>
      </c>
      <c r="DX165">
        <v>1</v>
      </c>
      <c r="DY165">
        <v>0</v>
      </c>
      <c r="DZ165">
        <v>0</v>
      </c>
      <c r="EA165">
        <v>1</v>
      </c>
      <c r="EB165">
        <v>1</v>
      </c>
      <c r="EC165">
        <v>0</v>
      </c>
      <c r="ED165">
        <v>1</v>
      </c>
      <c r="EE165">
        <v>0</v>
      </c>
      <c r="EF165">
        <v>0</v>
      </c>
      <c r="EI165" t="s">
        <v>896</v>
      </c>
      <c r="EJ165">
        <v>0</v>
      </c>
      <c r="EK165">
        <v>0</v>
      </c>
      <c r="EL165">
        <v>0</v>
      </c>
      <c r="EM165">
        <v>0</v>
      </c>
      <c r="EN165">
        <v>0</v>
      </c>
      <c r="EO165">
        <v>0</v>
      </c>
      <c r="EP165">
        <v>0</v>
      </c>
      <c r="EQ165">
        <v>0</v>
      </c>
      <c r="ER165">
        <v>0</v>
      </c>
      <c r="ES165">
        <v>0</v>
      </c>
      <c r="ET165">
        <v>0</v>
      </c>
      <c r="EU165">
        <v>0</v>
      </c>
      <c r="EV165">
        <v>0</v>
      </c>
      <c r="EW165">
        <v>0</v>
      </c>
      <c r="EX165">
        <v>0</v>
      </c>
      <c r="EY165">
        <v>1</v>
      </c>
      <c r="EZ165">
        <v>0</v>
      </c>
      <c r="FA165">
        <v>0</v>
      </c>
      <c r="FB165">
        <v>0</v>
      </c>
      <c r="FC165">
        <v>0</v>
      </c>
      <c r="FD165">
        <v>0</v>
      </c>
      <c r="FE165">
        <v>0</v>
      </c>
      <c r="IG165">
        <v>1</v>
      </c>
      <c r="IH165">
        <v>0</v>
      </c>
      <c r="II165">
        <v>0</v>
      </c>
      <c r="IJ165">
        <v>0</v>
      </c>
      <c r="IK165">
        <v>0</v>
      </c>
      <c r="IL165">
        <v>0</v>
      </c>
      <c r="IM165">
        <v>0</v>
      </c>
      <c r="IN165">
        <v>0</v>
      </c>
      <c r="IO165">
        <v>0</v>
      </c>
      <c r="IP165">
        <v>0</v>
      </c>
      <c r="IQ165">
        <v>0</v>
      </c>
      <c r="IS165">
        <v>2</v>
      </c>
    </row>
    <row r="166" spans="1:257" x14ac:dyDescent="0.35">
      <c r="A166">
        <v>360041</v>
      </c>
      <c r="C166">
        <v>1</v>
      </c>
      <c r="D166" t="s">
        <v>897</v>
      </c>
      <c r="E166" t="s">
        <v>898</v>
      </c>
      <c r="F166" t="s">
        <v>888</v>
      </c>
      <c r="G166">
        <v>4</v>
      </c>
      <c r="I166">
        <v>1</v>
      </c>
      <c r="J166">
        <v>0</v>
      </c>
      <c r="K166">
        <v>0</v>
      </c>
      <c r="L166">
        <v>1</v>
      </c>
      <c r="M166">
        <v>0</v>
      </c>
      <c r="N166">
        <v>1</v>
      </c>
      <c r="O166">
        <v>0</v>
      </c>
      <c r="P166">
        <v>1</v>
      </c>
      <c r="Q166">
        <v>0</v>
      </c>
      <c r="R166">
        <v>1</v>
      </c>
      <c r="T166">
        <v>1</v>
      </c>
      <c r="U166">
        <v>1</v>
      </c>
      <c r="V166">
        <v>0</v>
      </c>
      <c r="W166">
        <v>65</v>
      </c>
      <c r="X166">
        <v>55</v>
      </c>
      <c r="Z166">
        <v>65</v>
      </c>
      <c r="AA166">
        <v>55</v>
      </c>
      <c r="AC166">
        <v>1</v>
      </c>
      <c r="AD166">
        <v>1</v>
      </c>
      <c r="AE166">
        <v>0</v>
      </c>
      <c r="AF166">
        <v>0</v>
      </c>
      <c r="AG166">
        <v>0</v>
      </c>
      <c r="AH166">
        <v>0</v>
      </c>
      <c r="AJ166">
        <v>2</v>
      </c>
      <c r="AL166">
        <v>4</v>
      </c>
      <c r="AN166">
        <v>1</v>
      </c>
      <c r="AO166">
        <v>1</v>
      </c>
      <c r="AP166">
        <v>3</v>
      </c>
      <c r="AQ166">
        <v>1</v>
      </c>
      <c r="AR166">
        <v>6</v>
      </c>
      <c r="AS166">
        <v>2</v>
      </c>
      <c r="AT166">
        <v>1</v>
      </c>
      <c r="AU166">
        <v>1</v>
      </c>
      <c r="AV166">
        <v>0</v>
      </c>
      <c r="AW166">
        <v>1</v>
      </c>
      <c r="AX166">
        <v>1</v>
      </c>
      <c r="AY166">
        <v>1</v>
      </c>
      <c r="AZ166">
        <v>0</v>
      </c>
      <c r="BA166">
        <v>0</v>
      </c>
      <c r="BC166">
        <v>0</v>
      </c>
      <c r="BD166">
        <v>0</v>
      </c>
      <c r="BE166">
        <v>0</v>
      </c>
      <c r="BF166">
        <v>0</v>
      </c>
      <c r="BG166">
        <v>0</v>
      </c>
      <c r="BH166">
        <v>0</v>
      </c>
      <c r="BI166">
        <v>1</v>
      </c>
      <c r="BJ166">
        <v>0</v>
      </c>
      <c r="BK166">
        <v>1</v>
      </c>
      <c r="BL166">
        <v>0</v>
      </c>
      <c r="BM166">
        <v>1</v>
      </c>
      <c r="BN166">
        <v>1</v>
      </c>
      <c r="BO166">
        <v>0</v>
      </c>
      <c r="BP166">
        <v>1</v>
      </c>
      <c r="BQ166">
        <v>0</v>
      </c>
      <c r="BR166">
        <v>0</v>
      </c>
      <c r="BS166">
        <v>0</v>
      </c>
      <c r="BU166">
        <v>9</v>
      </c>
      <c r="BV166">
        <v>4</v>
      </c>
      <c r="BX166">
        <v>3</v>
      </c>
      <c r="BY166">
        <v>3</v>
      </c>
      <c r="DI166">
        <v>0</v>
      </c>
      <c r="DJ166">
        <v>1</v>
      </c>
      <c r="DK166">
        <v>1</v>
      </c>
      <c r="DL166">
        <v>0</v>
      </c>
      <c r="DM166">
        <v>0</v>
      </c>
      <c r="DN166">
        <v>1</v>
      </c>
      <c r="DO166">
        <v>0</v>
      </c>
      <c r="DP166">
        <v>0</v>
      </c>
      <c r="DQ166">
        <v>0</v>
      </c>
      <c r="DR166">
        <v>0</v>
      </c>
      <c r="DT166">
        <v>0</v>
      </c>
      <c r="DU166">
        <v>1</v>
      </c>
      <c r="DV166">
        <v>0</v>
      </c>
      <c r="DW166">
        <v>0</v>
      </c>
      <c r="DX166">
        <v>1</v>
      </c>
      <c r="DY166">
        <v>0</v>
      </c>
      <c r="DZ166">
        <v>0</v>
      </c>
      <c r="EA166">
        <v>1</v>
      </c>
      <c r="EB166">
        <v>1</v>
      </c>
      <c r="EC166">
        <v>0</v>
      </c>
      <c r="ED166">
        <v>1</v>
      </c>
      <c r="EE166">
        <v>0</v>
      </c>
      <c r="EF166">
        <v>0</v>
      </c>
      <c r="EI166" t="s">
        <v>500</v>
      </c>
      <c r="EJ166">
        <v>1</v>
      </c>
      <c r="EK166">
        <v>1</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IG166">
        <v>0</v>
      </c>
      <c r="IH166">
        <v>0</v>
      </c>
      <c r="II166">
        <v>0</v>
      </c>
      <c r="IJ166">
        <v>0</v>
      </c>
      <c r="IK166">
        <v>1</v>
      </c>
      <c r="IL166">
        <v>1</v>
      </c>
      <c r="IM166">
        <v>0</v>
      </c>
      <c r="IN166">
        <v>0</v>
      </c>
      <c r="IO166">
        <v>0</v>
      </c>
      <c r="IP166">
        <v>0</v>
      </c>
      <c r="IQ166">
        <v>0</v>
      </c>
      <c r="IS166">
        <v>1</v>
      </c>
      <c r="IT166">
        <v>0</v>
      </c>
      <c r="IU166">
        <v>1</v>
      </c>
      <c r="IV166">
        <v>0</v>
      </c>
      <c r="IW166">
        <v>0</v>
      </c>
    </row>
    <row r="167" spans="1:257" x14ac:dyDescent="0.35">
      <c r="A167">
        <v>405225</v>
      </c>
      <c r="C167">
        <v>1</v>
      </c>
      <c r="D167" t="s">
        <v>899</v>
      </c>
      <c r="E167" t="s">
        <v>900</v>
      </c>
      <c r="F167" t="s">
        <v>901</v>
      </c>
      <c r="G167">
        <v>3</v>
      </c>
      <c r="I167">
        <v>1</v>
      </c>
      <c r="J167">
        <v>0</v>
      </c>
      <c r="K167">
        <v>1</v>
      </c>
      <c r="L167">
        <v>0</v>
      </c>
      <c r="M167">
        <v>0</v>
      </c>
      <c r="N167">
        <v>0</v>
      </c>
      <c r="O167">
        <v>0</v>
      </c>
      <c r="P167">
        <v>0</v>
      </c>
      <c r="Q167">
        <v>0</v>
      </c>
      <c r="R167">
        <v>1</v>
      </c>
      <c r="T167">
        <v>0</v>
      </c>
      <c r="U167">
        <v>1</v>
      </c>
      <c r="V167">
        <v>0</v>
      </c>
      <c r="X167">
        <v>5</v>
      </c>
      <c r="AA167">
        <v>5</v>
      </c>
      <c r="AC167">
        <v>1</v>
      </c>
      <c r="AD167">
        <v>0</v>
      </c>
      <c r="AE167">
        <v>0</v>
      </c>
      <c r="AF167">
        <v>0</v>
      </c>
      <c r="AG167">
        <v>0</v>
      </c>
      <c r="AH167">
        <v>0</v>
      </c>
      <c r="AJ167">
        <v>1</v>
      </c>
      <c r="AL167">
        <v>1</v>
      </c>
      <c r="AN167">
        <v>1</v>
      </c>
      <c r="AO167">
        <v>2</v>
      </c>
      <c r="AP167">
        <v>3</v>
      </c>
      <c r="AQ167">
        <v>2</v>
      </c>
      <c r="AS167">
        <v>2</v>
      </c>
      <c r="AT167">
        <v>1</v>
      </c>
      <c r="AU167">
        <v>2</v>
      </c>
      <c r="BC167">
        <v>0</v>
      </c>
      <c r="BD167">
        <v>0</v>
      </c>
      <c r="BE167">
        <v>1</v>
      </c>
      <c r="BF167">
        <v>0</v>
      </c>
      <c r="BG167">
        <v>1</v>
      </c>
      <c r="BH167">
        <v>0</v>
      </c>
      <c r="BI167">
        <v>0</v>
      </c>
      <c r="BJ167">
        <v>0</v>
      </c>
      <c r="BK167">
        <v>0</v>
      </c>
      <c r="BL167">
        <v>0</v>
      </c>
      <c r="BM167">
        <v>0</v>
      </c>
      <c r="BN167">
        <v>0</v>
      </c>
      <c r="BO167">
        <v>0</v>
      </c>
      <c r="BP167">
        <v>0</v>
      </c>
      <c r="BQ167">
        <v>0</v>
      </c>
      <c r="BR167">
        <v>0</v>
      </c>
      <c r="BS167">
        <v>0</v>
      </c>
      <c r="BU167">
        <v>5</v>
      </c>
      <c r="BV167">
        <v>4</v>
      </c>
      <c r="BX167">
        <v>2</v>
      </c>
      <c r="BY167">
        <v>1</v>
      </c>
      <c r="DI167">
        <v>0</v>
      </c>
      <c r="DJ167">
        <v>0</v>
      </c>
      <c r="DK167">
        <v>1</v>
      </c>
      <c r="DL167">
        <v>0</v>
      </c>
      <c r="DM167">
        <v>0</v>
      </c>
      <c r="DN167">
        <v>0</v>
      </c>
      <c r="DO167">
        <v>0</v>
      </c>
      <c r="DP167">
        <v>0</v>
      </c>
      <c r="DQ167">
        <v>0</v>
      </c>
      <c r="DR167">
        <v>0</v>
      </c>
      <c r="DT167">
        <v>0</v>
      </c>
      <c r="DU167">
        <v>1</v>
      </c>
      <c r="DV167">
        <v>0</v>
      </c>
      <c r="DW167">
        <v>0</v>
      </c>
      <c r="DX167">
        <v>0</v>
      </c>
      <c r="DY167">
        <v>0</v>
      </c>
      <c r="DZ167">
        <v>0</v>
      </c>
      <c r="EA167">
        <v>0</v>
      </c>
      <c r="EB167">
        <v>0</v>
      </c>
      <c r="EC167">
        <v>0</v>
      </c>
      <c r="ED167">
        <v>0</v>
      </c>
      <c r="EE167">
        <v>0</v>
      </c>
      <c r="EF167">
        <v>0</v>
      </c>
      <c r="EI167" t="s">
        <v>421</v>
      </c>
      <c r="EJ167">
        <v>1</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IG167">
        <v>1</v>
      </c>
      <c r="IH167">
        <v>0</v>
      </c>
      <c r="II167">
        <v>0</v>
      </c>
      <c r="IJ167">
        <v>0</v>
      </c>
      <c r="IK167">
        <v>0</v>
      </c>
      <c r="IL167">
        <v>0</v>
      </c>
      <c r="IM167">
        <v>0</v>
      </c>
      <c r="IN167">
        <v>0</v>
      </c>
      <c r="IO167">
        <v>0</v>
      </c>
      <c r="IP167">
        <v>0</v>
      </c>
      <c r="IQ167">
        <v>0</v>
      </c>
      <c r="IS167">
        <v>2</v>
      </c>
    </row>
    <row r="168" spans="1:257" x14ac:dyDescent="0.35">
      <c r="A168">
        <v>405228</v>
      </c>
      <c r="C168">
        <v>1</v>
      </c>
      <c r="D168" t="s">
        <v>902</v>
      </c>
      <c r="E168" t="s">
        <v>870</v>
      </c>
      <c r="F168" t="s">
        <v>903</v>
      </c>
      <c r="G168">
        <v>6</v>
      </c>
      <c r="I168">
        <v>1</v>
      </c>
      <c r="J168">
        <v>0</v>
      </c>
      <c r="K168">
        <v>0</v>
      </c>
      <c r="L168">
        <v>1</v>
      </c>
      <c r="M168">
        <v>0</v>
      </c>
      <c r="N168">
        <v>0</v>
      </c>
      <c r="O168">
        <v>0</v>
      </c>
      <c r="P168">
        <v>1</v>
      </c>
      <c r="Q168">
        <v>0</v>
      </c>
      <c r="R168">
        <v>1</v>
      </c>
      <c r="T168">
        <v>1</v>
      </c>
      <c r="U168">
        <v>1</v>
      </c>
      <c r="V168">
        <v>0</v>
      </c>
      <c r="W168">
        <v>2</v>
      </c>
      <c r="X168">
        <v>6</v>
      </c>
      <c r="Z168">
        <v>2</v>
      </c>
      <c r="AA168">
        <v>6</v>
      </c>
      <c r="AC168">
        <v>1</v>
      </c>
      <c r="AD168">
        <v>1</v>
      </c>
      <c r="AE168">
        <v>0</v>
      </c>
      <c r="AF168">
        <v>0</v>
      </c>
      <c r="AG168">
        <v>0</v>
      </c>
      <c r="AH168">
        <v>0</v>
      </c>
      <c r="AJ168">
        <v>1</v>
      </c>
      <c r="AL168">
        <v>1</v>
      </c>
      <c r="AN168">
        <v>1</v>
      </c>
      <c r="AO168">
        <v>1</v>
      </c>
      <c r="AP168">
        <v>4</v>
      </c>
      <c r="AQ168">
        <v>1</v>
      </c>
      <c r="AR168">
        <v>5</v>
      </c>
      <c r="AS168">
        <v>1</v>
      </c>
      <c r="AT168">
        <v>1</v>
      </c>
      <c r="AU168">
        <v>2</v>
      </c>
      <c r="BC168">
        <v>0</v>
      </c>
      <c r="BD168">
        <v>0</v>
      </c>
      <c r="BE168">
        <v>1</v>
      </c>
      <c r="BF168">
        <v>1</v>
      </c>
      <c r="BG168">
        <v>1</v>
      </c>
      <c r="BH168">
        <v>0</v>
      </c>
      <c r="BI168">
        <v>0</v>
      </c>
      <c r="BJ168">
        <v>0</v>
      </c>
      <c r="BK168">
        <v>0</v>
      </c>
      <c r="BL168">
        <v>0</v>
      </c>
      <c r="BM168">
        <v>0</v>
      </c>
      <c r="BN168">
        <v>1</v>
      </c>
      <c r="BO168">
        <v>0</v>
      </c>
      <c r="BP168">
        <v>1</v>
      </c>
      <c r="BQ168">
        <v>0</v>
      </c>
      <c r="BR168">
        <v>1</v>
      </c>
      <c r="BS168">
        <v>0</v>
      </c>
      <c r="BU168">
        <v>4</v>
      </c>
      <c r="BV168">
        <v>4</v>
      </c>
      <c r="BX168">
        <v>3</v>
      </c>
      <c r="BY168">
        <v>3</v>
      </c>
      <c r="DI168">
        <v>0</v>
      </c>
      <c r="DJ168">
        <v>0</v>
      </c>
      <c r="DK168">
        <v>1</v>
      </c>
      <c r="DL168">
        <v>0</v>
      </c>
      <c r="DM168">
        <v>0</v>
      </c>
      <c r="DN168">
        <v>1</v>
      </c>
      <c r="DO168">
        <v>0</v>
      </c>
      <c r="DP168">
        <v>0</v>
      </c>
      <c r="DQ168">
        <v>0</v>
      </c>
      <c r="DR168">
        <v>0</v>
      </c>
      <c r="DT168">
        <v>0</v>
      </c>
      <c r="DU168">
        <v>1</v>
      </c>
      <c r="DV168">
        <v>0</v>
      </c>
      <c r="DW168">
        <v>0</v>
      </c>
      <c r="DX168">
        <v>0</v>
      </c>
      <c r="DY168">
        <v>0</v>
      </c>
      <c r="DZ168">
        <v>0</v>
      </c>
      <c r="EA168">
        <v>0</v>
      </c>
      <c r="EB168">
        <v>0</v>
      </c>
      <c r="EC168">
        <v>0</v>
      </c>
      <c r="ED168">
        <v>1</v>
      </c>
      <c r="EE168">
        <v>0</v>
      </c>
      <c r="EF168">
        <v>0</v>
      </c>
      <c r="EI168" t="s">
        <v>421</v>
      </c>
      <c r="EJ168">
        <v>1</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IG168">
        <v>1</v>
      </c>
      <c r="IH168">
        <v>0</v>
      </c>
      <c r="II168">
        <v>1</v>
      </c>
      <c r="IJ168">
        <v>0</v>
      </c>
      <c r="IK168">
        <v>0</v>
      </c>
      <c r="IL168">
        <v>0</v>
      </c>
      <c r="IM168">
        <v>0</v>
      </c>
      <c r="IN168">
        <v>0</v>
      </c>
      <c r="IO168">
        <v>0</v>
      </c>
      <c r="IP168">
        <v>0</v>
      </c>
      <c r="IQ168">
        <v>0</v>
      </c>
      <c r="IS168">
        <v>2</v>
      </c>
    </row>
    <row r="169" spans="1:257" x14ac:dyDescent="0.35">
      <c r="A169">
        <v>405328</v>
      </c>
      <c r="C169">
        <v>1</v>
      </c>
      <c r="D169" t="s">
        <v>904</v>
      </c>
      <c r="E169" t="s">
        <v>905</v>
      </c>
      <c r="F169" t="s">
        <v>906</v>
      </c>
      <c r="G169">
        <v>4</v>
      </c>
      <c r="I169">
        <v>0</v>
      </c>
      <c r="J169">
        <v>0</v>
      </c>
      <c r="K169">
        <v>0</v>
      </c>
      <c r="L169">
        <v>1</v>
      </c>
      <c r="M169">
        <v>0</v>
      </c>
      <c r="N169">
        <v>0</v>
      </c>
      <c r="O169">
        <v>0</v>
      </c>
      <c r="P169">
        <v>0</v>
      </c>
      <c r="Q169">
        <v>0</v>
      </c>
      <c r="R169">
        <v>1</v>
      </c>
      <c r="T169">
        <v>1</v>
      </c>
      <c r="U169">
        <v>1</v>
      </c>
      <c r="V169">
        <v>0</v>
      </c>
      <c r="W169">
        <v>12</v>
      </c>
      <c r="X169">
        <v>50</v>
      </c>
      <c r="Z169">
        <v>12</v>
      </c>
      <c r="AA169">
        <v>50</v>
      </c>
      <c r="AC169">
        <v>1</v>
      </c>
      <c r="AD169">
        <v>1</v>
      </c>
      <c r="AE169">
        <v>0</v>
      </c>
      <c r="AF169">
        <v>1</v>
      </c>
      <c r="AG169">
        <v>0</v>
      </c>
      <c r="AH169">
        <v>0</v>
      </c>
      <c r="AJ169">
        <v>2</v>
      </c>
      <c r="AL169">
        <v>1</v>
      </c>
      <c r="AN169">
        <v>1</v>
      </c>
      <c r="AO169">
        <v>1</v>
      </c>
      <c r="AP169">
        <v>5</v>
      </c>
      <c r="AQ169">
        <v>2</v>
      </c>
      <c r="AS169">
        <v>2</v>
      </c>
      <c r="AT169">
        <v>1</v>
      </c>
      <c r="AU169">
        <v>1</v>
      </c>
      <c r="AV169">
        <v>1</v>
      </c>
      <c r="AW169">
        <v>0</v>
      </c>
      <c r="AX169">
        <v>0</v>
      </c>
      <c r="AY169">
        <v>0</v>
      </c>
      <c r="AZ169">
        <v>0</v>
      </c>
      <c r="BA169">
        <v>0</v>
      </c>
      <c r="BC169">
        <v>1</v>
      </c>
      <c r="BD169">
        <v>0</v>
      </c>
      <c r="BE169">
        <v>1</v>
      </c>
      <c r="BF169">
        <v>1</v>
      </c>
      <c r="BG169">
        <v>1</v>
      </c>
      <c r="BH169">
        <v>0</v>
      </c>
      <c r="BI169">
        <v>0</v>
      </c>
      <c r="BJ169">
        <v>1</v>
      </c>
      <c r="BK169">
        <v>1</v>
      </c>
      <c r="BL169">
        <v>0</v>
      </c>
      <c r="BM169">
        <v>0</v>
      </c>
      <c r="BN169">
        <v>1</v>
      </c>
      <c r="BO169">
        <v>0</v>
      </c>
      <c r="BP169">
        <v>1</v>
      </c>
      <c r="BQ169">
        <v>0</v>
      </c>
      <c r="BR169">
        <v>0</v>
      </c>
      <c r="BS169">
        <v>0</v>
      </c>
      <c r="BU169">
        <v>5</v>
      </c>
      <c r="BV169">
        <v>4</v>
      </c>
      <c r="BX169">
        <v>3</v>
      </c>
      <c r="BY169">
        <v>3</v>
      </c>
      <c r="DI169">
        <v>0</v>
      </c>
      <c r="DJ169">
        <v>0</v>
      </c>
      <c r="DK169">
        <v>1</v>
      </c>
      <c r="DL169">
        <v>0</v>
      </c>
      <c r="DM169">
        <v>0</v>
      </c>
      <c r="DN169">
        <v>0</v>
      </c>
      <c r="DO169">
        <v>0</v>
      </c>
      <c r="DP169">
        <v>0</v>
      </c>
      <c r="DQ169">
        <v>1</v>
      </c>
      <c r="DR169">
        <v>0</v>
      </c>
      <c r="DS169" t="s">
        <v>907</v>
      </c>
      <c r="DT169">
        <v>0</v>
      </c>
      <c r="DU169">
        <v>1</v>
      </c>
      <c r="DV169">
        <v>0</v>
      </c>
      <c r="DW169">
        <v>1</v>
      </c>
      <c r="DX169">
        <v>1</v>
      </c>
      <c r="DY169">
        <v>0</v>
      </c>
      <c r="DZ169">
        <v>0</v>
      </c>
      <c r="EA169">
        <v>1</v>
      </c>
      <c r="EB169">
        <v>0</v>
      </c>
      <c r="EC169">
        <v>0</v>
      </c>
      <c r="ED169">
        <v>1</v>
      </c>
      <c r="EE169">
        <v>0</v>
      </c>
      <c r="EF169">
        <v>0</v>
      </c>
      <c r="EI169" t="s">
        <v>274</v>
      </c>
      <c r="EJ169">
        <v>1</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IG169">
        <v>1</v>
      </c>
      <c r="IH169">
        <v>0</v>
      </c>
      <c r="II169">
        <v>1</v>
      </c>
      <c r="IJ169">
        <v>1</v>
      </c>
      <c r="IK169">
        <v>0</v>
      </c>
      <c r="IL169">
        <v>0</v>
      </c>
      <c r="IM169">
        <v>0</v>
      </c>
      <c r="IN169">
        <v>0</v>
      </c>
      <c r="IO169">
        <v>0</v>
      </c>
      <c r="IP169">
        <v>0</v>
      </c>
      <c r="IQ169">
        <v>0</v>
      </c>
      <c r="IS169">
        <v>1</v>
      </c>
      <c r="IT169">
        <v>1</v>
      </c>
      <c r="IU169">
        <v>1</v>
      </c>
      <c r="IV169">
        <v>0</v>
      </c>
      <c r="IW169">
        <v>0</v>
      </c>
    </row>
    <row r="170" spans="1:257" x14ac:dyDescent="0.35">
      <c r="A170">
        <v>405502</v>
      </c>
      <c r="C170">
        <v>1</v>
      </c>
      <c r="D170" t="s">
        <v>908</v>
      </c>
      <c r="E170" t="s">
        <v>909</v>
      </c>
      <c r="F170" t="s">
        <v>910</v>
      </c>
      <c r="G170">
        <v>4</v>
      </c>
      <c r="I170">
        <v>1</v>
      </c>
      <c r="J170">
        <v>0</v>
      </c>
      <c r="K170">
        <v>0</v>
      </c>
      <c r="L170">
        <v>1</v>
      </c>
      <c r="M170">
        <v>0</v>
      </c>
      <c r="N170">
        <v>0</v>
      </c>
      <c r="O170">
        <v>0</v>
      </c>
      <c r="P170">
        <v>0</v>
      </c>
      <c r="Q170">
        <v>0</v>
      </c>
      <c r="R170">
        <v>1</v>
      </c>
      <c r="T170">
        <v>0</v>
      </c>
      <c r="U170">
        <v>1</v>
      </c>
      <c r="V170">
        <v>0</v>
      </c>
      <c r="X170">
        <v>13</v>
      </c>
      <c r="AA170">
        <v>13</v>
      </c>
      <c r="AC170">
        <v>1</v>
      </c>
      <c r="AD170">
        <v>0</v>
      </c>
      <c r="AE170">
        <v>0</v>
      </c>
      <c r="AF170">
        <v>0</v>
      </c>
      <c r="AG170">
        <v>0</v>
      </c>
      <c r="AH170">
        <v>0</v>
      </c>
      <c r="AJ170">
        <v>1</v>
      </c>
      <c r="AL170">
        <v>1</v>
      </c>
      <c r="AN170">
        <v>1</v>
      </c>
      <c r="AO170">
        <v>1</v>
      </c>
      <c r="AP170">
        <v>3</v>
      </c>
      <c r="AQ170">
        <v>2</v>
      </c>
      <c r="AS170">
        <v>2</v>
      </c>
      <c r="AT170">
        <v>1</v>
      </c>
      <c r="AU170">
        <v>1</v>
      </c>
      <c r="AV170">
        <v>1</v>
      </c>
      <c r="AW170">
        <v>0</v>
      </c>
      <c r="AX170">
        <v>1</v>
      </c>
      <c r="AY170">
        <v>1</v>
      </c>
      <c r="AZ170">
        <v>0</v>
      </c>
      <c r="BA170">
        <v>0</v>
      </c>
      <c r="BC170">
        <v>0</v>
      </c>
      <c r="BD170">
        <v>0</v>
      </c>
      <c r="BE170">
        <v>1</v>
      </c>
      <c r="BF170">
        <v>1</v>
      </c>
      <c r="BG170">
        <v>1</v>
      </c>
      <c r="BH170">
        <v>1</v>
      </c>
      <c r="BI170">
        <v>0</v>
      </c>
      <c r="BJ170">
        <v>1</v>
      </c>
      <c r="BK170">
        <v>0</v>
      </c>
      <c r="BL170">
        <v>0</v>
      </c>
      <c r="BM170">
        <v>0</v>
      </c>
      <c r="BN170">
        <v>0</v>
      </c>
      <c r="BO170">
        <v>0</v>
      </c>
      <c r="BP170">
        <v>0</v>
      </c>
      <c r="BQ170">
        <v>0</v>
      </c>
      <c r="BR170">
        <v>0</v>
      </c>
      <c r="BS170">
        <v>0</v>
      </c>
      <c r="BU170">
        <v>4</v>
      </c>
      <c r="BV170">
        <v>4</v>
      </c>
      <c r="BX170">
        <v>3</v>
      </c>
      <c r="BY170">
        <v>3</v>
      </c>
      <c r="DI170">
        <v>1</v>
      </c>
      <c r="DJ170">
        <v>1</v>
      </c>
      <c r="DK170">
        <v>1</v>
      </c>
      <c r="DL170">
        <v>0</v>
      </c>
      <c r="DM170">
        <v>0</v>
      </c>
      <c r="DN170">
        <v>0</v>
      </c>
      <c r="DO170">
        <v>0</v>
      </c>
      <c r="DP170">
        <v>0</v>
      </c>
      <c r="DQ170">
        <v>0</v>
      </c>
      <c r="DR170">
        <v>0</v>
      </c>
      <c r="DT170">
        <v>0</v>
      </c>
      <c r="DU170">
        <v>1</v>
      </c>
      <c r="DV170">
        <v>0</v>
      </c>
      <c r="DW170">
        <v>1</v>
      </c>
      <c r="DX170">
        <v>0</v>
      </c>
      <c r="DY170">
        <v>0</v>
      </c>
      <c r="DZ170">
        <v>0</v>
      </c>
      <c r="EA170">
        <v>0</v>
      </c>
      <c r="EB170">
        <v>0</v>
      </c>
      <c r="EC170">
        <v>0</v>
      </c>
      <c r="ED170">
        <v>1</v>
      </c>
      <c r="EE170">
        <v>0</v>
      </c>
      <c r="EF170">
        <v>0</v>
      </c>
      <c r="EI170" t="s">
        <v>285</v>
      </c>
      <c r="EJ170">
        <v>0</v>
      </c>
      <c r="EK170">
        <v>1</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IG170">
        <v>1</v>
      </c>
      <c r="IH170">
        <v>0</v>
      </c>
      <c r="II170">
        <v>1</v>
      </c>
      <c r="IJ170">
        <v>0</v>
      </c>
      <c r="IK170">
        <v>0</v>
      </c>
      <c r="IL170">
        <v>1</v>
      </c>
      <c r="IM170">
        <v>0</v>
      </c>
      <c r="IN170">
        <v>0</v>
      </c>
      <c r="IO170">
        <v>0</v>
      </c>
      <c r="IP170">
        <v>0</v>
      </c>
      <c r="IQ170">
        <v>0</v>
      </c>
      <c r="IS170">
        <v>2</v>
      </c>
    </row>
    <row r="171" spans="1:257" x14ac:dyDescent="0.35">
      <c r="A171">
        <v>396979</v>
      </c>
      <c r="C171">
        <v>1</v>
      </c>
      <c r="D171" t="s">
        <v>911</v>
      </c>
      <c r="E171" t="s">
        <v>912</v>
      </c>
      <c r="F171" t="s">
        <v>910</v>
      </c>
      <c r="G171">
        <v>3</v>
      </c>
      <c r="I171">
        <v>0</v>
      </c>
      <c r="J171">
        <v>0</v>
      </c>
      <c r="K171">
        <v>1</v>
      </c>
      <c r="L171">
        <v>0</v>
      </c>
      <c r="M171">
        <v>0</v>
      </c>
      <c r="N171">
        <v>1</v>
      </c>
      <c r="O171">
        <v>0</v>
      </c>
      <c r="P171">
        <v>0</v>
      </c>
      <c r="Q171">
        <v>0</v>
      </c>
      <c r="R171">
        <v>1</v>
      </c>
      <c r="T171">
        <v>0</v>
      </c>
      <c r="U171">
        <v>1</v>
      </c>
      <c r="V171">
        <v>0</v>
      </c>
      <c r="X171">
        <v>158</v>
      </c>
      <c r="AA171">
        <v>158</v>
      </c>
      <c r="AC171">
        <v>1</v>
      </c>
      <c r="AD171">
        <v>0</v>
      </c>
      <c r="AE171">
        <v>0</v>
      </c>
      <c r="AF171">
        <v>0</v>
      </c>
      <c r="AG171">
        <v>0</v>
      </c>
      <c r="AH171">
        <v>0</v>
      </c>
      <c r="AJ171">
        <v>1</v>
      </c>
      <c r="AL171">
        <v>1</v>
      </c>
      <c r="AN171">
        <v>1</v>
      </c>
      <c r="AO171">
        <v>1</v>
      </c>
      <c r="AP171">
        <v>2</v>
      </c>
      <c r="AQ171">
        <v>1</v>
      </c>
      <c r="AR171">
        <v>1</v>
      </c>
      <c r="AS171">
        <v>1</v>
      </c>
      <c r="AT171">
        <v>1</v>
      </c>
      <c r="AU171">
        <v>1</v>
      </c>
      <c r="AV171">
        <v>1</v>
      </c>
      <c r="AW171">
        <v>0</v>
      </c>
      <c r="AX171">
        <v>0</v>
      </c>
      <c r="AY171">
        <v>0</v>
      </c>
      <c r="AZ171">
        <v>1</v>
      </c>
      <c r="BA171">
        <v>0</v>
      </c>
      <c r="BC171">
        <v>0</v>
      </c>
      <c r="BD171">
        <v>0</v>
      </c>
      <c r="BE171">
        <v>1</v>
      </c>
      <c r="BF171">
        <v>1</v>
      </c>
      <c r="BG171">
        <v>0</v>
      </c>
      <c r="BH171">
        <v>0</v>
      </c>
      <c r="BI171">
        <v>0</v>
      </c>
      <c r="BJ171">
        <v>0</v>
      </c>
      <c r="BK171">
        <v>0</v>
      </c>
      <c r="BL171">
        <v>0</v>
      </c>
      <c r="BM171">
        <v>0</v>
      </c>
      <c r="BN171">
        <v>0</v>
      </c>
      <c r="BO171">
        <v>0</v>
      </c>
      <c r="BP171">
        <v>0</v>
      </c>
      <c r="BQ171">
        <v>0</v>
      </c>
      <c r="BR171">
        <v>0</v>
      </c>
      <c r="BS171">
        <v>0</v>
      </c>
      <c r="BU171">
        <v>13</v>
      </c>
      <c r="BV171">
        <v>1</v>
      </c>
      <c r="BW171" t="s">
        <v>913</v>
      </c>
      <c r="BX171">
        <v>5</v>
      </c>
      <c r="BY171">
        <v>5</v>
      </c>
      <c r="DI171">
        <v>0</v>
      </c>
      <c r="DJ171">
        <v>1</v>
      </c>
      <c r="DK171">
        <v>1</v>
      </c>
      <c r="DL171">
        <v>1</v>
      </c>
      <c r="DM171">
        <v>0</v>
      </c>
      <c r="DN171">
        <v>1</v>
      </c>
      <c r="DO171">
        <v>0</v>
      </c>
      <c r="DP171">
        <v>0</v>
      </c>
      <c r="DQ171">
        <v>0</v>
      </c>
      <c r="DR171">
        <v>0</v>
      </c>
      <c r="DT171">
        <v>0</v>
      </c>
      <c r="DU171">
        <v>1</v>
      </c>
      <c r="DV171">
        <v>1</v>
      </c>
      <c r="DW171">
        <v>0</v>
      </c>
      <c r="DX171">
        <v>0</v>
      </c>
      <c r="DY171">
        <v>0</v>
      </c>
      <c r="DZ171">
        <v>0</v>
      </c>
      <c r="EA171">
        <v>0</v>
      </c>
      <c r="EB171">
        <v>0</v>
      </c>
      <c r="EC171">
        <v>0</v>
      </c>
      <c r="ED171">
        <v>1</v>
      </c>
      <c r="EE171">
        <v>0</v>
      </c>
      <c r="EF171">
        <v>0</v>
      </c>
      <c r="EI171" t="s">
        <v>914</v>
      </c>
      <c r="EJ171">
        <v>1</v>
      </c>
      <c r="EK171">
        <v>1</v>
      </c>
      <c r="EL171">
        <v>0</v>
      </c>
      <c r="EM171">
        <v>0</v>
      </c>
      <c r="EN171">
        <v>0</v>
      </c>
      <c r="EO171">
        <v>0</v>
      </c>
      <c r="EP171">
        <v>0</v>
      </c>
      <c r="EQ171">
        <v>0</v>
      </c>
      <c r="ER171">
        <v>0</v>
      </c>
      <c r="ES171">
        <v>0</v>
      </c>
      <c r="ET171">
        <v>0</v>
      </c>
      <c r="EU171">
        <v>0</v>
      </c>
      <c r="EV171">
        <v>1</v>
      </c>
      <c r="EW171">
        <v>0</v>
      </c>
      <c r="EX171">
        <v>0</v>
      </c>
      <c r="EY171">
        <v>0</v>
      </c>
      <c r="EZ171">
        <v>0</v>
      </c>
      <c r="FA171">
        <v>0</v>
      </c>
      <c r="FB171">
        <v>0</v>
      </c>
      <c r="FC171">
        <v>0</v>
      </c>
      <c r="FD171">
        <v>0</v>
      </c>
      <c r="FE171">
        <v>0</v>
      </c>
      <c r="FF171" t="s">
        <v>915</v>
      </c>
      <c r="FG171">
        <v>1</v>
      </c>
      <c r="FH171">
        <v>0</v>
      </c>
      <c r="FI171">
        <v>1</v>
      </c>
      <c r="FJ171">
        <v>0</v>
      </c>
      <c r="FK171">
        <v>0</v>
      </c>
      <c r="FL171">
        <v>0</v>
      </c>
      <c r="FM171">
        <v>0</v>
      </c>
      <c r="FN171">
        <v>0</v>
      </c>
      <c r="FO171">
        <v>0</v>
      </c>
      <c r="FP171">
        <v>0</v>
      </c>
      <c r="FQ171">
        <v>0</v>
      </c>
      <c r="FR171">
        <v>0</v>
      </c>
      <c r="FS171">
        <v>0</v>
      </c>
      <c r="FT171">
        <v>0</v>
      </c>
      <c r="FU171">
        <v>0</v>
      </c>
      <c r="FV171">
        <v>0</v>
      </c>
      <c r="FW171">
        <v>0</v>
      </c>
      <c r="FX171">
        <v>0</v>
      </c>
      <c r="FY171">
        <v>0</v>
      </c>
      <c r="IG171">
        <v>1</v>
      </c>
      <c r="IH171">
        <v>1</v>
      </c>
      <c r="II171">
        <v>0</v>
      </c>
      <c r="IJ171">
        <v>0</v>
      </c>
      <c r="IK171">
        <v>1</v>
      </c>
      <c r="IL171">
        <v>0</v>
      </c>
      <c r="IM171">
        <v>0</v>
      </c>
      <c r="IN171">
        <v>0</v>
      </c>
      <c r="IO171">
        <v>0</v>
      </c>
      <c r="IP171">
        <v>0</v>
      </c>
      <c r="IQ171">
        <v>0</v>
      </c>
      <c r="IS171">
        <v>1</v>
      </c>
      <c r="IT171">
        <v>1</v>
      </c>
      <c r="IU171">
        <v>0</v>
      </c>
      <c r="IV171">
        <v>0</v>
      </c>
      <c r="IW171">
        <v>0</v>
      </c>
    </row>
    <row r="172" spans="1:257" x14ac:dyDescent="0.35">
      <c r="A172">
        <v>370207</v>
      </c>
      <c r="C172">
        <v>1</v>
      </c>
      <c r="D172" t="s">
        <v>916</v>
      </c>
      <c r="E172" t="s">
        <v>917</v>
      </c>
      <c r="F172" t="s">
        <v>918</v>
      </c>
      <c r="G172">
        <v>15</v>
      </c>
      <c r="H172" t="s">
        <v>919</v>
      </c>
      <c r="I172">
        <v>0</v>
      </c>
      <c r="J172">
        <v>0</v>
      </c>
      <c r="K172">
        <v>0</v>
      </c>
      <c r="L172">
        <v>0</v>
      </c>
      <c r="M172">
        <v>1</v>
      </c>
      <c r="N172">
        <v>0</v>
      </c>
      <c r="O172">
        <v>0</v>
      </c>
      <c r="P172">
        <v>0</v>
      </c>
      <c r="Q172">
        <v>0</v>
      </c>
      <c r="R172">
        <v>2</v>
      </c>
    </row>
    <row r="173" spans="1:257" x14ac:dyDescent="0.35">
      <c r="A173">
        <v>405205</v>
      </c>
      <c r="C173">
        <v>1</v>
      </c>
      <c r="D173" t="s">
        <v>920</v>
      </c>
      <c r="E173" t="s">
        <v>921</v>
      </c>
      <c r="F173" t="s">
        <v>910</v>
      </c>
      <c r="G173">
        <v>4</v>
      </c>
      <c r="I173">
        <v>0</v>
      </c>
      <c r="J173">
        <v>0</v>
      </c>
      <c r="K173">
        <v>0</v>
      </c>
      <c r="L173">
        <v>1</v>
      </c>
      <c r="M173">
        <v>0</v>
      </c>
      <c r="N173">
        <v>0</v>
      </c>
      <c r="O173">
        <v>0</v>
      </c>
      <c r="P173">
        <v>0</v>
      </c>
      <c r="Q173">
        <v>0</v>
      </c>
      <c r="R173">
        <v>1</v>
      </c>
      <c r="T173">
        <v>1</v>
      </c>
      <c r="U173">
        <v>1</v>
      </c>
      <c r="V173">
        <v>1</v>
      </c>
      <c r="W173">
        <v>0</v>
      </c>
      <c r="X173">
        <v>22</v>
      </c>
      <c r="Y173">
        <v>0</v>
      </c>
      <c r="AA173">
        <v>22</v>
      </c>
      <c r="AC173">
        <v>1</v>
      </c>
      <c r="AD173">
        <v>0</v>
      </c>
      <c r="AE173">
        <v>0</v>
      </c>
      <c r="AF173">
        <v>0</v>
      </c>
      <c r="AG173">
        <v>0</v>
      </c>
      <c r="AH173">
        <v>0</v>
      </c>
      <c r="AJ173">
        <v>1</v>
      </c>
      <c r="AL173">
        <v>1</v>
      </c>
      <c r="AN173">
        <v>1</v>
      </c>
      <c r="AO173">
        <v>1</v>
      </c>
      <c r="AP173">
        <v>5</v>
      </c>
      <c r="AQ173">
        <v>2</v>
      </c>
      <c r="AS173">
        <v>2</v>
      </c>
      <c r="AT173">
        <v>1</v>
      </c>
      <c r="AU173">
        <v>2</v>
      </c>
      <c r="BC173">
        <v>1</v>
      </c>
      <c r="BD173">
        <v>0</v>
      </c>
      <c r="BE173">
        <v>1</v>
      </c>
      <c r="BF173">
        <v>0</v>
      </c>
      <c r="BG173">
        <v>1</v>
      </c>
      <c r="BH173">
        <v>0</v>
      </c>
      <c r="BI173">
        <v>0</v>
      </c>
      <c r="BJ173">
        <v>0</v>
      </c>
      <c r="BK173">
        <v>1</v>
      </c>
      <c r="BL173">
        <v>0</v>
      </c>
      <c r="BM173">
        <v>0</v>
      </c>
      <c r="BN173">
        <v>0</v>
      </c>
      <c r="BO173">
        <v>0</v>
      </c>
      <c r="BP173">
        <v>0</v>
      </c>
      <c r="BQ173">
        <v>0</v>
      </c>
      <c r="BR173">
        <v>0</v>
      </c>
      <c r="BS173">
        <v>0</v>
      </c>
      <c r="BU173">
        <v>5</v>
      </c>
      <c r="BV173">
        <v>4</v>
      </c>
      <c r="BX173">
        <v>3</v>
      </c>
      <c r="BY173">
        <v>3</v>
      </c>
      <c r="DI173">
        <v>0</v>
      </c>
      <c r="DJ173">
        <v>0</v>
      </c>
      <c r="DK173">
        <v>1</v>
      </c>
      <c r="DL173">
        <v>0</v>
      </c>
      <c r="DM173">
        <v>0</v>
      </c>
      <c r="DN173">
        <v>1</v>
      </c>
      <c r="DO173">
        <v>1</v>
      </c>
      <c r="DP173">
        <v>1</v>
      </c>
      <c r="DQ173">
        <v>0</v>
      </c>
      <c r="DR173">
        <v>0</v>
      </c>
      <c r="DT173">
        <v>0</v>
      </c>
      <c r="DU173">
        <v>0</v>
      </c>
      <c r="DV173">
        <v>0</v>
      </c>
      <c r="DW173">
        <v>1</v>
      </c>
      <c r="DX173">
        <v>1</v>
      </c>
      <c r="DY173">
        <v>1</v>
      </c>
      <c r="DZ173">
        <v>0</v>
      </c>
      <c r="EA173">
        <v>1</v>
      </c>
      <c r="EB173">
        <v>1</v>
      </c>
      <c r="EC173">
        <v>0</v>
      </c>
      <c r="ED173">
        <v>0</v>
      </c>
      <c r="EE173">
        <v>0</v>
      </c>
      <c r="EF173">
        <v>0</v>
      </c>
      <c r="IG173">
        <v>1</v>
      </c>
      <c r="IH173">
        <v>0</v>
      </c>
      <c r="II173">
        <v>0</v>
      </c>
      <c r="IJ173">
        <v>1</v>
      </c>
      <c r="IK173">
        <v>0</v>
      </c>
      <c r="IL173">
        <v>0</v>
      </c>
      <c r="IM173">
        <v>0</v>
      </c>
      <c r="IN173">
        <v>1</v>
      </c>
      <c r="IO173">
        <v>0</v>
      </c>
      <c r="IP173">
        <v>0</v>
      </c>
      <c r="IQ173">
        <v>0</v>
      </c>
      <c r="IS173">
        <v>1</v>
      </c>
      <c r="IT173">
        <v>1</v>
      </c>
      <c r="IU173">
        <v>0</v>
      </c>
      <c r="IV173">
        <v>1</v>
      </c>
      <c r="IW173">
        <v>0</v>
      </c>
    </row>
    <row r="174" spans="1:257" x14ac:dyDescent="0.35">
      <c r="A174">
        <v>405402</v>
      </c>
      <c r="C174">
        <v>1</v>
      </c>
      <c r="D174" t="s">
        <v>922</v>
      </c>
      <c r="E174" t="s">
        <v>923</v>
      </c>
      <c r="F174" t="s">
        <v>910</v>
      </c>
      <c r="G174">
        <v>13</v>
      </c>
      <c r="I174">
        <v>0</v>
      </c>
      <c r="J174">
        <v>0</v>
      </c>
      <c r="K174">
        <v>0</v>
      </c>
      <c r="L174">
        <v>0</v>
      </c>
      <c r="M174">
        <v>0</v>
      </c>
      <c r="N174">
        <v>1</v>
      </c>
      <c r="O174">
        <v>0</v>
      </c>
      <c r="P174">
        <v>0</v>
      </c>
      <c r="Q174">
        <v>0</v>
      </c>
      <c r="R174">
        <v>1</v>
      </c>
      <c r="T174">
        <v>0</v>
      </c>
      <c r="U174">
        <v>1</v>
      </c>
      <c r="V174">
        <v>0</v>
      </c>
      <c r="X174">
        <v>62</v>
      </c>
      <c r="AA174">
        <v>62</v>
      </c>
      <c r="AC174">
        <v>1</v>
      </c>
      <c r="AD174">
        <v>0</v>
      </c>
      <c r="AE174">
        <v>0</v>
      </c>
      <c r="AF174">
        <v>0</v>
      </c>
      <c r="AG174">
        <v>0</v>
      </c>
      <c r="AH174">
        <v>0</v>
      </c>
      <c r="AJ174">
        <v>1</v>
      </c>
      <c r="AL174">
        <v>1</v>
      </c>
      <c r="AN174">
        <v>1</v>
      </c>
      <c r="AO174">
        <v>1</v>
      </c>
      <c r="AP174">
        <v>4</v>
      </c>
      <c r="AQ174">
        <v>1</v>
      </c>
      <c r="AR174">
        <v>4</v>
      </c>
      <c r="AS174">
        <v>1</v>
      </c>
      <c r="AT174">
        <v>1</v>
      </c>
      <c r="AU174">
        <v>2</v>
      </c>
      <c r="BC174">
        <v>0</v>
      </c>
      <c r="BD174">
        <v>0</v>
      </c>
      <c r="BE174">
        <v>0</v>
      </c>
      <c r="BF174">
        <v>1</v>
      </c>
      <c r="BG174">
        <v>0</v>
      </c>
      <c r="BH174">
        <v>0</v>
      </c>
      <c r="BI174">
        <v>0</v>
      </c>
      <c r="BJ174">
        <v>0</v>
      </c>
      <c r="BK174">
        <v>0</v>
      </c>
      <c r="BL174">
        <v>0</v>
      </c>
      <c r="BM174">
        <v>0</v>
      </c>
      <c r="BN174">
        <v>0</v>
      </c>
      <c r="BO174">
        <v>0</v>
      </c>
      <c r="BP174">
        <v>1</v>
      </c>
      <c r="BQ174">
        <v>0</v>
      </c>
      <c r="BR174">
        <v>0</v>
      </c>
      <c r="BS174">
        <v>0</v>
      </c>
      <c r="BU174">
        <v>4</v>
      </c>
      <c r="BV174">
        <v>4</v>
      </c>
      <c r="BX174">
        <v>4</v>
      </c>
      <c r="BY174">
        <v>4</v>
      </c>
      <c r="DI174">
        <v>0</v>
      </c>
      <c r="DJ174">
        <v>1</v>
      </c>
      <c r="DK174">
        <v>1</v>
      </c>
      <c r="DL174">
        <v>0</v>
      </c>
      <c r="DM174">
        <v>0</v>
      </c>
      <c r="DN174">
        <v>1</v>
      </c>
      <c r="DO174">
        <v>1</v>
      </c>
      <c r="DP174">
        <v>1</v>
      </c>
      <c r="DQ174">
        <v>0</v>
      </c>
      <c r="DR174">
        <v>0</v>
      </c>
      <c r="DT174">
        <v>0</v>
      </c>
      <c r="DU174">
        <v>1</v>
      </c>
      <c r="DV174">
        <v>0</v>
      </c>
      <c r="DW174">
        <v>0</v>
      </c>
      <c r="DX174">
        <v>0</v>
      </c>
      <c r="DY174">
        <v>0</v>
      </c>
      <c r="DZ174">
        <v>0</v>
      </c>
      <c r="EA174">
        <v>0</v>
      </c>
      <c r="EB174">
        <v>0</v>
      </c>
      <c r="EC174">
        <v>0</v>
      </c>
      <c r="ED174">
        <v>0</v>
      </c>
      <c r="EE174">
        <v>0</v>
      </c>
      <c r="EF174">
        <v>0</v>
      </c>
      <c r="EI174" t="s">
        <v>857</v>
      </c>
      <c r="EJ174">
        <v>1</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IG174">
        <v>1</v>
      </c>
      <c r="IH174">
        <v>0</v>
      </c>
      <c r="II174">
        <v>1</v>
      </c>
      <c r="IJ174">
        <v>0</v>
      </c>
      <c r="IK174">
        <v>0</v>
      </c>
      <c r="IL174">
        <v>0</v>
      </c>
      <c r="IM174">
        <v>0</v>
      </c>
      <c r="IN174">
        <v>0</v>
      </c>
      <c r="IO174">
        <v>0</v>
      </c>
      <c r="IP174">
        <v>1</v>
      </c>
      <c r="IQ174">
        <v>0</v>
      </c>
      <c r="IR174" t="s">
        <v>924</v>
      </c>
      <c r="IS174">
        <v>1</v>
      </c>
      <c r="IT174">
        <v>1</v>
      </c>
      <c r="IU174">
        <v>1</v>
      </c>
      <c r="IV174">
        <v>0</v>
      </c>
      <c r="IW174">
        <v>0</v>
      </c>
    </row>
    <row r="175" spans="1:257" x14ac:dyDescent="0.35">
      <c r="A175">
        <v>362873</v>
      </c>
      <c r="C175">
        <v>1</v>
      </c>
      <c r="D175" t="s">
        <v>925</v>
      </c>
      <c r="E175" t="s">
        <v>926</v>
      </c>
      <c r="F175" t="s">
        <v>927</v>
      </c>
      <c r="G175">
        <v>13</v>
      </c>
      <c r="I175">
        <v>1</v>
      </c>
      <c r="J175">
        <v>0</v>
      </c>
      <c r="K175">
        <v>0</v>
      </c>
      <c r="L175">
        <v>1</v>
      </c>
      <c r="M175">
        <v>0</v>
      </c>
      <c r="N175">
        <v>0</v>
      </c>
      <c r="O175">
        <v>0</v>
      </c>
      <c r="P175">
        <v>1</v>
      </c>
      <c r="Q175">
        <v>1</v>
      </c>
      <c r="R175">
        <v>1</v>
      </c>
      <c r="T175">
        <v>1</v>
      </c>
      <c r="U175">
        <v>1</v>
      </c>
      <c r="V175">
        <v>0</v>
      </c>
      <c r="W175">
        <v>1</v>
      </c>
      <c r="X175">
        <v>15</v>
      </c>
      <c r="Z175">
        <v>1</v>
      </c>
      <c r="AA175">
        <v>15</v>
      </c>
      <c r="AC175">
        <v>1</v>
      </c>
      <c r="AD175">
        <v>0</v>
      </c>
      <c r="AE175">
        <v>0</v>
      </c>
      <c r="AF175">
        <v>1</v>
      </c>
      <c r="AG175">
        <v>0</v>
      </c>
      <c r="AH175">
        <v>0</v>
      </c>
      <c r="AJ175">
        <v>4</v>
      </c>
      <c r="AL175">
        <v>1</v>
      </c>
      <c r="AN175">
        <v>1</v>
      </c>
      <c r="AO175">
        <v>1</v>
      </c>
      <c r="AP175">
        <v>2</v>
      </c>
      <c r="AQ175">
        <v>1</v>
      </c>
      <c r="AR175">
        <v>6</v>
      </c>
      <c r="AS175">
        <v>2</v>
      </c>
      <c r="AT175">
        <v>1</v>
      </c>
      <c r="AU175">
        <v>1</v>
      </c>
      <c r="AV175">
        <v>1</v>
      </c>
      <c r="AW175">
        <v>0</v>
      </c>
      <c r="AX175">
        <v>0</v>
      </c>
      <c r="AY175">
        <v>0</v>
      </c>
      <c r="AZ175">
        <v>0</v>
      </c>
      <c r="BA175">
        <v>0</v>
      </c>
      <c r="BC175">
        <v>0</v>
      </c>
      <c r="BD175">
        <v>0</v>
      </c>
      <c r="BE175">
        <v>0</v>
      </c>
      <c r="BF175">
        <v>0</v>
      </c>
      <c r="BG175">
        <v>1</v>
      </c>
      <c r="BH175">
        <v>0</v>
      </c>
      <c r="BI175">
        <v>0</v>
      </c>
      <c r="BJ175">
        <v>0</v>
      </c>
      <c r="BK175">
        <v>1</v>
      </c>
      <c r="BL175">
        <v>0</v>
      </c>
      <c r="BM175">
        <v>0</v>
      </c>
      <c r="BN175">
        <v>0</v>
      </c>
      <c r="BO175">
        <v>0</v>
      </c>
      <c r="BP175">
        <v>1</v>
      </c>
      <c r="BQ175">
        <v>0</v>
      </c>
      <c r="BR175">
        <v>1</v>
      </c>
      <c r="BS175">
        <v>0</v>
      </c>
      <c r="BU175">
        <v>16</v>
      </c>
      <c r="BV175">
        <v>4</v>
      </c>
      <c r="BX175">
        <v>6</v>
      </c>
      <c r="BY175">
        <v>6</v>
      </c>
      <c r="DI175">
        <v>0</v>
      </c>
      <c r="DJ175">
        <v>0</v>
      </c>
      <c r="DK175">
        <v>1</v>
      </c>
      <c r="DL175">
        <v>0</v>
      </c>
      <c r="DM175">
        <v>0</v>
      </c>
      <c r="DN175">
        <v>1</v>
      </c>
      <c r="DO175">
        <v>0</v>
      </c>
      <c r="DP175">
        <v>0</v>
      </c>
      <c r="DQ175">
        <v>0</v>
      </c>
      <c r="DR175">
        <v>0</v>
      </c>
      <c r="DT175">
        <v>0</v>
      </c>
      <c r="DU175">
        <v>1</v>
      </c>
      <c r="DV175">
        <v>0</v>
      </c>
      <c r="DW175">
        <v>0</v>
      </c>
      <c r="DX175">
        <v>1</v>
      </c>
      <c r="DY175">
        <v>0</v>
      </c>
      <c r="DZ175">
        <v>0</v>
      </c>
      <c r="EA175">
        <v>0</v>
      </c>
      <c r="EB175">
        <v>0</v>
      </c>
      <c r="EC175">
        <v>0</v>
      </c>
      <c r="ED175">
        <v>1</v>
      </c>
      <c r="EE175">
        <v>0</v>
      </c>
      <c r="EF175">
        <v>0</v>
      </c>
      <c r="EI175" t="s">
        <v>928</v>
      </c>
      <c r="EJ175">
        <v>1</v>
      </c>
      <c r="EK175">
        <v>1</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IG175">
        <v>0</v>
      </c>
      <c r="IH175">
        <v>0</v>
      </c>
      <c r="II175">
        <v>0</v>
      </c>
      <c r="IJ175">
        <v>0</v>
      </c>
      <c r="IK175">
        <v>0</v>
      </c>
      <c r="IL175">
        <v>0</v>
      </c>
      <c r="IM175">
        <v>0</v>
      </c>
      <c r="IN175">
        <v>0</v>
      </c>
      <c r="IO175">
        <v>0</v>
      </c>
      <c r="IP175">
        <v>0</v>
      </c>
      <c r="IQ175">
        <v>1</v>
      </c>
      <c r="IS175">
        <v>1</v>
      </c>
      <c r="IT175">
        <v>1</v>
      </c>
      <c r="IU175">
        <v>0</v>
      </c>
      <c r="IV175">
        <v>0</v>
      </c>
      <c r="IW175">
        <v>0</v>
      </c>
    </row>
    <row r="176" spans="1:257" x14ac:dyDescent="0.35">
      <c r="A176">
        <v>405244</v>
      </c>
      <c r="C176">
        <v>1</v>
      </c>
      <c r="D176" t="s">
        <v>929</v>
      </c>
      <c r="E176" t="s">
        <v>930</v>
      </c>
      <c r="F176" t="s">
        <v>931</v>
      </c>
      <c r="G176">
        <v>13</v>
      </c>
      <c r="I176">
        <v>0</v>
      </c>
      <c r="J176">
        <v>0</v>
      </c>
      <c r="K176">
        <v>0</v>
      </c>
      <c r="L176">
        <v>0</v>
      </c>
      <c r="M176">
        <v>0</v>
      </c>
      <c r="N176">
        <v>0</v>
      </c>
      <c r="O176">
        <v>0</v>
      </c>
      <c r="P176">
        <v>0</v>
      </c>
      <c r="Q176">
        <v>1</v>
      </c>
      <c r="R176">
        <v>1</v>
      </c>
      <c r="T176">
        <v>0</v>
      </c>
      <c r="U176">
        <v>1</v>
      </c>
      <c r="V176">
        <v>0</v>
      </c>
      <c r="X176">
        <v>25</v>
      </c>
      <c r="AA176">
        <v>25</v>
      </c>
      <c r="AC176">
        <v>1</v>
      </c>
      <c r="AD176">
        <v>0</v>
      </c>
      <c r="AE176">
        <v>0</v>
      </c>
      <c r="AF176">
        <v>0</v>
      </c>
      <c r="AG176">
        <v>0</v>
      </c>
      <c r="AH176">
        <v>0</v>
      </c>
      <c r="AJ176">
        <v>1</v>
      </c>
      <c r="AL176">
        <v>1</v>
      </c>
      <c r="AN176">
        <v>1</v>
      </c>
      <c r="AO176">
        <v>1</v>
      </c>
      <c r="AP176">
        <v>4</v>
      </c>
      <c r="AQ176">
        <v>1</v>
      </c>
      <c r="AR176">
        <v>4</v>
      </c>
      <c r="AS176">
        <v>1</v>
      </c>
      <c r="AT176">
        <v>1</v>
      </c>
      <c r="AU176">
        <v>2</v>
      </c>
      <c r="BC176">
        <v>0</v>
      </c>
      <c r="BD176">
        <v>0</v>
      </c>
      <c r="BE176">
        <v>1</v>
      </c>
      <c r="BF176">
        <v>0</v>
      </c>
      <c r="BG176">
        <v>1</v>
      </c>
      <c r="BH176">
        <v>0</v>
      </c>
      <c r="BI176">
        <v>0</v>
      </c>
      <c r="BJ176">
        <v>0</v>
      </c>
      <c r="BK176">
        <v>0</v>
      </c>
      <c r="BL176">
        <v>0</v>
      </c>
      <c r="BM176">
        <v>0</v>
      </c>
      <c r="BN176">
        <v>0</v>
      </c>
      <c r="BO176">
        <v>0</v>
      </c>
      <c r="BP176">
        <v>1</v>
      </c>
      <c r="BQ176">
        <v>0</v>
      </c>
      <c r="BR176">
        <v>0</v>
      </c>
      <c r="BS176">
        <v>0</v>
      </c>
      <c r="BU176">
        <v>5</v>
      </c>
      <c r="BV176">
        <v>4</v>
      </c>
      <c r="BX176">
        <v>4</v>
      </c>
      <c r="BY176">
        <v>4</v>
      </c>
      <c r="DI176">
        <v>0</v>
      </c>
      <c r="DJ176">
        <v>0</v>
      </c>
      <c r="DK176">
        <v>0</v>
      </c>
      <c r="DL176">
        <v>1</v>
      </c>
      <c r="DM176">
        <v>0</v>
      </c>
      <c r="DN176">
        <v>0</v>
      </c>
      <c r="DO176">
        <v>1</v>
      </c>
      <c r="DP176">
        <v>0</v>
      </c>
      <c r="DQ176">
        <v>0</v>
      </c>
      <c r="DR176">
        <v>0</v>
      </c>
      <c r="DT176">
        <v>0</v>
      </c>
      <c r="DU176">
        <v>0</v>
      </c>
      <c r="DV176">
        <v>0</v>
      </c>
      <c r="DW176">
        <v>1</v>
      </c>
      <c r="DX176">
        <v>0</v>
      </c>
      <c r="DY176">
        <v>0</v>
      </c>
      <c r="DZ176">
        <v>0</v>
      </c>
      <c r="EA176">
        <v>0</v>
      </c>
      <c r="EB176">
        <v>0</v>
      </c>
      <c r="EC176">
        <v>0</v>
      </c>
      <c r="ED176">
        <v>1</v>
      </c>
      <c r="EE176">
        <v>0</v>
      </c>
      <c r="EF176">
        <v>0</v>
      </c>
      <c r="IG176">
        <v>1</v>
      </c>
      <c r="IH176">
        <v>1</v>
      </c>
      <c r="II176">
        <v>1</v>
      </c>
      <c r="IJ176">
        <v>0</v>
      </c>
      <c r="IK176">
        <v>0</v>
      </c>
      <c r="IL176">
        <v>0</v>
      </c>
      <c r="IM176">
        <v>0</v>
      </c>
      <c r="IN176">
        <v>0</v>
      </c>
      <c r="IO176">
        <v>0</v>
      </c>
      <c r="IP176">
        <v>0</v>
      </c>
      <c r="IQ176">
        <v>0</v>
      </c>
      <c r="IS176">
        <v>1</v>
      </c>
      <c r="IT176">
        <v>1</v>
      </c>
      <c r="IU176">
        <v>0</v>
      </c>
      <c r="IV176">
        <v>1</v>
      </c>
      <c r="IW176">
        <v>0</v>
      </c>
    </row>
    <row r="177" spans="1:258" x14ac:dyDescent="0.35">
      <c r="A177">
        <v>405216</v>
      </c>
      <c r="C177">
        <v>1</v>
      </c>
      <c r="D177" t="s">
        <v>932</v>
      </c>
      <c r="E177" t="s">
        <v>933</v>
      </c>
      <c r="F177" t="s">
        <v>927</v>
      </c>
      <c r="G177">
        <v>3</v>
      </c>
      <c r="I177">
        <v>1</v>
      </c>
      <c r="J177">
        <v>0</v>
      </c>
      <c r="K177">
        <v>1</v>
      </c>
      <c r="L177">
        <v>0</v>
      </c>
      <c r="M177">
        <v>0</v>
      </c>
      <c r="N177">
        <v>0</v>
      </c>
      <c r="O177">
        <v>0</v>
      </c>
      <c r="P177">
        <v>0</v>
      </c>
      <c r="Q177">
        <v>0</v>
      </c>
      <c r="R177">
        <v>1</v>
      </c>
      <c r="T177">
        <v>0</v>
      </c>
      <c r="U177">
        <v>1</v>
      </c>
      <c r="V177">
        <v>0</v>
      </c>
      <c r="X177">
        <v>9</v>
      </c>
      <c r="AA177">
        <v>9</v>
      </c>
      <c r="AC177">
        <v>1</v>
      </c>
      <c r="AD177">
        <v>0</v>
      </c>
      <c r="AE177">
        <v>0</v>
      </c>
      <c r="AF177">
        <v>0</v>
      </c>
      <c r="AG177">
        <v>0</v>
      </c>
      <c r="AH177">
        <v>0</v>
      </c>
      <c r="AJ177">
        <v>1</v>
      </c>
      <c r="AL177">
        <v>1</v>
      </c>
      <c r="AN177">
        <v>1</v>
      </c>
      <c r="AO177">
        <v>2</v>
      </c>
      <c r="AP177">
        <v>4</v>
      </c>
      <c r="AQ177">
        <v>2</v>
      </c>
      <c r="AS177">
        <v>2</v>
      </c>
      <c r="AT177">
        <v>2</v>
      </c>
      <c r="AU177">
        <v>1</v>
      </c>
      <c r="AV177">
        <v>0</v>
      </c>
      <c r="AW177">
        <v>1</v>
      </c>
      <c r="AX177">
        <v>0</v>
      </c>
      <c r="AY177">
        <v>0</v>
      </c>
      <c r="AZ177">
        <v>0</v>
      </c>
      <c r="BA177">
        <v>0</v>
      </c>
      <c r="BC177">
        <v>1</v>
      </c>
      <c r="BD177">
        <v>0</v>
      </c>
      <c r="BE177">
        <v>1</v>
      </c>
      <c r="BF177">
        <v>0</v>
      </c>
      <c r="BG177">
        <v>0</v>
      </c>
      <c r="BH177">
        <v>0</v>
      </c>
      <c r="BI177">
        <v>0</v>
      </c>
      <c r="BJ177">
        <v>0</v>
      </c>
      <c r="BK177">
        <v>0</v>
      </c>
      <c r="BL177">
        <v>0</v>
      </c>
      <c r="BM177">
        <v>0</v>
      </c>
      <c r="BN177">
        <v>1</v>
      </c>
      <c r="BO177">
        <v>0</v>
      </c>
      <c r="BP177">
        <v>1</v>
      </c>
      <c r="BQ177">
        <v>0</v>
      </c>
      <c r="BR177">
        <v>0</v>
      </c>
      <c r="BS177">
        <v>0</v>
      </c>
      <c r="BU177">
        <v>3</v>
      </c>
      <c r="BV177">
        <v>4</v>
      </c>
      <c r="BX177">
        <v>4</v>
      </c>
      <c r="BY177">
        <v>6</v>
      </c>
      <c r="DI177">
        <v>0</v>
      </c>
      <c r="DJ177">
        <v>0</v>
      </c>
      <c r="DK177">
        <v>0</v>
      </c>
      <c r="DL177">
        <v>1</v>
      </c>
      <c r="DM177">
        <v>1</v>
      </c>
      <c r="DN177">
        <v>1</v>
      </c>
      <c r="DO177">
        <v>0</v>
      </c>
      <c r="DP177">
        <v>0</v>
      </c>
      <c r="DQ177">
        <v>0</v>
      </c>
      <c r="DR177">
        <v>0</v>
      </c>
      <c r="DT177">
        <v>1</v>
      </c>
      <c r="DU177">
        <v>0</v>
      </c>
      <c r="DV177">
        <v>0</v>
      </c>
      <c r="DW177">
        <v>0</v>
      </c>
      <c r="DX177">
        <v>0</v>
      </c>
      <c r="DY177">
        <v>0</v>
      </c>
      <c r="DZ177">
        <v>0</v>
      </c>
      <c r="EA177">
        <v>0</v>
      </c>
      <c r="EB177">
        <v>0</v>
      </c>
      <c r="EC177">
        <v>0</v>
      </c>
      <c r="ED177">
        <v>0</v>
      </c>
      <c r="EE177">
        <v>0</v>
      </c>
      <c r="EF177">
        <v>0</v>
      </c>
      <c r="EG177" t="s">
        <v>274</v>
      </c>
      <c r="EH177">
        <v>9</v>
      </c>
      <c r="IG177">
        <v>1</v>
      </c>
      <c r="IH177">
        <v>0</v>
      </c>
      <c r="II177">
        <v>1</v>
      </c>
      <c r="IJ177">
        <v>0</v>
      </c>
      <c r="IK177">
        <v>1</v>
      </c>
      <c r="IL177">
        <v>0</v>
      </c>
      <c r="IM177">
        <v>0</v>
      </c>
      <c r="IN177">
        <v>0</v>
      </c>
      <c r="IO177">
        <v>0</v>
      </c>
      <c r="IP177">
        <v>0</v>
      </c>
      <c r="IQ177">
        <v>0</v>
      </c>
      <c r="IS177">
        <v>2</v>
      </c>
    </row>
    <row r="178" spans="1:258" x14ac:dyDescent="0.35">
      <c r="A178">
        <v>405388</v>
      </c>
      <c r="C178">
        <v>1</v>
      </c>
      <c r="D178" t="s">
        <v>932</v>
      </c>
      <c r="E178" t="s">
        <v>933</v>
      </c>
      <c r="F178" t="s">
        <v>927</v>
      </c>
      <c r="G178">
        <v>3</v>
      </c>
      <c r="I178">
        <v>1</v>
      </c>
      <c r="J178">
        <v>0</v>
      </c>
      <c r="K178">
        <v>0</v>
      </c>
      <c r="L178">
        <v>0</v>
      </c>
      <c r="M178">
        <v>0</v>
      </c>
      <c r="N178">
        <v>0</v>
      </c>
      <c r="O178">
        <v>0</v>
      </c>
      <c r="P178">
        <v>0</v>
      </c>
      <c r="Q178">
        <v>0</v>
      </c>
      <c r="R178">
        <v>1</v>
      </c>
      <c r="T178">
        <v>0</v>
      </c>
      <c r="U178">
        <v>1</v>
      </c>
      <c r="V178">
        <v>0</v>
      </c>
      <c r="X178">
        <v>9</v>
      </c>
      <c r="AA178">
        <v>9</v>
      </c>
      <c r="AC178">
        <v>1</v>
      </c>
      <c r="AD178">
        <v>0</v>
      </c>
      <c r="AE178">
        <v>0</v>
      </c>
      <c r="AF178">
        <v>0</v>
      </c>
      <c r="AG178">
        <v>0</v>
      </c>
      <c r="AH178">
        <v>0</v>
      </c>
      <c r="AJ178">
        <v>1</v>
      </c>
      <c r="AL178">
        <v>1</v>
      </c>
      <c r="AN178">
        <v>3</v>
      </c>
      <c r="AQ178">
        <v>2</v>
      </c>
      <c r="AS178">
        <v>2</v>
      </c>
      <c r="AT178">
        <v>1</v>
      </c>
      <c r="AU178">
        <v>2</v>
      </c>
      <c r="BC178">
        <v>0</v>
      </c>
      <c r="BD178">
        <v>0</v>
      </c>
      <c r="BE178">
        <v>0</v>
      </c>
      <c r="BF178">
        <v>0</v>
      </c>
      <c r="BG178">
        <v>0</v>
      </c>
      <c r="BH178">
        <v>0</v>
      </c>
      <c r="BI178">
        <v>0</v>
      </c>
      <c r="BJ178">
        <v>0</v>
      </c>
      <c r="BK178">
        <v>0</v>
      </c>
      <c r="BL178">
        <v>0</v>
      </c>
      <c r="BM178">
        <v>0</v>
      </c>
      <c r="BN178">
        <v>0</v>
      </c>
      <c r="BO178">
        <v>0</v>
      </c>
      <c r="BP178">
        <v>0</v>
      </c>
      <c r="BQ178">
        <v>0</v>
      </c>
      <c r="BR178">
        <v>1</v>
      </c>
      <c r="BS178">
        <v>0</v>
      </c>
      <c r="BU178">
        <v>16</v>
      </c>
      <c r="BV178">
        <v>4</v>
      </c>
      <c r="BX178">
        <v>6</v>
      </c>
      <c r="BY178">
        <v>6</v>
      </c>
      <c r="DI178">
        <v>0</v>
      </c>
      <c r="DJ178">
        <v>0</v>
      </c>
      <c r="DK178">
        <v>0</v>
      </c>
      <c r="DL178">
        <v>0</v>
      </c>
      <c r="DM178">
        <v>0</v>
      </c>
      <c r="DN178">
        <v>0</v>
      </c>
      <c r="DO178">
        <v>0</v>
      </c>
      <c r="DP178">
        <v>0</v>
      </c>
      <c r="DQ178">
        <v>0</v>
      </c>
      <c r="DR178">
        <v>1</v>
      </c>
      <c r="DT178">
        <v>0</v>
      </c>
      <c r="DU178">
        <v>0</v>
      </c>
      <c r="DV178">
        <v>0</v>
      </c>
      <c r="DW178">
        <v>0</v>
      </c>
      <c r="DX178">
        <v>0</v>
      </c>
      <c r="DY178">
        <v>0</v>
      </c>
      <c r="DZ178">
        <v>0</v>
      </c>
      <c r="EA178">
        <v>0</v>
      </c>
      <c r="EB178">
        <v>0</v>
      </c>
      <c r="EC178">
        <v>0</v>
      </c>
      <c r="ED178">
        <v>0</v>
      </c>
      <c r="EE178">
        <v>0</v>
      </c>
      <c r="EF178">
        <v>1</v>
      </c>
      <c r="IG178">
        <v>0</v>
      </c>
      <c r="IH178">
        <v>0</v>
      </c>
      <c r="II178">
        <v>0</v>
      </c>
      <c r="IJ178">
        <v>0</v>
      </c>
      <c r="IK178">
        <v>0</v>
      </c>
      <c r="IL178">
        <v>0</v>
      </c>
      <c r="IM178">
        <v>0</v>
      </c>
      <c r="IN178">
        <v>0</v>
      </c>
      <c r="IO178">
        <v>0</v>
      </c>
      <c r="IP178">
        <v>0</v>
      </c>
      <c r="IQ178">
        <v>1</v>
      </c>
      <c r="IS178">
        <v>2</v>
      </c>
    </row>
    <row r="179" spans="1:258" x14ac:dyDescent="0.35">
      <c r="A179">
        <v>363242</v>
      </c>
      <c r="C179">
        <v>1</v>
      </c>
      <c r="D179" t="s">
        <v>934</v>
      </c>
      <c r="E179" t="s">
        <v>935</v>
      </c>
      <c r="F179" t="s">
        <v>927</v>
      </c>
      <c r="G179">
        <v>4</v>
      </c>
      <c r="I179">
        <v>0</v>
      </c>
      <c r="J179">
        <v>0</v>
      </c>
      <c r="K179">
        <v>0</v>
      </c>
      <c r="L179">
        <v>0</v>
      </c>
      <c r="M179">
        <v>0</v>
      </c>
      <c r="N179">
        <v>0</v>
      </c>
      <c r="O179">
        <v>1</v>
      </c>
      <c r="P179">
        <v>0</v>
      </c>
      <c r="Q179">
        <v>0</v>
      </c>
      <c r="R179">
        <v>1</v>
      </c>
      <c r="T179">
        <v>0</v>
      </c>
      <c r="U179">
        <v>1</v>
      </c>
      <c r="V179">
        <v>0</v>
      </c>
      <c r="X179">
        <v>54</v>
      </c>
      <c r="AA179">
        <v>54</v>
      </c>
      <c r="AC179">
        <v>1</v>
      </c>
      <c r="AD179">
        <v>0</v>
      </c>
      <c r="AE179">
        <v>0</v>
      </c>
      <c r="AF179">
        <v>0</v>
      </c>
      <c r="AG179">
        <v>0</v>
      </c>
      <c r="AH179">
        <v>0</v>
      </c>
      <c r="AJ179">
        <v>1</v>
      </c>
      <c r="AL179">
        <v>1</v>
      </c>
      <c r="AN179">
        <v>1</v>
      </c>
      <c r="AO179">
        <v>1</v>
      </c>
      <c r="AP179">
        <v>5</v>
      </c>
      <c r="AQ179">
        <v>2</v>
      </c>
      <c r="AS179">
        <v>1</v>
      </c>
      <c r="AT179">
        <v>1</v>
      </c>
      <c r="AU179">
        <v>2</v>
      </c>
      <c r="BC179">
        <v>0</v>
      </c>
      <c r="BD179">
        <v>0</v>
      </c>
      <c r="BE179">
        <v>0</v>
      </c>
      <c r="BF179">
        <v>0</v>
      </c>
      <c r="BG179">
        <v>1</v>
      </c>
      <c r="BH179">
        <v>0</v>
      </c>
      <c r="BI179">
        <v>0</v>
      </c>
      <c r="BJ179">
        <v>0</v>
      </c>
      <c r="BK179">
        <v>1</v>
      </c>
      <c r="BL179">
        <v>1</v>
      </c>
      <c r="BM179">
        <v>0</v>
      </c>
      <c r="BN179">
        <v>0</v>
      </c>
      <c r="BO179">
        <v>0</v>
      </c>
      <c r="BP179">
        <v>1</v>
      </c>
      <c r="BQ179">
        <v>0</v>
      </c>
      <c r="BR179">
        <v>0</v>
      </c>
      <c r="BS179">
        <v>0</v>
      </c>
      <c r="BU179">
        <v>14</v>
      </c>
      <c r="BV179">
        <v>4</v>
      </c>
      <c r="BX179">
        <v>3</v>
      </c>
      <c r="BY179">
        <v>3</v>
      </c>
      <c r="DI179">
        <v>0</v>
      </c>
      <c r="DJ179">
        <v>1</v>
      </c>
      <c r="DK179">
        <v>1</v>
      </c>
      <c r="DL179">
        <v>1</v>
      </c>
      <c r="DM179">
        <v>0</v>
      </c>
      <c r="DN179">
        <v>0</v>
      </c>
      <c r="DO179">
        <v>0</v>
      </c>
      <c r="DP179">
        <v>0</v>
      </c>
      <c r="DQ179">
        <v>0</v>
      </c>
      <c r="DR179">
        <v>0</v>
      </c>
      <c r="DT179">
        <v>0</v>
      </c>
      <c r="DU179">
        <v>1</v>
      </c>
      <c r="DV179">
        <v>1</v>
      </c>
      <c r="DW179">
        <v>0</v>
      </c>
      <c r="DX179">
        <v>1</v>
      </c>
      <c r="DY179">
        <v>0</v>
      </c>
      <c r="DZ179">
        <v>0</v>
      </c>
      <c r="EA179">
        <v>0</v>
      </c>
      <c r="EB179">
        <v>0</v>
      </c>
      <c r="EC179">
        <v>0</v>
      </c>
      <c r="ED179">
        <v>1</v>
      </c>
      <c r="EE179">
        <v>0</v>
      </c>
      <c r="EF179">
        <v>0</v>
      </c>
      <c r="EI179" t="s">
        <v>936</v>
      </c>
      <c r="EJ179">
        <v>0</v>
      </c>
      <c r="EK179">
        <v>0</v>
      </c>
      <c r="EL179">
        <v>0</v>
      </c>
      <c r="EM179">
        <v>0</v>
      </c>
      <c r="EN179">
        <v>0</v>
      </c>
      <c r="EO179">
        <v>0</v>
      </c>
      <c r="EP179">
        <v>0</v>
      </c>
      <c r="EQ179">
        <v>0</v>
      </c>
      <c r="ER179">
        <v>0</v>
      </c>
      <c r="ES179">
        <v>0</v>
      </c>
      <c r="ET179">
        <v>0</v>
      </c>
      <c r="EU179">
        <v>0</v>
      </c>
      <c r="EV179">
        <v>0</v>
      </c>
      <c r="EW179">
        <v>0</v>
      </c>
      <c r="EX179">
        <v>0</v>
      </c>
      <c r="EY179">
        <v>1</v>
      </c>
      <c r="EZ179">
        <v>0</v>
      </c>
      <c r="FA179">
        <v>0</v>
      </c>
      <c r="FB179">
        <v>0</v>
      </c>
      <c r="FC179">
        <v>0</v>
      </c>
      <c r="FD179">
        <v>0</v>
      </c>
      <c r="FE179">
        <v>0</v>
      </c>
      <c r="FF179" t="s">
        <v>937</v>
      </c>
      <c r="FG179">
        <v>0</v>
      </c>
      <c r="FH179">
        <v>0</v>
      </c>
      <c r="FI179">
        <v>0</v>
      </c>
      <c r="FJ179">
        <v>0</v>
      </c>
      <c r="FK179">
        <v>0</v>
      </c>
      <c r="FL179">
        <v>0</v>
      </c>
      <c r="FM179">
        <v>0</v>
      </c>
      <c r="FN179">
        <v>0</v>
      </c>
      <c r="FO179">
        <v>0</v>
      </c>
      <c r="FP179">
        <v>0</v>
      </c>
      <c r="FQ179">
        <v>0</v>
      </c>
      <c r="FR179">
        <v>0</v>
      </c>
      <c r="FS179">
        <v>0</v>
      </c>
      <c r="FT179">
        <v>0</v>
      </c>
      <c r="FU179">
        <v>0</v>
      </c>
      <c r="FV179">
        <v>0</v>
      </c>
      <c r="FW179">
        <v>0</v>
      </c>
      <c r="FX179">
        <v>1</v>
      </c>
      <c r="FY179">
        <v>0</v>
      </c>
      <c r="IG179">
        <v>1</v>
      </c>
      <c r="IH179">
        <v>1</v>
      </c>
      <c r="II179">
        <v>0</v>
      </c>
      <c r="IJ179">
        <v>0</v>
      </c>
      <c r="IK179">
        <v>0</v>
      </c>
      <c r="IL179">
        <v>0</v>
      </c>
      <c r="IM179">
        <v>1</v>
      </c>
      <c r="IN179">
        <v>0</v>
      </c>
      <c r="IO179">
        <v>0</v>
      </c>
      <c r="IP179">
        <v>0</v>
      </c>
      <c r="IQ179">
        <v>0</v>
      </c>
      <c r="IS179">
        <v>2</v>
      </c>
    </row>
    <row r="180" spans="1:258" x14ac:dyDescent="0.35">
      <c r="A180">
        <v>363910</v>
      </c>
      <c r="C180">
        <v>1</v>
      </c>
      <c r="D180" t="s">
        <v>938</v>
      </c>
      <c r="E180" t="s">
        <v>939</v>
      </c>
      <c r="F180" t="s">
        <v>927</v>
      </c>
      <c r="G180">
        <v>5</v>
      </c>
      <c r="I180">
        <v>0</v>
      </c>
      <c r="J180">
        <v>0</v>
      </c>
      <c r="K180">
        <v>0</v>
      </c>
      <c r="L180">
        <v>0</v>
      </c>
      <c r="M180">
        <v>1</v>
      </c>
      <c r="N180">
        <v>0</v>
      </c>
      <c r="O180">
        <v>0</v>
      </c>
      <c r="P180">
        <v>0</v>
      </c>
      <c r="Q180">
        <v>0</v>
      </c>
      <c r="R180">
        <v>1</v>
      </c>
      <c r="T180">
        <v>0</v>
      </c>
      <c r="U180">
        <v>1</v>
      </c>
      <c r="V180">
        <v>0</v>
      </c>
      <c r="X180">
        <v>17</v>
      </c>
      <c r="AA180">
        <v>17</v>
      </c>
      <c r="AC180">
        <v>1</v>
      </c>
      <c r="AD180">
        <v>0</v>
      </c>
      <c r="AE180">
        <v>0</v>
      </c>
      <c r="AF180">
        <v>0</v>
      </c>
      <c r="AG180">
        <v>0</v>
      </c>
      <c r="AH180">
        <v>0</v>
      </c>
      <c r="AJ180">
        <v>1</v>
      </c>
      <c r="AL180">
        <v>1</v>
      </c>
      <c r="AN180">
        <v>1</v>
      </c>
      <c r="AO180">
        <v>1</v>
      </c>
      <c r="AP180">
        <v>4</v>
      </c>
      <c r="AQ180">
        <v>1</v>
      </c>
      <c r="AR180">
        <v>4</v>
      </c>
      <c r="AS180">
        <v>1</v>
      </c>
      <c r="AT180">
        <v>1</v>
      </c>
      <c r="AU180">
        <v>2</v>
      </c>
      <c r="BC180">
        <v>0</v>
      </c>
      <c r="BD180">
        <v>0</v>
      </c>
      <c r="BE180">
        <v>0</v>
      </c>
      <c r="BF180">
        <v>0</v>
      </c>
      <c r="BG180">
        <v>0</v>
      </c>
      <c r="BH180">
        <v>0</v>
      </c>
      <c r="BI180">
        <v>0</v>
      </c>
      <c r="BJ180">
        <v>0</v>
      </c>
      <c r="BK180">
        <v>0</v>
      </c>
      <c r="BL180">
        <v>0</v>
      </c>
      <c r="BM180">
        <v>0</v>
      </c>
      <c r="BN180">
        <v>0</v>
      </c>
      <c r="BO180">
        <v>0</v>
      </c>
      <c r="BP180">
        <v>1</v>
      </c>
      <c r="BQ180">
        <v>0</v>
      </c>
      <c r="BR180">
        <v>1</v>
      </c>
      <c r="BS180">
        <v>0</v>
      </c>
      <c r="BU180">
        <v>14</v>
      </c>
      <c r="BV180">
        <v>4</v>
      </c>
      <c r="BX180">
        <v>5</v>
      </c>
      <c r="BY180">
        <v>4</v>
      </c>
      <c r="DI180">
        <v>0</v>
      </c>
      <c r="DJ180">
        <v>1</v>
      </c>
      <c r="DK180">
        <v>1</v>
      </c>
      <c r="DL180">
        <v>0</v>
      </c>
      <c r="DM180">
        <v>0</v>
      </c>
      <c r="DN180">
        <v>0</v>
      </c>
      <c r="DO180">
        <v>1</v>
      </c>
      <c r="DP180">
        <v>0</v>
      </c>
      <c r="DQ180">
        <v>0</v>
      </c>
      <c r="DR180">
        <v>0</v>
      </c>
      <c r="DT180">
        <v>0</v>
      </c>
      <c r="DU180">
        <v>1</v>
      </c>
      <c r="DV180">
        <v>0</v>
      </c>
      <c r="DW180">
        <v>0</v>
      </c>
      <c r="DX180">
        <v>0</v>
      </c>
      <c r="DY180">
        <v>0</v>
      </c>
      <c r="DZ180">
        <v>0</v>
      </c>
      <c r="EA180">
        <v>0</v>
      </c>
      <c r="EB180">
        <v>0</v>
      </c>
      <c r="EC180">
        <v>1</v>
      </c>
      <c r="ED180">
        <v>0</v>
      </c>
      <c r="EE180">
        <v>0</v>
      </c>
      <c r="EF180">
        <v>0</v>
      </c>
      <c r="EI180" t="s">
        <v>421</v>
      </c>
      <c r="EJ180">
        <v>1</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GJ180" t="s">
        <v>940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1</v>
      </c>
      <c r="IG180">
        <v>1</v>
      </c>
      <c r="IH180">
        <v>0</v>
      </c>
      <c r="II180">
        <v>1</v>
      </c>
      <c r="IJ180">
        <v>0</v>
      </c>
      <c r="IK180">
        <v>0</v>
      </c>
      <c r="IL180">
        <v>0</v>
      </c>
      <c r="IM180">
        <v>1</v>
      </c>
      <c r="IN180">
        <v>0</v>
      </c>
      <c r="IO180">
        <v>0</v>
      </c>
      <c r="IP180">
        <v>0</v>
      </c>
      <c r="IQ180">
        <v>0</v>
      </c>
      <c r="IS180">
        <v>1</v>
      </c>
      <c r="IT180">
        <v>1</v>
      </c>
      <c r="IU180">
        <v>1</v>
      </c>
      <c r="IV180">
        <v>0</v>
      </c>
      <c r="IW180">
        <v>0</v>
      </c>
    </row>
    <row r="181" spans="1:258" x14ac:dyDescent="0.35">
      <c r="A181">
        <v>405184</v>
      </c>
      <c r="C181">
        <v>1</v>
      </c>
      <c r="D181" t="s">
        <v>941</v>
      </c>
      <c r="E181" t="s">
        <v>942</v>
      </c>
      <c r="F181" t="s">
        <v>927</v>
      </c>
      <c r="G181">
        <v>13</v>
      </c>
      <c r="I181">
        <v>0</v>
      </c>
      <c r="J181">
        <v>0</v>
      </c>
      <c r="K181">
        <v>0</v>
      </c>
      <c r="L181">
        <v>0</v>
      </c>
      <c r="M181">
        <v>0</v>
      </c>
      <c r="N181">
        <v>0</v>
      </c>
      <c r="O181">
        <v>0</v>
      </c>
      <c r="P181">
        <v>1</v>
      </c>
      <c r="Q181">
        <v>0</v>
      </c>
      <c r="R181">
        <v>1</v>
      </c>
      <c r="T181">
        <v>1</v>
      </c>
      <c r="U181">
        <v>1</v>
      </c>
      <c r="V181">
        <v>1</v>
      </c>
      <c r="W181">
        <v>2</v>
      </c>
      <c r="X181">
        <v>2</v>
      </c>
      <c r="Y181">
        <v>7</v>
      </c>
      <c r="Z181">
        <v>2</v>
      </c>
      <c r="AA181">
        <v>2</v>
      </c>
      <c r="AB181">
        <v>7</v>
      </c>
      <c r="AC181">
        <v>1</v>
      </c>
      <c r="AD181">
        <v>1</v>
      </c>
      <c r="AE181">
        <v>0</v>
      </c>
      <c r="AF181">
        <v>0</v>
      </c>
      <c r="AG181">
        <v>0</v>
      </c>
      <c r="AH181">
        <v>0</v>
      </c>
      <c r="AJ181">
        <v>1</v>
      </c>
      <c r="AL181">
        <v>1</v>
      </c>
      <c r="AN181">
        <v>1</v>
      </c>
      <c r="AO181">
        <v>3</v>
      </c>
      <c r="AP181">
        <v>4</v>
      </c>
      <c r="AQ181">
        <v>2</v>
      </c>
      <c r="AS181">
        <v>2</v>
      </c>
      <c r="AT181">
        <v>1</v>
      </c>
      <c r="AU181">
        <v>1</v>
      </c>
      <c r="AV181">
        <v>1</v>
      </c>
      <c r="AW181">
        <v>0</v>
      </c>
      <c r="AX181">
        <v>0</v>
      </c>
      <c r="AY181">
        <v>0</v>
      </c>
      <c r="AZ181">
        <v>0</v>
      </c>
      <c r="BA181">
        <v>0</v>
      </c>
      <c r="BC181">
        <v>0</v>
      </c>
      <c r="BD181">
        <v>0</v>
      </c>
      <c r="BE181">
        <v>0</v>
      </c>
      <c r="BF181">
        <v>1</v>
      </c>
      <c r="BG181">
        <v>1</v>
      </c>
      <c r="BH181">
        <v>0</v>
      </c>
      <c r="BI181">
        <v>0</v>
      </c>
      <c r="BJ181">
        <v>0</v>
      </c>
      <c r="BK181">
        <v>1</v>
      </c>
      <c r="BL181">
        <v>0</v>
      </c>
      <c r="BM181">
        <v>1</v>
      </c>
      <c r="BN181">
        <v>1</v>
      </c>
      <c r="BO181">
        <v>0</v>
      </c>
      <c r="BP181">
        <v>1</v>
      </c>
      <c r="BQ181">
        <v>0</v>
      </c>
      <c r="BR181">
        <v>1</v>
      </c>
      <c r="BS181">
        <v>0</v>
      </c>
      <c r="BU181">
        <v>4</v>
      </c>
      <c r="BV181">
        <v>4</v>
      </c>
      <c r="BX181">
        <v>3</v>
      </c>
      <c r="BY181">
        <v>1</v>
      </c>
      <c r="DI181">
        <v>0</v>
      </c>
      <c r="DJ181">
        <v>1</v>
      </c>
      <c r="DK181">
        <v>1</v>
      </c>
      <c r="DL181">
        <v>0</v>
      </c>
      <c r="DM181">
        <v>0</v>
      </c>
      <c r="DN181">
        <v>0</v>
      </c>
      <c r="DO181">
        <v>0</v>
      </c>
      <c r="DP181">
        <v>0</v>
      </c>
      <c r="DQ181">
        <v>0</v>
      </c>
      <c r="DR181">
        <v>0</v>
      </c>
      <c r="DT181">
        <v>0</v>
      </c>
      <c r="DU181">
        <v>1</v>
      </c>
      <c r="DV181">
        <v>0</v>
      </c>
      <c r="DW181">
        <v>1</v>
      </c>
      <c r="DX181">
        <v>1</v>
      </c>
      <c r="DY181">
        <v>0</v>
      </c>
      <c r="DZ181">
        <v>0</v>
      </c>
      <c r="EA181">
        <v>0</v>
      </c>
      <c r="EB181">
        <v>0</v>
      </c>
      <c r="EC181">
        <v>1</v>
      </c>
      <c r="ED181">
        <v>0</v>
      </c>
      <c r="EE181">
        <v>0</v>
      </c>
      <c r="EF181">
        <v>0</v>
      </c>
      <c r="EI181" t="s">
        <v>857</v>
      </c>
      <c r="EJ181">
        <v>1</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c r="GJ181" t="s">
        <v>943</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1</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G181">
        <v>0</v>
      </c>
      <c r="IH181">
        <v>0</v>
      </c>
      <c r="II181">
        <v>0</v>
      </c>
      <c r="IJ181">
        <v>0</v>
      </c>
      <c r="IK181">
        <v>0</v>
      </c>
      <c r="IL181">
        <v>0</v>
      </c>
      <c r="IM181">
        <v>0</v>
      </c>
      <c r="IN181">
        <v>0</v>
      </c>
      <c r="IO181">
        <v>0</v>
      </c>
      <c r="IP181">
        <v>0</v>
      </c>
      <c r="IQ181">
        <v>1</v>
      </c>
      <c r="IS181">
        <v>2</v>
      </c>
    </row>
    <row r="182" spans="1:258" x14ac:dyDescent="0.35">
      <c r="A182">
        <v>396952</v>
      </c>
      <c r="C182">
        <v>1</v>
      </c>
      <c r="D182" t="s">
        <v>944</v>
      </c>
      <c r="E182" t="s">
        <v>945</v>
      </c>
      <c r="F182" t="s">
        <v>927</v>
      </c>
      <c r="G182">
        <v>3</v>
      </c>
      <c r="I182">
        <v>1</v>
      </c>
      <c r="J182">
        <v>0</v>
      </c>
      <c r="K182">
        <v>1</v>
      </c>
      <c r="L182">
        <v>0</v>
      </c>
      <c r="M182">
        <v>0</v>
      </c>
      <c r="N182">
        <v>0</v>
      </c>
      <c r="O182">
        <v>0</v>
      </c>
      <c r="P182">
        <v>1</v>
      </c>
      <c r="Q182">
        <v>0</v>
      </c>
      <c r="R182">
        <v>1</v>
      </c>
      <c r="T182">
        <v>0</v>
      </c>
      <c r="U182">
        <v>1</v>
      </c>
      <c r="V182">
        <v>1</v>
      </c>
      <c r="X182">
        <v>2</v>
      </c>
      <c r="Y182">
        <v>6</v>
      </c>
      <c r="AA182">
        <v>2</v>
      </c>
      <c r="AB182">
        <v>6</v>
      </c>
      <c r="AC182">
        <v>1</v>
      </c>
      <c r="AD182">
        <v>1</v>
      </c>
      <c r="AE182">
        <v>0</v>
      </c>
      <c r="AF182">
        <v>0</v>
      </c>
      <c r="AG182">
        <v>0</v>
      </c>
      <c r="AH182">
        <v>0</v>
      </c>
      <c r="AJ182">
        <v>2</v>
      </c>
      <c r="AL182">
        <v>1</v>
      </c>
      <c r="AN182">
        <v>1</v>
      </c>
      <c r="AO182">
        <v>1</v>
      </c>
      <c r="AP182">
        <v>4</v>
      </c>
      <c r="AQ182">
        <v>1</v>
      </c>
      <c r="AR182">
        <v>4</v>
      </c>
      <c r="AS182">
        <v>2</v>
      </c>
      <c r="AT182">
        <v>2</v>
      </c>
      <c r="AU182">
        <v>2</v>
      </c>
      <c r="BC182">
        <v>0</v>
      </c>
      <c r="BD182">
        <v>0</v>
      </c>
      <c r="BE182">
        <v>1</v>
      </c>
      <c r="BF182">
        <v>1</v>
      </c>
      <c r="BG182">
        <v>1</v>
      </c>
      <c r="BH182">
        <v>0</v>
      </c>
      <c r="BI182">
        <v>0</v>
      </c>
      <c r="BJ182">
        <v>0</v>
      </c>
      <c r="BK182">
        <v>1</v>
      </c>
      <c r="BL182">
        <v>0</v>
      </c>
      <c r="BM182">
        <v>1</v>
      </c>
      <c r="BN182">
        <v>1</v>
      </c>
      <c r="BO182">
        <v>0</v>
      </c>
      <c r="BP182">
        <v>1</v>
      </c>
      <c r="BQ182">
        <v>0</v>
      </c>
      <c r="BR182">
        <v>0</v>
      </c>
      <c r="BS182">
        <v>0</v>
      </c>
      <c r="BU182">
        <v>9</v>
      </c>
      <c r="BV182">
        <v>4</v>
      </c>
      <c r="BX182">
        <v>6</v>
      </c>
      <c r="BY182">
        <v>6</v>
      </c>
      <c r="DI182">
        <v>1</v>
      </c>
      <c r="DJ182">
        <v>0</v>
      </c>
      <c r="DK182">
        <v>0</v>
      </c>
      <c r="DL182">
        <v>1</v>
      </c>
      <c r="DM182">
        <v>1</v>
      </c>
      <c r="DN182">
        <v>1</v>
      </c>
      <c r="DO182">
        <v>0</v>
      </c>
      <c r="DP182">
        <v>1</v>
      </c>
      <c r="DQ182">
        <v>0</v>
      </c>
      <c r="DR182">
        <v>0</v>
      </c>
      <c r="DT182">
        <v>0</v>
      </c>
      <c r="DU182">
        <v>0</v>
      </c>
      <c r="DV182">
        <v>0</v>
      </c>
      <c r="DW182">
        <v>0</v>
      </c>
      <c r="DX182">
        <v>0</v>
      </c>
      <c r="DY182">
        <v>0</v>
      </c>
      <c r="DZ182">
        <v>0</v>
      </c>
      <c r="EA182">
        <v>0</v>
      </c>
      <c r="EB182">
        <v>0</v>
      </c>
      <c r="EC182">
        <v>0</v>
      </c>
      <c r="ED182">
        <v>0</v>
      </c>
      <c r="EE182">
        <v>0</v>
      </c>
      <c r="EF182">
        <v>1</v>
      </c>
      <c r="IG182">
        <v>1</v>
      </c>
      <c r="IH182">
        <v>1</v>
      </c>
      <c r="II182">
        <v>0</v>
      </c>
      <c r="IJ182">
        <v>1</v>
      </c>
      <c r="IK182">
        <v>0</v>
      </c>
      <c r="IL182">
        <v>0</v>
      </c>
      <c r="IM182">
        <v>0</v>
      </c>
      <c r="IN182">
        <v>0</v>
      </c>
      <c r="IO182">
        <v>0</v>
      </c>
      <c r="IP182">
        <v>0</v>
      </c>
      <c r="IQ182">
        <v>0</v>
      </c>
      <c r="IS182">
        <v>2</v>
      </c>
    </row>
    <row r="183" spans="1:258" x14ac:dyDescent="0.35">
      <c r="A183">
        <v>393051</v>
      </c>
      <c r="C183">
        <v>1</v>
      </c>
      <c r="D183" t="s">
        <v>946</v>
      </c>
      <c r="E183" t="s">
        <v>947</v>
      </c>
      <c r="F183" t="s">
        <v>927</v>
      </c>
      <c r="G183">
        <v>3</v>
      </c>
      <c r="I183">
        <v>0</v>
      </c>
      <c r="J183">
        <v>0</v>
      </c>
      <c r="K183">
        <v>1</v>
      </c>
      <c r="L183">
        <v>0</v>
      </c>
      <c r="M183">
        <v>0</v>
      </c>
      <c r="N183">
        <v>0</v>
      </c>
      <c r="O183">
        <v>0</v>
      </c>
      <c r="P183">
        <v>0</v>
      </c>
      <c r="Q183">
        <v>0</v>
      </c>
      <c r="R183">
        <v>1</v>
      </c>
      <c r="T183">
        <v>0</v>
      </c>
      <c r="U183">
        <v>1</v>
      </c>
      <c r="V183">
        <v>1</v>
      </c>
      <c r="X183">
        <v>3</v>
      </c>
      <c r="Y183">
        <v>7</v>
      </c>
      <c r="AA183">
        <v>3</v>
      </c>
      <c r="AB183">
        <v>7</v>
      </c>
      <c r="AC183">
        <v>1</v>
      </c>
      <c r="AD183">
        <v>0</v>
      </c>
      <c r="AE183">
        <v>0</v>
      </c>
      <c r="AF183">
        <v>0</v>
      </c>
      <c r="AG183">
        <v>0</v>
      </c>
      <c r="AH183">
        <v>0</v>
      </c>
      <c r="AJ183">
        <v>1</v>
      </c>
      <c r="AL183">
        <v>1</v>
      </c>
      <c r="AN183">
        <v>1</v>
      </c>
      <c r="AO183">
        <v>1</v>
      </c>
      <c r="AP183">
        <v>3</v>
      </c>
      <c r="AQ183">
        <v>2</v>
      </c>
      <c r="AS183">
        <v>2</v>
      </c>
      <c r="AT183">
        <v>1</v>
      </c>
      <c r="AU183">
        <v>2</v>
      </c>
      <c r="BC183">
        <v>1</v>
      </c>
      <c r="BD183">
        <v>0</v>
      </c>
      <c r="BE183">
        <v>1</v>
      </c>
      <c r="BF183">
        <v>1</v>
      </c>
      <c r="BG183">
        <v>1</v>
      </c>
      <c r="BH183">
        <v>0</v>
      </c>
      <c r="BI183">
        <v>0</v>
      </c>
      <c r="BJ183">
        <v>1</v>
      </c>
      <c r="BK183">
        <v>0</v>
      </c>
      <c r="BL183">
        <v>0</v>
      </c>
      <c r="BM183">
        <v>0</v>
      </c>
      <c r="BN183">
        <v>0</v>
      </c>
      <c r="BO183">
        <v>0</v>
      </c>
      <c r="BP183">
        <v>1</v>
      </c>
      <c r="BQ183">
        <v>0</v>
      </c>
      <c r="BR183">
        <v>0</v>
      </c>
      <c r="BS183">
        <v>0</v>
      </c>
      <c r="BU183">
        <v>3</v>
      </c>
      <c r="BV183">
        <v>4</v>
      </c>
      <c r="BX183">
        <v>3</v>
      </c>
      <c r="BY183">
        <v>3</v>
      </c>
      <c r="DI183">
        <v>0</v>
      </c>
      <c r="DJ183">
        <v>1</v>
      </c>
      <c r="DK183">
        <v>1</v>
      </c>
      <c r="DL183">
        <v>1</v>
      </c>
      <c r="DM183">
        <v>0</v>
      </c>
      <c r="DN183">
        <v>1</v>
      </c>
      <c r="DO183">
        <v>0</v>
      </c>
      <c r="DP183">
        <v>0</v>
      </c>
      <c r="DQ183">
        <v>0</v>
      </c>
      <c r="DR183">
        <v>0</v>
      </c>
      <c r="DT183">
        <v>0</v>
      </c>
      <c r="DU183">
        <v>1</v>
      </c>
      <c r="DV183">
        <v>1</v>
      </c>
      <c r="DW183">
        <v>1</v>
      </c>
      <c r="DX183">
        <v>0</v>
      </c>
      <c r="DY183">
        <v>0</v>
      </c>
      <c r="DZ183">
        <v>0</v>
      </c>
      <c r="EA183">
        <v>0</v>
      </c>
      <c r="EB183">
        <v>1</v>
      </c>
      <c r="EC183">
        <v>1</v>
      </c>
      <c r="ED183">
        <v>1</v>
      </c>
      <c r="EE183">
        <v>0</v>
      </c>
      <c r="EF183">
        <v>0</v>
      </c>
      <c r="EI183" t="s">
        <v>948</v>
      </c>
      <c r="EJ183">
        <v>1</v>
      </c>
      <c r="EK183">
        <v>1</v>
      </c>
      <c r="EL183">
        <v>0</v>
      </c>
      <c r="EM183">
        <v>0</v>
      </c>
      <c r="EN183">
        <v>0</v>
      </c>
      <c r="EO183">
        <v>0</v>
      </c>
      <c r="EP183">
        <v>0</v>
      </c>
      <c r="EQ183">
        <v>1</v>
      </c>
      <c r="ER183">
        <v>0</v>
      </c>
      <c r="ES183">
        <v>0</v>
      </c>
      <c r="ET183">
        <v>0</v>
      </c>
      <c r="EU183">
        <v>0</v>
      </c>
      <c r="EV183">
        <v>0</v>
      </c>
      <c r="EW183">
        <v>0</v>
      </c>
      <c r="EX183">
        <v>0</v>
      </c>
      <c r="EY183">
        <v>0</v>
      </c>
      <c r="EZ183">
        <v>0</v>
      </c>
      <c r="FA183">
        <v>0</v>
      </c>
      <c r="FB183">
        <v>0</v>
      </c>
      <c r="FC183">
        <v>0</v>
      </c>
      <c r="FD183">
        <v>0</v>
      </c>
      <c r="FE183">
        <v>0</v>
      </c>
      <c r="FF183" t="s">
        <v>949</v>
      </c>
      <c r="FG183">
        <v>1</v>
      </c>
      <c r="FH183">
        <v>0</v>
      </c>
      <c r="FI183">
        <v>0</v>
      </c>
      <c r="FJ183">
        <v>0</v>
      </c>
      <c r="FK183">
        <v>0</v>
      </c>
      <c r="FL183">
        <v>0</v>
      </c>
      <c r="FM183">
        <v>0</v>
      </c>
      <c r="FN183">
        <v>0</v>
      </c>
      <c r="FO183">
        <v>0</v>
      </c>
      <c r="FP183">
        <v>0</v>
      </c>
      <c r="FQ183">
        <v>0</v>
      </c>
      <c r="FR183">
        <v>0</v>
      </c>
      <c r="FS183">
        <v>0</v>
      </c>
      <c r="FT183">
        <v>0</v>
      </c>
      <c r="FU183">
        <v>0</v>
      </c>
      <c r="FV183">
        <v>0</v>
      </c>
      <c r="FW183">
        <v>0</v>
      </c>
      <c r="FX183">
        <v>0</v>
      </c>
      <c r="FY183">
        <v>0</v>
      </c>
      <c r="GJ183" t="s">
        <v>950</v>
      </c>
      <c r="GK183">
        <v>1</v>
      </c>
      <c r="GL183">
        <v>0</v>
      </c>
      <c r="GM183">
        <v>0</v>
      </c>
      <c r="GN183">
        <v>0</v>
      </c>
      <c r="GO183">
        <v>0</v>
      </c>
      <c r="GP183">
        <v>0</v>
      </c>
      <c r="GQ183">
        <v>0</v>
      </c>
      <c r="GR183">
        <v>0</v>
      </c>
      <c r="GS183">
        <v>0</v>
      </c>
      <c r="GT183">
        <v>0</v>
      </c>
      <c r="GU183">
        <v>0</v>
      </c>
      <c r="GV183">
        <v>0</v>
      </c>
      <c r="GW183">
        <v>0</v>
      </c>
      <c r="GX183">
        <v>0</v>
      </c>
      <c r="GY183">
        <v>0</v>
      </c>
      <c r="GZ183">
        <v>0</v>
      </c>
      <c r="HA183">
        <v>0</v>
      </c>
      <c r="HB183">
        <v>0</v>
      </c>
      <c r="HC183">
        <v>1</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G183">
        <v>1</v>
      </c>
      <c r="IH183">
        <v>0</v>
      </c>
      <c r="II183">
        <v>0</v>
      </c>
      <c r="IJ183">
        <v>0</v>
      </c>
      <c r="IK183">
        <v>1</v>
      </c>
      <c r="IL183">
        <v>0</v>
      </c>
      <c r="IM183">
        <v>0</v>
      </c>
      <c r="IN183">
        <v>0</v>
      </c>
      <c r="IO183">
        <v>1</v>
      </c>
      <c r="IP183">
        <v>0</v>
      </c>
      <c r="IQ183">
        <v>0</v>
      </c>
      <c r="IS183">
        <v>2</v>
      </c>
    </row>
    <row r="184" spans="1:258" x14ac:dyDescent="0.35">
      <c r="A184">
        <v>405494</v>
      </c>
      <c r="C184">
        <v>1</v>
      </c>
      <c r="D184" t="s">
        <v>951</v>
      </c>
      <c r="E184" t="s">
        <v>952</v>
      </c>
      <c r="F184" t="s">
        <v>927</v>
      </c>
      <c r="G184">
        <v>3</v>
      </c>
      <c r="I184">
        <v>1</v>
      </c>
      <c r="J184">
        <v>0</v>
      </c>
      <c r="K184">
        <v>1</v>
      </c>
      <c r="L184">
        <v>0</v>
      </c>
      <c r="M184">
        <v>0</v>
      </c>
      <c r="N184">
        <v>0</v>
      </c>
      <c r="O184">
        <v>0</v>
      </c>
      <c r="P184">
        <v>0</v>
      </c>
      <c r="Q184">
        <v>0</v>
      </c>
      <c r="R184">
        <v>1</v>
      </c>
      <c r="T184">
        <v>0</v>
      </c>
      <c r="U184">
        <v>1</v>
      </c>
      <c r="V184">
        <v>1</v>
      </c>
      <c r="X184">
        <v>1</v>
      </c>
      <c r="Y184">
        <v>14</v>
      </c>
      <c r="AA184">
        <v>1</v>
      </c>
      <c r="AB184">
        <v>14</v>
      </c>
      <c r="AC184">
        <v>1</v>
      </c>
      <c r="AD184">
        <v>0</v>
      </c>
      <c r="AE184">
        <v>0</v>
      </c>
      <c r="AF184">
        <v>0</v>
      </c>
      <c r="AG184">
        <v>0</v>
      </c>
      <c r="AH184">
        <v>0</v>
      </c>
      <c r="AJ184">
        <v>2</v>
      </c>
      <c r="AL184">
        <v>1</v>
      </c>
      <c r="AN184">
        <v>1</v>
      </c>
      <c r="AO184">
        <v>1</v>
      </c>
      <c r="AP184">
        <v>4</v>
      </c>
      <c r="AQ184">
        <v>2</v>
      </c>
      <c r="AS184">
        <v>2</v>
      </c>
      <c r="AT184">
        <v>1</v>
      </c>
      <c r="AU184">
        <v>2</v>
      </c>
      <c r="BC184">
        <v>0</v>
      </c>
      <c r="BD184">
        <v>0</v>
      </c>
      <c r="BE184">
        <v>1</v>
      </c>
      <c r="BF184">
        <v>0</v>
      </c>
      <c r="BG184">
        <v>1</v>
      </c>
      <c r="BH184">
        <v>0</v>
      </c>
      <c r="BI184">
        <v>0</v>
      </c>
      <c r="BJ184">
        <v>1</v>
      </c>
      <c r="BK184">
        <v>1</v>
      </c>
      <c r="BL184">
        <v>0</v>
      </c>
      <c r="BM184">
        <v>0</v>
      </c>
      <c r="BN184">
        <v>0</v>
      </c>
      <c r="BO184">
        <v>0</v>
      </c>
      <c r="BP184">
        <v>0</v>
      </c>
      <c r="BQ184">
        <v>0</v>
      </c>
      <c r="BR184">
        <v>1</v>
      </c>
      <c r="BS184">
        <v>0</v>
      </c>
      <c r="BU184">
        <v>5</v>
      </c>
      <c r="BV184">
        <v>4</v>
      </c>
      <c r="BX184">
        <v>6</v>
      </c>
      <c r="BY184">
        <v>6</v>
      </c>
      <c r="DI184">
        <v>0</v>
      </c>
      <c r="DJ184">
        <v>0</v>
      </c>
      <c r="DK184">
        <v>1</v>
      </c>
      <c r="DL184">
        <v>0</v>
      </c>
      <c r="DM184">
        <v>0</v>
      </c>
      <c r="DN184">
        <v>1</v>
      </c>
      <c r="DO184">
        <v>0</v>
      </c>
      <c r="DP184">
        <v>0</v>
      </c>
      <c r="DQ184">
        <v>0</v>
      </c>
      <c r="DR184">
        <v>0</v>
      </c>
      <c r="DT184">
        <v>0</v>
      </c>
      <c r="DU184">
        <v>1</v>
      </c>
      <c r="DV184">
        <v>0</v>
      </c>
      <c r="DW184">
        <v>1</v>
      </c>
      <c r="DX184">
        <v>0</v>
      </c>
      <c r="DY184">
        <v>0</v>
      </c>
      <c r="DZ184">
        <v>0</v>
      </c>
      <c r="EA184">
        <v>0</v>
      </c>
      <c r="EB184">
        <v>0</v>
      </c>
      <c r="EC184">
        <v>1</v>
      </c>
      <c r="ED184">
        <v>1</v>
      </c>
      <c r="EE184">
        <v>0</v>
      </c>
      <c r="EF184">
        <v>0</v>
      </c>
      <c r="EI184" t="s">
        <v>400</v>
      </c>
      <c r="EJ184">
        <v>0</v>
      </c>
      <c r="EK184">
        <v>1</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GJ184" t="s">
        <v>953</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1</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G184">
        <v>0</v>
      </c>
      <c r="IH184">
        <v>0</v>
      </c>
      <c r="II184">
        <v>0</v>
      </c>
      <c r="IJ184">
        <v>1</v>
      </c>
      <c r="IK184">
        <v>0</v>
      </c>
      <c r="IL184">
        <v>0</v>
      </c>
      <c r="IM184">
        <v>0</v>
      </c>
      <c r="IN184">
        <v>0</v>
      </c>
      <c r="IO184">
        <v>0</v>
      </c>
      <c r="IP184">
        <v>0</v>
      </c>
      <c r="IQ184">
        <v>0</v>
      </c>
      <c r="IS184">
        <v>2</v>
      </c>
    </row>
    <row r="185" spans="1:258" x14ac:dyDescent="0.35">
      <c r="A185">
        <v>405227</v>
      </c>
      <c r="C185">
        <v>1</v>
      </c>
      <c r="D185" t="s">
        <v>954</v>
      </c>
      <c r="E185" t="s">
        <v>955</v>
      </c>
      <c r="F185" t="s">
        <v>927</v>
      </c>
      <c r="G185">
        <v>7</v>
      </c>
      <c r="I185">
        <v>0</v>
      </c>
      <c r="J185">
        <v>0</v>
      </c>
      <c r="K185">
        <v>0</v>
      </c>
      <c r="L185">
        <v>0</v>
      </c>
      <c r="M185">
        <v>0</v>
      </c>
      <c r="N185">
        <v>0</v>
      </c>
      <c r="O185">
        <v>0</v>
      </c>
      <c r="P185">
        <v>1</v>
      </c>
      <c r="Q185">
        <v>0</v>
      </c>
      <c r="R185">
        <v>1</v>
      </c>
      <c r="T185">
        <v>0</v>
      </c>
      <c r="U185">
        <v>1</v>
      </c>
      <c r="V185">
        <v>0</v>
      </c>
      <c r="X185">
        <v>10</v>
      </c>
      <c r="AA185">
        <v>10</v>
      </c>
      <c r="AC185">
        <v>1</v>
      </c>
      <c r="AD185">
        <v>0</v>
      </c>
      <c r="AE185">
        <v>0</v>
      </c>
      <c r="AF185">
        <v>0</v>
      </c>
      <c r="AG185">
        <v>0</v>
      </c>
      <c r="AH185">
        <v>0</v>
      </c>
      <c r="AJ185">
        <v>5</v>
      </c>
      <c r="AL185">
        <v>1</v>
      </c>
      <c r="AN185">
        <v>1</v>
      </c>
      <c r="AO185">
        <v>1</v>
      </c>
      <c r="AP185">
        <v>1</v>
      </c>
      <c r="AQ185">
        <v>2</v>
      </c>
      <c r="AS185">
        <v>2</v>
      </c>
      <c r="AT185">
        <v>2</v>
      </c>
      <c r="AU185">
        <v>2</v>
      </c>
      <c r="BC185">
        <v>1</v>
      </c>
      <c r="BD185">
        <v>0</v>
      </c>
      <c r="BE185">
        <v>0</v>
      </c>
      <c r="BF185">
        <v>0</v>
      </c>
      <c r="BG185">
        <v>0</v>
      </c>
      <c r="BH185">
        <v>0</v>
      </c>
      <c r="BI185">
        <v>0</v>
      </c>
      <c r="BJ185">
        <v>0</v>
      </c>
      <c r="BK185">
        <v>0</v>
      </c>
      <c r="BL185">
        <v>0</v>
      </c>
      <c r="BM185">
        <v>0</v>
      </c>
      <c r="BN185">
        <v>0</v>
      </c>
      <c r="BO185">
        <v>0</v>
      </c>
      <c r="BP185">
        <v>0</v>
      </c>
      <c r="BQ185">
        <v>0</v>
      </c>
      <c r="BR185">
        <v>0</v>
      </c>
      <c r="BS185">
        <v>0</v>
      </c>
      <c r="BU185">
        <v>6</v>
      </c>
      <c r="BV185">
        <v>4</v>
      </c>
      <c r="BX185">
        <v>1</v>
      </c>
      <c r="BY185">
        <v>1</v>
      </c>
      <c r="DI185">
        <v>0</v>
      </c>
      <c r="DJ185">
        <v>0</v>
      </c>
      <c r="DK185">
        <v>0</v>
      </c>
      <c r="DL185">
        <v>0</v>
      </c>
      <c r="DM185">
        <v>0</v>
      </c>
      <c r="DN185">
        <v>0</v>
      </c>
      <c r="DO185">
        <v>0</v>
      </c>
      <c r="DP185">
        <v>0</v>
      </c>
      <c r="DQ185">
        <v>0</v>
      </c>
      <c r="DR185">
        <v>1</v>
      </c>
      <c r="DT185">
        <v>0</v>
      </c>
      <c r="DU185">
        <v>0</v>
      </c>
      <c r="DV185">
        <v>0</v>
      </c>
      <c r="DW185">
        <v>0</v>
      </c>
      <c r="DX185">
        <v>0</v>
      </c>
      <c r="DY185">
        <v>0</v>
      </c>
      <c r="DZ185">
        <v>0</v>
      </c>
      <c r="EA185">
        <v>0</v>
      </c>
      <c r="EB185">
        <v>0</v>
      </c>
      <c r="EC185">
        <v>0</v>
      </c>
      <c r="ED185">
        <v>0</v>
      </c>
      <c r="EE185">
        <v>0</v>
      </c>
      <c r="EF185">
        <v>1</v>
      </c>
      <c r="IG185">
        <v>0</v>
      </c>
      <c r="IH185">
        <v>0</v>
      </c>
      <c r="II185">
        <v>0</v>
      </c>
      <c r="IJ185">
        <v>0</v>
      </c>
      <c r="IK185">
        <v>0</v>
      </c>
      <c r="IL185">
        <v>0</v>
      </c>
      <c r="IM185">
        <v>0</v>
      </c>
      <c r="IN185">
        <v>0</v>
      </c>
      <c r="IO185">
        <v>0</v>
      </c>
      <c r="IP185">
        <v>0</v>
      </c>
      <c r="IQ185">
        <v>1</v>
      </c>
      <c r="IS185">
        <v>1</v>
      </c>
      <c r="IT185">
        <v>1</v>
      </c>
      <c r="IU185">
        <v>0</v>
      </c>
      <c r="IV185">
        <v>0</v>
      </c>
      <c r="IW185">
        <v>0</v>
      </c>
    </row>
    <row r="186" spans="1:258" x14ac:dyDescent="0.35">
      <c r="A186">
        <v>380192</v>
      </c>
      <c r="C186">
        <v>1</v>
      </c>
      <c r="D186" t="s">
        <v>956</v>
      </c>
      <c r="E186" t="s">
        <v>957</v>
      </c>
      <c r="F186" t="s">
        <v>927</v>
      </c>
      <c r="G186">
        <v>13</v>
      </c>
      <c r="I186">
        <v>0</v>
      </c>
      <c r="J186">
        <v>0</v>
      </c>
      <c r="K186">
        <v>0</v>
      </c>
      <c r="L186">
        <v>0</v>
      </c>
      <c r="M186">
        <v>0</v>
      </c>
      <c r="N186">
        <v>0</v>
      </c>
      <c r="O186">
        <v>0</v>
      </c>
      <c r="P186">
        <v>0</v>
      </c>
      <c r="Q186">
        <v>1</v>
      </c>
      <c r="R186">
        <v>1</v>
      </c>
      <c r="T186">
        <v>0</v>
      </c>
      <c r="U186">
        <v>1</v>
      </c>
      <c r="V186">
        <v>0</v>
      </c>
      <c r="X186">
        <v>31</v>
      </c>
      <c r="AA186">
        <v>31</v>
      </c>
      <c r="AC186">
        <v>1</v>
      </c>
      <c r="AD186">
        <v>1</v>
      </c>
      <c r="AE186">
        <v>0</v>
      </c>
      <c r="AF186">
        <v>0</v>
      </c>
      <c r="AG186">
        <v>0</v>
      </c>
      <c r="AH186">
        <v>0</v>
      </c>
      <c r="AJ186">
        <v>2</v>
      </c>
      <c r="AL186">
        <v>1</v>
      </c>
      <c r="AN186">
        <v>1</v>
      </c>
      <c r="AO186">
        <v>1</v>
      </c>
      <c r="AP186">
        <v>4</v>
      </c>
      <c r="AQ186">
        <v>1</v>
      </c>
      <c r="AR186">
        <v>5</v>
      </c>
      <c r="AS186">
        <v>1</v>
      </c>
      <c r="AT186">
        <v>1</v>
      </c>
      <c r="AU186">
        <v>2</v>
      </c>
      <c r="BC186">
        <v>0</v>
      </c>
      <c r="BD186">
        <v>0</v>
      </c>
      <c r="BE186">
        <v>1</v>
      </c>
      <c r="BF186">
        <v>0</v>
      </c>
      <c r="BG186">
        <v>1</v>
      </c>
      <c r="BH186">
        <v>0</v>
      </c>
      <c r="BI186">
        <v>0</v>
      </c>
      <c r="BJ186">
        <v>0</v>
      </c>
      <c r="BK186">
        <v>0</v>
      </c>
      <c r="BL186">
        <v>0</v>
      </c>
      <c r="BM186">
        <v>0</v>
      </c>
      <c r="BN186">
        <v>0</v>
      </c>
      <c r="BO186">
        <v>0</v>
      </c>
      <c r="BP186">
        <v>1</v>
      </c>
      <c r="BQ186">
        <v>0</v>
      </c>
      <c r="BR186">
        <v>1</v>
      </c>
      <c r="BS186">
        <v>0</v>
      </c>
      <c r="BU186">
        <v>3</v>
      </c>
      <c r="BV186">
        <v>4</v>
      </c>
      <c r="BX186">
        <v>5</v>
      </c>
      <c r="BY186">
        <v>5</v>
      </c>
      <c r="DI186">
        <v>0</v>
      </c>
      <c r="DJ186">
        <v>0</v>
      </c>
      <c r="DK186">
        <v>1</v>
      </c>
      <c r="DL186">
        <v>0</v>
      </c>
      <c r="DM186">
        <v>0</v>
      </c>
      <c r="DN186">
        <v>0</v>
      </c>
      <c r="DO186">
        <v>0</v>
      </c>
      <c r="DP186">
        <v>1</v>
      </c>
      <c r="DQ186">
        <v>0</v>
      </c>
      <c r="DR186">
        <v>0</v>
      </c>
      <c r="DT186">
        <v>0</v>
      </c>
      <c r="DU186">
        <v>1</v>
      </c>
      <c r="DV186">
        <v>0</v>
      </c>
      <c r="DW186">
        <v>1</v>
      </c>
      <c r="DX186">
        <v>0</v>
      </c>
      <c r="DY186">
        <v>0</v>
      </c>
      <c r="DZ186">
        <v>0</v>
      </c>
      <c r="EA186">
        <v>0</v>
      </c>
      <c r="EB186">
        <v>0</v>
      </c>
      <c r="EC186">
        <v>1</v>
      </c>
      <c r="ED186">
        <v>0</v>
      </c>
      <c r="EE186">
        <v>0</v>
      </c>
      <c r="EF186">
        <v>0</v>
      </c>
      <c r="EI186" t="s">
        <v>274</v>
      </c>
      <c r="EJ186">
        <v>1</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GJ186" t="s">
        <v>958</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1</v>
      </c>
      <c r="HJ186">
        <v>0</v>
      </c>
      <c r="HK186">
        <v>0</v>
      </c>
      <c r="HL186">
        <v>0</v>
      </c>
      <c r="HM186">
        <v>0</v>
      </c>
      <c r="HN186">
        <v>0</v>
      </c>
      <c r="HO186">
        <v>0</v>
      </c>
      <c r="HP186">
        <v>0</v>
      </c>
      <c r="HQ186">
        <v>0</v>
      </c>
      <c r="HR186">
        <v>0</v>
      </c>
      <c r="HS186">
        <v>0</v>
      </c>
      <c r="HT186">
        <v>0</v>
      </c>
      <c r="HU186">
        <v>0</v>
      </c>
      <c r="HV186">
        <v>0</v>
      </c>
      <c r="HW186">
        <v>0</v>
      </c>
      <c r="HX186">
        <v>0</v>
      </c>
      <c r="HY186">
        <v>0</v>
      </c>
      <c r="HZ186">
        <v>0</v>
      </c>
      <c r="IA186">
        <v>0</v>
      </c>
      <c r="IB186">
        <v>0</v>
      </c>
      <c r="IC186">
        <v>0</v>
      </c>
      <c r="ID186">
        <v>0</v>
      </c>
      <c r="IG186">
        <v>0</v>
      </c>
      <c r="IH186">
        <v>0</v>
      </c>
      <c r="II186">
        <v>1</v>
      </c>
      <c r="IJ186">
        <v>1</v>
      </c>
      <c r="IK186">
        <v>0</v>
      </c>
      <c r="IL186">
        <v>0</v>
      </c>
      <c r="IM186">
        <v>0</v>
      </c>
      <c r="IN186">
        <v>0</v>
      </c>
      <c r="IO186">
        <v>0</v>
      </c>
      <c r="IP186">
        <v>0</v>
      </c>
      <c r="IQ186">
        <v>0</v>
      </c>
      <c r="IS186">
        <v>2</v>
      </c>
    </row>
    <row r="187" spans="1:258" x14ac:dyDescent="0.35">
      <c r="A187">
        <v>397113</v>
      </c>
      <c r="C187">
        <v>1</v>
      </c>
      <c r="D187" t="s">
        <v>959</v>
      </c>
      <c r="E187" t="s">
        <v>960</v>
      </c>
      <c r="F187" t="s">
        <v>927</v>
      </c>
      <c r="G187">
        <v>5</v>
      </c>
      <c r="I187">
        <v>1</v>
      </c>
      <c r="J187">
        <v>1</v>
      </c>
      <c r="K187">
        <v>0</v>
      </c>
      <c r="L187">
        <v>0</v>
      </c>
      <c r="M187">
        <v>0</v>
      </c>
      <c r="N187">
        <v>1</v>
      </c>
      <c r="O187">
        <v>0</v>
      </c>
      <c r="P187">
        <v>1</v>
      </c>
      <c r="Q187">
        <v>0</v>
      </c>
      <c r="R187">
        <v>3</v>
      </c>
      <c r="S187" t="s">
        <v>961</v>
      </c>
      <c r="T187">
        <v>0</v>
      </c>
      <c r="U187">
        <v>1</v>
      </c>
      <c r="V187">
        <v>0</v>
      </c>
      <c r="X187">
        <v>83</v>
      </c>
      <c r="AA187">
        <v>83</v>
      </c>
      <c r="AC187">
        <v>1</v>
      </c>
      <c r="AD187">
        <v>0</v>
      </c>
      <c r="AE187">
        <v>0</v>
      </c>
      <c r="AF187">
        <v>0</v>
      </c>
      <c r="AG187">
        <v>0</v>
      </c>
      <c r="AH187">
        <v>0</v>
      </c>
      <c r="AJ187">
        <v>1</v>
      </c>
      <c r="AL187">
        <v>1</v>
      </c>
      <c r="AN187">
        <v>1</v>
      </c>
      <c r="AO187">
        <v>1</v>
      </c>
      <c r="AP187">
        <v>3</v>
      </c>
      <c r="AQ187">
        <v>1</v>
      </c>
      <c r="AR187">
        <v>5</v>
      </c>
      <c r="AS187">
        <v>1</v>
      </c>
      <c r="AT187">
        <v>1</v>
      </c>
      <c r="AU187">
        <v>1</v>
      </c>
      <c r="AV187">
        <v>0</v>
      </c>
      <c r="AW187">
        <v>1</v>
      </c>
      <c r="AX187">
        <v>1</v>
      </c>
      <c r="AY187">
        <v>1</v>
      </c>
      <c r="AZ187">
        <v>0</v>
      </c>
      <c r="BA187">
        <v>0</v>
      </c>
      <c r="BC187">
        <v>0</v>
      </c>
      <c r="BD187">
        <v>0</v>
      </c>
      <c r="BE187">
        <v>0</v>
      </c>
      <c r="BF187">
        <v>0</v>
      </c>
      <c r="BG187">
        <v>0</v>
      </c>
      <c r="BH187">
        <v>0</v>
      </c>
      <c r="BI187">
        <v>0</v>
      </c>
      <c r="BJ187">
        <v>0</v>
      </c>
      <c r="BK187">
        <v>0</v>
      </c>
      <c r="BL187">
        <v>0</v>
      </c>
      <c r="BM187">
        <v>0</v>
      </c>
      <c r="BN187">
        <v>0</v>
      </c>
      <c r="BO187">
        <v>0</v>
      </c>
      <c r="BP187">
        <v>0</v>
      </c>
      <c r="BQ187">
        <v>0</v>
      </c>
      <c r="BR187">
        <v>0</v>
      </c>
      <c r="BS187">
        <v>1</v>
      </c>
      <c r="BT187" t="s">
        <v>962</v>
      </c>
      <c r="BU187">
        <v>9</v>
      </c>
      <c r="BV187">
        <v>4</v>
      </c>
      <c r="BX187">
        <v>3</v>
      </c>
      <c r="BY187">
        <v>3</v>
      </c>
      <c r="DI187">
        <v>0</v>
      </c>
      <c r="DJ187">
        <v>0</v>
      </c>
      <c r="DK187">
        <v>1</v>
      </c>
      <c r="DL187">
        <v>0</v>
      </c>
      <c r="DM187">
        <v>0</v>
      </c>
      <c r="DN187">
        <v>1</v>
      </c>
      <c r="DO187">
        <v>0</v>
      </c>
      <c r="DP187">
        <v>0</v>
      </c>
      <c r="DQ187">
        <v>0</v>
      </c>
      <c r="DR187">
        <v>0</v>
      </c>
      <c r="DT187">
        <v>0</v>
      </c>
      <c r="DU187">
        <v>0</v>
      </c>
      <c r="DV187">
        <v>0</v>
      </c>
      <c r="DW187">
        <v>1</v>
      </c>
      <c r="DX187">
        <v>1</v>
      </c>
      <c r="DY187">
        <v>0</v>
      </c>
      <c r="DZ187">
        <v>0</v>
      </c>
      <c r="EA187">
        <v>0</v>
      </c>
      <c r="EB187">
        <v>0</v>
      </c>
      <c r="EC187">
        <v>0</v>
      </c>
      <c r="ED187">
        <v>0</v>
      </c>
      <c r="EE187">
        <v>0</v>
      </c>
      <c r="EF187">
        <v>0</v>
      </c>
      <c r="IG187">
        <v>1</v>
      </c>
      <c r="IH187">
        <v>1</v>
      </c>
      <c r="II187">
        <v>1</v>
      </c>
      <c r="IJ187">
        <v>0</v>
      </c>
      <c r="IK187">
        <v>0</v>
      </c>
      <c r="IL187">
        <v>0</v>
      </c>
      <c r="IM187">
        <v>0</v>
      </c>
      <c r="IN187">
        <v>0</v>
      </c>
      <c r="IO187">
        <v>0</v>
      </c>
      <c r="IP187">
        <v>0</v>
      </c>
      <c r="IQ187">
        <v>0</v>
      </c>
      <c r="IS187">
        <v>1</v>
      </c>
      <c r="IT187">
        <v>0</v>
      </c>
      <c r="IU187">
        <v>0</v>
      </c>
      <c r="IV187">
        <v>0</v>
      </c>
      <c r="IW187">
        <v>1</v>
      </c>
      <c r="IX187" t="s">
        <v>963</v>
      </c>
    </row>
    <row r="188" spans="1:258" x14ac:dyDescent="0.35">
      <c r="A188">
        <v>374843</v>
      </c>
      <c r="C188">
        <v>1</v>
      </c>
      <c r="D188" t="s">
        <v>964</v>
      </c>
      <c r="E188" t="s">
        <v>965</v>
      </c>
      <c r="F188" t="s">
        <v>966</v>
      </c>
      <c r="G188">
        <v>4</v>
      </c>
      <c r="I188">
        <v>1</v>
      </c>
      <c r="J188">
        <v>0</v>
      </c>
      <c r="K188">
        <v>0</v>
      </c>
      <c r="L188">
        <v>0</v>
      </c>
      <c r="M188">
        <v>0</v>
      </c>
      <c r="N188">
        <v>0</v>
      </c>
      <c r="O188">
        <v>0</v>
      </c>
      <c r="P188">
        <v>0</v>
      </c>
      <c r="Q188">
        <v>0</v>
      </c>
      <c r="R188">
        <v>1</v>
      </c>
      <c r="T188">
        <v>0</v>
      </c>
      <c r="U188">
        <v>1</v>
      </c>
      <c r="V188">
        <v>0</v>
      </c>
      <c r="X188">
        <v>3</v>
      </c>
      <c r="AA188">
        <v>3</v>
      </c>
      <c r="AC188">
        <v>1</v>
      </c>
      <c r="AD188">
        <v>0</v>
      </c>
      <c r="AE188">
        <v>0</v>
      </c>
      <c r="AF188">
        <v>0</v>
      </c>
      <c r="AG188">
        <v>0</v>
      </c>
      <c r="AH188">
        <v>0</v>
      </c>
      <c r="AJ188">
        <v>1</v>
      </c>
      <c r="AL188">
        <v>1</v>
      </c>
      <c r="AN188">
        <v>1</v>
      </c>
      <c r="AO188">
        <v>2</v>
      </c>
      <c r="AP188">
        <v>4</v>
      </c>
      <c r="AQ188">
        <v>1</v>
      </c>
      <c r="AR188">
        <v>4</v>
      </c>
      <c r="AS188">
        <v>1</v>
      </c>
      <c r="AT188">
        <v>2</v>
      </c>
      <c r="AU188">
        <v>1</v>
      </c>
      <c r="AV188">
        <v>1</v>
      </c>
      <c r="AW188">
        <v>0</v>
      </c>
      <c r="AX188">
        <v>0</v>
      </c>
      <c r="AY188">
        <v>0</v>
      </c>
      <c r="AZ188">
        <v>0</v>
      </c>
      <c r="BA188">
        <v>0</v>
      </c>
      <c r="BC188">
        <v>1</v>
      </c>
      <c r="BD188">
        <v>1</v>
      </c>
      <c r="BE188">
        <v>1</v>
      </c>
      <c r="BF188">
        <v>1</v>
      </c>
      <c r="BG188">
        <v>1</v>
      </c>
      <c r="BH188">
        <v>1</v>
      </c>
      <c r="BI188">
        <v>1</v>
      </c>
      <c r="BJ188">
        <v>1</v>
      </c>
      <c r="BK188">
        <v>1</v>
      </c>
      <c r="BL188">
        <v>1</v>
      </c>
      <c r="BM188">
        <v>1</v>
      </c>
      <c r="BN188">
        <v>1</v>
      </c>
      <c r="BO188">
        <v>1</v>
      </c>
      <c r="BP188">
        <v>1</v>
      </c>
      <c r="BQ188">
        <v>0</v>
      </c>
      <c r="BR188">
        <v>1</v>
      </c>
      <c r="BS188">
        <v>0</v>
      </c>
      <c r="BU188">
        <v>16</v>
      </c>
      <c r="BV188">
        <v>4</v>
      </c>
      <c r="BX188">
        <v>1</v>
      </c>
      <c r="BY188">
        <v>5</v>
      </c>
      <c r="DI188">
        <v>1</v>
      </c>
      <c r="DJ188">
        <v>1</v>
      </c>
      <c r="DK188">
        <v>1</v>
      </c>
      <c r="DL188">
        <v>1</v>
      </c>
      <c r="DM188">
        <v>1</v>
      </c>
      <c r="DN188">
        <v>1</v>
      </c>
      <c r="DO188">
        <v>1</v>
      </c>
      <c r="DP188">
        <v>1</v>
      </c>
      <c r="DQ188">
        <v>0</v>
      </c>
      <c r="DR188">
        <v>0</v>
      </c>
      <c r="DT188">
        <v>0</v>
      </c>
      <c r="DU188">
        <v>0</v>
      </c>
      <c r="DV188">
        <v>0</v>
      </c>
      <c r="DW188">
        <v>1</v>
      </c>
      <c r="DX188">
        <v>1</v>
      </c>
      <c r="DY188">
        <v>0</v>
      </c>
      <c r="DZ188">
        <v>0</v>
      </c>
      <c r="EA188">
        <v>1</v>
      </c>
      <c r="EB188">
        <v>1</v>
      </c>
      <c r="EC188">
        <v>0</v>
      </c>
      <c r="ED188">
        <v>0</v>
      </c>
      <c r="EE188">
        <v>0</v>
      </c>
      <c r="EF188">
        <v>0</v>
      </c>
      <c r="IG188">
        <v>1</v>
      </c>
      <c r="IH188">
        <v>0</v>
      </c>
      <c r="II188">
        <v>1</v>
      </c>
      <c r="IJ188">
        <v>1</v>
      </c>
      <c r="IK188">
        <v>0</v>
      </c>
      <c r="IL188">
        <v>0</v>
      </c>
      <c r="IM188">
        <v>0</v>
      </c>
      <c r="IN188">
        <v>0</v>
      </c>
      <c r="IO188">
        <v>0</v>
      </c>
      <c r="IP188">
        <v>0</v>
      </c>
      <c r="IQ188">
        <v>0</v>
      </c>
      <c r="IS188">
        <v>2</v>
      </c>
    </row>
    <row r="189" spans="1:258" x14ac:dyDescent="0.35">
      <c r="A189">
        <v>405475</v>
      </c>
      <c r="C189">
        <v>1</v>
      </c>
      <c r="D189" t="s">
        <v>967</v>
      </c>
      <c r="E189" t="s">
        <v>967</v>
      </c>
      <c r="F189" t="s">
        <v>966</v>
      </c>
      <c r="G189">
        <v>4</v>
      </c>
      <c r="I189">
        <v>0</v>
      </c>
      <c r="J189">
        <v>0</v>
      </c>
      <c r="K189">
        <v>1</v>
      </c>
      <c r="L189">
        <v>0</v>
      </c>
      <c r="M189">
        <v>0</v>
      </c>
      <c r="N189">
        <v>0</v>
      </c>
      <c r="O189">
        <v>0</v>
      </c>
      <c r="P189">
        <v>0</v>
      </c>
      <c r="Q189">
        <v>0</v>
      </c>
      <c r="R189">
        <v>1</v>
      </c>
      <c r="T189">
        <v>0</v>
      </c>
      <c r="U189">
        <v>1</v>
      </c>
      <c r="V189">
        <v>0</v>
      </c>
      <c r="X189">
        <v>15</v>
      </c>
      <c r="AA189">
        <v>15</v>
      </c>
      <c r="AC189">
        <v>1</v>
      </c>
      <c r="AD189">
        <v>0</v>
      </c>
      <c r="AE189">
        <v>0</v>
      </c>
      <c r="AF189">
        <v>0</v>
      </c>
      <c r="AG189">
        <v>0</v>
      </c>
      <c r="AH189">
        <v>0</v>
      </c>
      <c r="AJ189">
        <v>1</v>
      </c>
      <c r="AL189">
        <v>1</v>
      </c>
      <c r="AN189">
        <v>3</v>
      </c>
      <c r="AQ189">
        <v>1</v>
      </c>
      <c r="AR189">
        <v>5</v>
      </c>
      <c r="AS189">
        <v>2</v>
      </c>
      <c r="AT189">
        <v>2</v>
      </c>
      <c r="AU189">
        <v>2</v>
      </c>
      <c r="BC189">
        <v>0</v>
      </c>
      <c r="BD189">
        <v>0</v>
      </c>
      <c r="BE189">
        <v>1</v>
      </c>
      <c r="BF189">
        <v>1</v>
      </c>
      <c r="BG189">
        <v>1</v>
      </c>
      <c r="BH189">
        <v>0</v>
      </c>
      <c r="BI189">
        <v>0</v>
      </c>
      <c r="BJ189">
        <v>1</v>
      </c>
      <c r="BK189">
        <v>1</v>
      </c>
      <c r="BL189">
        <v>0</v>
      </c>
      <c r="BM189">
        <v>1</v>
      </c>
      <c r="BN189">
        <v>0</v>
      </c>
      <c r="BO189">
        <v>0</v>
      </c>
      <c r="BP189">
        <v>1</v>
      </c>
      <c r="BQ189">
        <v>0</v>
      </c>
      <c r="BR189">
        <v>1</v>
      </c>
      <c r="BS189">
        <v>0</v>
      </c>
      <c r="BU189">
        <v>16</v>
      </c>
      <c r="BV189">
        <v>4</v>
      </c>
      <c r="BX189">
        <v>6</v>
      </c>
      <c r="BY189">
        <v>6</v>
      </c>
      <c r="DI189">
        <v>0</v>
      </c>
      <c r="DJ189">
        <v>0</v>
      </c>
      <c r="DK189">
        <v>1</v>
      </c>
      <c r="DL189">
        <v>0</v>
      </c>
      <c r="DM189">
        <v>0</v>
      </c>
      <c r="DN189">
        <v>1</v>
      </c>
      <c r="DO189">
        <v>0</v>
      </c>
      <c r="DP189">
        <v>0</v>
      </c>
      <c r="DQ189">
        <v>0</v>
      </c>
      <c r="DR189">
        <v>0</v>
      </c>
      <c r="DT189">
        <v>0</v>
      </c>
      <c r="DU189">
        <v>0</v>
      </c>
      <c r="DV189">
        <v>1</v>
      </c>
      <c r="DW189">
        <v>1</v>
      </c>
      <c r="DX189">
        <v>1</v>
      </c>
      <c r="DY189">
        <v>0</v>
      </c>
      <c r="DZ189">
        <v>0</v>
      </c>
      <c r="EA189">
        <v>0</v>
      </c>
      <c r="EB189">
        <v>0</v>
      </c>
      <c r="EC189">
        <v>1</v>
      </c>
      <c r="ED189">
        <v>1</v>
      </c>
      <c r="EE189">
        <v>0</v>
      </c>
      <c r="EF189">
        <v>0</v>
      </c>
      <c r="FF189" t="s">
        <v>300</v>
      </c>
      <c r="FG189">
        <v>1</v>
      </c>
      <c r="FH189">
        <v>0</v>
      </c>
      <c r="FI189">
        <v>0</v>
      </c>
      <c r="FJ189">
        <v>0</v>
      </c>
      <c r="FK189">
        <v>0</v>
      </c>
      <c r="FL189">
        <v>0</v>
      </c>
      <c r="FM189">
        <v>0</v>
      </c>
      <c r="FN189">
        <v>0</v>
      </c>
      <c r="FO189">
        <v>0</v>
      </c>
      <c r="FP189">
        <v>0</v>
      </c>
      <c r="FQ189">
        <v>0</v>
      </c>
      <c r="FR189">
        <v>0</v>
      </c>
      <c r="FS189">
        <v>0</v>
      </c>
      <c r="FT189">
        <v>0</v>
      </c>
      <c r="FU189">
        <v>0</v>
      </c>
      <c r="FV189">
        <v>0</v>
      </c>
      <c r="FW189">
        <v>0</v>
      </c>
      <c r="FX189">
        <v>0</v>
      </c>
      <c r="FY189">
        <v>0</v>
      </c>
      <c r="GJ189" t="s">
        <v>953</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1</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G189">
        <v>1</v>
      </c>
      <c r="IH189">
        <v>0</v>
      </c>
      <c r="II189">
        <v>0</v>
      </c>
      <c r="IJ189">
        <v>0</v>
      </c>
      <c r="IK189">
        <v>0</v>
      </c>
      <c r="IL189">
        <v>0</v>
      </c>
      <c r="IM189">
        <v>0</v>
      </c>
      <c r="IN189">
        <v>0</v>
      </c>
      <c r="IO189">
        <v>0</v>
      </c>
      <c r="IP189">
        <v>0</v>
      </c>
      <c r="IQ189">
        <v>0</v>
      </c>
      <c r="IS189">
        <v>2</v>
      </c>
    </row>
    <row r="190" spans="1:258" x14ac:dyDescent="0.35">
      <c r="A190">
        <v>393209</v>
      </c>
      <c r="C190">
        <v>1</v>
      </c>
      <c r="D190" t="s">
        <v>968</v>
      </c>
      <c r="E190" t="s">
        <v>969</v>
      </c>
      <c r="F190" t="s">
        <v>970</v>
      </c>
      <c r="G190">
        <v>3</v>
      </c>
      <c r="I190">
        <v>0</v>
      </c>
      <c r="J190">
        <v>0</v>
      </c>
      <c r="K190">
        <v>1</v>
      </c>
      <c r="L190">
        <v>0</v>
      </c>
      <c r="M190">
        <v>0</v>
      </c>
      <c r="N190">
        <v>0</v>
      </c>
      <c r="O190">
        <v>0</v>
      </c>
      <c r="P190">
        <v>0</v>
      </c>
      <c r="Q190">
        <v>0</v>
      </c>
      <c r="R190">
        <v>1</v>
      </c>
      <c r="T190">
        <v>1</v>
      </c>
      <c r="U190">
        <v>1</v>
      </c>
      <c r="V190">
        <v>0</v>
      </c>
      <c r="W190">
        <v>6</v>
      </c>
      <c r="X190">
        <v>40</v>
      </c>
      <c r="Z190">
        <v>6</v>
      </c>
      <c r="AA190">
        <v>40</v>
      </c>
      <c r="AC190">
        <v>1</v>
      </c>
      <c r="AD190">
        <v>0</v>
      </c>
      <c r="AE190">
        <v>0</v>
      </c>
      <c r="AF190">
        <v>0</v>
      </c>
      <c r="AG190">
        <v>0</v>
      </c>
      <c r="AH190">
        <v>0</v>
      </c>
      <c r="AJ190">
        <v>1</v>
      </c>
      <c r="AL190">
        <v>1</v>
      </c>
      <c r="AN190">
        <v>1</v>
      </c>
      <c r="AO190">
        <v>1</v>
      </c>
      <c r="AP190">
        <v>4</v>
      </c>
      <c r="AQ190">
        <v>2</v>
      </c>
      <c r="AS190">
        <v>1</v>
      </c>
      <c r="AT190">
        <v>1</v>
      </c>
      <c r="AU190">
        <v>1</v>
      </c>
      <c r="AV190">
        <v>1</v>
      </c>
      <c r="AW190">
        <v>0</v>
      </c>
      <c r="AX190">
        <v>0</v>
      </c>
      <c r="AY190">
        <v>0</v>
      </c>
      <c r="AZ190">
        <v>0</v>
      </c>
      <c r="BA190">
        <v>0</v>
      </c>
      <c r="BC190">
        <v>1</v>
      </c>
      <c r="BD190">
        <v>0</v>
      </c>
      <c r="BE190">
        <v>1</v>
      </c>
      <c r="BF190">
        <v>0</v>
      </c>
      <c r="BG190">
        <v>0</v>
      </c>
      <c r="BH190">
        <v>0</v>
      </c>
      <c r="BI190">
        <v>1</v>
      </c>
      <c r="BJ190">
        <v>0</v>
      </c>
      <c r="BK190">
        <v>0</v>
      </c>
      <c r="BL190">
        <v>0</v>
      </c>
      <c r="BM190">
        <v>0</v>
      </c>
      <c r="BN190">
        <v>0</v>
      </c>
      <c r="BO190">
        <v>0</v>
      </c>
      <c r="BP190">
        <v>0</v>
      </c>
      <c r="BQ190">
        <v>0</v>
      </c>
      <c r="BR190">
        <v>0</v>
      </c>
      <c r="BS190">
        <v>0</v>
      </c>
      <c r="BU190">
        <v>3</v>
      </c>
      <c r="BV190">
        <v>4</v>
      </c>
      <c r="BX190">
        <v>5</v>
      </c>
      <c r="BY190">
        <v>5</v>
      </c>
      <c r="DI190">
        <v>0</v>
      </c>
      <c r="DJ190">
        <v>0</v>
      </c>
      <c r="DK190">
        <v>0</v>
      </c>
      <c r="DL190">
        <v>1</v>
      </c>
      <c r="DM190">
        <v>0</v>
      </c>
      <c r="DN190">
        <v>0</v>
      </c>
      <c r="DO190">
        <v>0</v>
      </c>
      <c r="DP190">
        <v>0</v>
      </c>
      <c r="DQ190">
        <v>0</v>
      </c>
      <c r="DR190">
        <v>0</v>
      </c>
      <c r="DT190">
        <v>0</v>
      </c>
      <c r="DU190">
        <v>0</v>
      </c>
      <c r="DV190">
        <v>0</v>
      </c>
      <c r="DW190">
        <v>0</v>
      </c>
      <c r="DX190">
        <v>0</v>
      </c>
      <c r="DY190">
        <v>0</v>
      </c>
      <c r="DZ190">
        <v>0</v>
      </c>
      <c r="EA190">
        <v>0</v>
      </c>
      <c r="EB190">
        <v>0</v>
      </c>
      <c r="EC190">
        <v>0</v>
      </c>
      <c r="ED190">
        <v>1</v>
      </c>
      <c r="EE190">
        <v>0</v>
      </c>
      <c r="EF190">
        <v>0</v>
      </c>
      <c r="IG190">
        <v>1</v>
      </c>
      <c r="IH190">
        <v>0</v>
      </c>
      <c r="II190">
        <v>1</v>
      </c>
      <c r="IJ190">
        <v>0</v>
      </c>
      <c r="IK190">
        <v>0</v>
      </c>
      <c r="IL190">
        <v>0</v>
      </c>
      <c r="IM190">
        <v>0</v>
      </c>
      <c r="IN190">
        <v>0</v>
      </c>
      <c r="IO190">
        <v>0</v>
      </c>
      <c r="IP190">
        <v>0</v>
      </c>
      <c r="IQ190">
        <v>0</v>
      </c>
      <c r="IS190">
        <v>1</v>
      </c>
      <c r="IT190">
        <v>0</v>
      </c>
      <c r="IU190">
        <v>1</v>
      </c>
      <c r="IV190">
        <v>0</v>
      </c>
      <c r="IW190">
        <v>0</v>
      </c>
    </row>
    <row r="191" spans="1:258" x14ac:dyDescent="0.35">
      <c r="A191">
        <v>405518</v>
      </c>
      <c r="C191">
        <v>1</v>
      </c>
      <c r="D191" t="s">
        <v>971</v>
      </c>
      <c r="E191" t="s">
        <v>972</v>
      </c>
      <c r="F191" t="s">
        <v>973</v>
      </c>
      <c r="G191">
        <v>3</v>
      </c>
      <c r="I191">
        <v>0</v>
      </c>
      <c r="J191">
        <v>0</v>
      </c>
      <c r="K191">
        <v>1</v>
      </c>
      <c r="L191">
        <v>0</v>
      </c>
      <c r="M191">
        <v>0</v>
      </c>
      <c r="N191">
        <v>0</v>
      </c>
      <c r="O191">
        <v>0</v>
      </c>
      <c r="P191">
        <v>0</v>
      </c>
      <c r="Q191">
        <v>0</v>
      </c>
      <c r="R191">
        <v>1</v>
      </c>
      <c r="T191">
        <v>1</v>
      </c>
      <c r="U191">
        <v>1</v>
      </c>
      <c r="V191">
        <v>1</v>
      </c>
      <c r="W191">
        <v>4</v>
      </c>
      <c r="X191">
        <v>12</v>
      </c>
      <c r="Y191">
        <v>30</v>
      </c>
      <c r="Z191">
        <v>4</v>
      </c>
      <c r="AA191">
        <v>12</v>
      </c>
      <c r="AB191">
        <v>30</v>
      </c>
      <c r="AC191">
        <v>1</v>
      </c>
      <c r="AD191">
        <v>1</v>
      </c>
      <c r="AE191">
        <v>0</v>
      </c>
      <c r="AF191">
        <v>0</v>
      </c>
      <c r="AG191">
        <v>0</v>
      </c>
      <c r="AH191">
        <v>0</v>
      </c>
      <c r="AJ191">
        <v>1</v>
      </c>
      <c r="AL191">
        <v>1</v>
      </c>
      <c r="AN191">
        <v>3</v>
      </c>
      <c r="AQ191">
        <v>2</v>
      </c>
      <c r="AS191">
        <v>1</v>
      </c>
      <c r="AT191">
        <v>1</v>
      </c>
      <c r="AU191">
        <v>1</v>
      </c>
      <c r="AV191">
        <v>1</v>
      </c>
      <c r="AW191">
        <v>0</v>
      </c>
      <c r="AX191">
        <v>0</v>
      </c>
      <c r="AY191">
        <v>0</v>
      </c>
      <c r="AZ191">
        <v>0</v>
      </c>
      <c r="BA191">
        <v>0</v>
      </c>
      <c r="BC191">
        <v>0</v>
      </c>
      <c r="BD191">
        <v>0</v>
      </c>
      <c r="BE191">
        <v>1</v>
      </c>
      <c r="BF191">
        <v>0</v>
      </c>
      <c r="BG191">
        <v>0</v>
      </c>
      <c r="BH191">
        <v>0</v>
      </c>
      <c r="BI191">
        <v>0</v>
      </c>
      <c r="BJ191">
        <v>0</v>
      </c>
      <c r="BK191">
        <v>0</v>
      </c>
      <c r="BL191">
        <v>0</v>
      </c>
      <c r="BM191">
        <v>0</v>
      </c>
      <c r="BN191">
        <v>1</v>
      </c>
      <c r="BO191">
        <v>0</v>
      </c>
      <c r="BP191">
        <v>1</v>
      </c>
      <c r="BQ191">
        <v>0</v>
      </c>
      <c r="BR191">
        <v>1</v>
      </c>
      <c r="BS191">
        <v>0</v>
      </c>
    </row>
    <row r="192" spans="1:258" x14ac:dyDescent="0.35">
      <c r="A192">
        <v>405213</v>
      </c>
      <c r="C192">
        <v>1</v>
      </c>
      <c r="D192" t="s">
        <v>974</v>
      </c>
      <c r="E192" t="s">
        <v>975</v>
      </c>
      <c r="F192" t="s">
        <v>973</v>
      </c>
      <c r="G192">
        <v>1</v>
      </c>
      <c r="I192">
        <v>1</v>
      </c>
      <c r="J192">
        <v>0</v>
      </c>
      <c r="K192">
        <v>0</v>
      </c>
      <c r="L192">
        <v>1</v>
      </c>
      <c r="M192">
        <v>0</v>
      </c>
      <c r="N192">
        <v>0</v>
      </c>
      <c r="O192">
        <v>0</v>
      </c>
      <c r="P192">
        <v>0</v>
      </c>
      <c r="Q192">
        <v>0</v>
      </c>
      <c r="R192">
        <v>1</v>
      </c>
      <c r="T192">
        <v>0</v>
      </c>
      <c r="U192">
        <v>1</v>
      </c>
      <c r="V192">
        <v>0</v>
      </c>
      <c r="X192">
        <v>6</v>
      </c>
      <c r="AA192">
        <v>6</v>
      </c>
      <c r="AC192">
        <v>1</v>
      </c>
      <c r="AD192">
        <v>0</v>
      </c>
      <c r="AE192">
        <v>0</v>
      </c>
      <c r="AF192">
        <v>0</v>
      </c>
      <c r="AG192">
        <v>0</v>
      </c>
      <c r="AH192">
        <v>0</v>
      </c>
      <c r="AJ192">
        <v>1</v>
      </c>
      <c r="AL192">
        <v>3</v>
      </c>
      <c r="AN192">
        <v>1</v>
      </c>
      <c r="AO192">
        <v>1</v>
      </c>
      <c r="AP192">
        <v>3</v>
      </c>
      <c r="AQ192">
        <v>1</v>
      </c>
      <c r="AR192">
        <v>5</v>
      </c>
      <c r="AS192">
        <v>2</v>
      </c>
      <c r="AT192">
        <v>1</v>
      </c>
      <c r="AU192">
        <v>1</v>
      </c>
      <c r="AV192">
        <v>1</v>
      </c>
      <c r="AW192">
        <v>0</v>
      </c>
      <c r="AX192">
        <v>0</v>
      </c>
      <c r="AY192">
        <v>0</v>
      </c>
      <c r="AZ192">
        <v>0</v>
      </c>
      <c r="BA192">
        <v>1</v>
      </c>
      <c r="BB192" t="s">
        <v>976</v>
      </c>
      <c r="BC192">
        <v>1</v>
      </c>
      <c r="BD192">
        <v>0</v>
      </c>
      <c r="BE192">
        <v>1</v>
      </c>
      <c r="BF192">
        <v>0</v>
      </c>
      <c r="BG192">
        <v>1</v>
      </c>
      <c r="BH192">
        <v>0</v>
      </c>
      <c r="BI192">
        <v>0</v>
      </c>
      <c r="BJ192">
        <v>0</v>
      </c>
      <c r="BK192">
        <v>0</v>
      </c>
      <c r="BL192">
        <v>0</v>
      </c>
      <c r="BM192">
        <v>0</v>
      </c>
      <c r="BN192">
        <v>1</v>
      </c>
      <c r="BO192">
        <v>0</v>
      </c>
      <c r="BP192">
        <v>0</v>
      </c>
      <c r="BQ192">
        <v>0</v>
      </c>
      <c r="BR192">
        <v>0</v>
      </c>
      <c r="BS192">
        <v>1</v>
      </c>
      <c r="BT192" t="s">
        <v>977</v>
      </c>
      <c r="BU192">
        <v>17</v>
      </c>
      <c r="BV192">
        <v>4</v>
      </c>
      <c r="BX192">
        <v>2</v>
      </c>
      <c r="BY192">
        <v>1</v>
      </c>
      <c r="DI192">
        <v>0</v>
      </c>
      <c r="DJ192">
        <v>0</v>
      </c>
      <c r="DK192">
        <v>1</v>
      </c>
      <c r="DL192">
        <v>1</v>
      </c>
      <c r="DM192">
        <v>1</v>
      </c>
      <c r="DN192">
        <v>1</v>
      </c>
      <c r="DO192">
        <v>0</v>
      </c>
      <c r="DP192">
        <v>0</v>
      </c>
      <c r="DQ192">
        <v>1</v>
      </c>
      <c r="DR192">
        <v>0</v>
      </c>
      <c r="DS192" t="s">
        <v>978</v>
      </c>
      <c r="DT192">
        <v>1</v>
      </c>
      <c r="DU192">
        <v>1</v>
      </c>
      <c r="DV192">
        <v>1</v>
      </c>
      <c r="DW192">
        <v>0</v>
      </c>
      <c r="DX192">
        <v>1</v>
      </c>
      <c r="DY192">
        <v>0</v>
      </c>
      <c r="DZ192">
        <v>0</v>
      </c>
      <c r="EA192">
        <v>0</v>
      </c>
      <c r="EB192">
        <v>0</v>
      </c>
      <c r="EC192">
        <v>0</v>
      </c>
      <c r="ED192">
        <v>0</v>
      </c>
      <c r="EE192">
        <v>0</v>
      </c>
      <c r="EF192">
        <v>0</v>
      </c>
      <c r="EG192" t="s">
        <v>979</v>
      </c>
      <c r="EH192">
        <v>3</v>
      </c>
      <c r="EI192" t="s">
        <v>274</v>
      </c>
      <c r="EJ192">
        <v>1</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t="s">
        <v>300</v>
      </c>
      <c r="FG192">
        <v>1</v>
      </c>
      <c r="FH192">
        <v>0</v>
      </c>
      <c r="FI192">
        <v>0</v>
      </c>
      <c r="FJ192">
        <v>0</v>
      </c>
      <c r="FK192">
        <v>0</v>
      </c>
      <c r="FL192">
        <v>0</v>
      </c>
      <c r="FM192">
        <v>0</v>
      </c>
      <c r="FN192">
        <v>0</v>
      </c>
      <c r="FO192">
        <v>0</v>
      </c>
      <c r="FP192">
        <v>0</v>
      </c>
      <c r="FQ192">
        <v>0</v>
      </c>
      <c r="FR192">
        <v>0</v>
      </c>
      <c r="FS192">
        <v>0</v>
      </c>
      <c r="FT192">
        <v>0</v>
      </c>
      <c r="FU192">
        <v>0</v>
      </c>
      <c r="FV192">
        <v>0</v>
      </c>
      <c r="FW192">
        <v>0</v>
      </c>
      <c r="FX192">
        <v>0</v>
      </c>
      <c r="FY192">
        <v>0</v>
      </c>
      <c r="IG192">
        <v>1</v>
      </c>
      <c r="IH192">
        <v>0</v>
      </c>
      <c r="II192">
        <v>1</v>
      </c>
      <c r="IJ192">
        <v>0</v>
      </c>
      <c r="IK192">
        <v>0</v>
      </c>
      <c r="IL192">
        <v>0</v>
      </c>
      <c r="IM192">
        <v>1</v>
      </c>
      <c r="IN192">
        <v>0</v>
      </c>
      <c r="IO192">
        <v>0</v>
      </c>
      <c r="IP192">
        <v>0</v>
      </c>
      <c r="IQ192">
        <v>0</v>
      </c>
      <c r="IS192">
        <v>1</v>
      </c>
      <c r="IT192">
        <v>1</v>
      </c>
      <c r="IU192">
        <v>0</v>
      </c>
      <c r="IV192">
        <v>0</v>
      </c>
      <c r="IW192">
        <v>0</v>
      </c>
    </row>
    <row r="193" spans="1:258" x14ac:dyDescent="0.35">
      <c r="A193">
        <v>405331</v>
      </c>
      <c r="C193">
        <v>1</v>
      </c>
      <c r="D193" t="s">
        <v>980</v>
      </c>
      <c r="E193" t="s">
        <v>981</v>
      </c>
      <c r="F193" t="s">
        <v>973</v>
      </c>
      <c r="G193">
        <v>3</v>
      </c>
      <c r="I193">
        <v>1</v>
      </c>
      <c r="J193">
        <v>0</v>
      </c>
      <c r="K193">
        <v>0</v>
      </c>
      <c r="L193">
        <v>0</v>
      </c>
      <c r="M193">
        <v>0</v>
      </c>
      <c r="N193">
        <v>0</v>
      </c>
      <c r="O193">
        <v>0</v>
      </c>
      <c r="P193">
        <v>0</v>
      </c>
      <c r="Q193">
        <v>0</v>
      </c>
      <c r="R193">
        <v>1</v>
      </c>
      <c r="T193">
        <v>1</v>
      </c>
      <c r="U193">
        <v>1</v>
      </c>
      <c r="V193">
        <v>0</v>
      </c>
      <c r="W193">
        <v>3</v>
      </c>
      <c r="X193">
        <v>20</v>
      </c>
      <c r="Z193">
        <v>3</v>
      </c>
      <c r="AA193">
        <v>20</v>
      </c>
      <c r="AC193">
        <v>1</v>
      </c>
      <c r="AD193">
        <v>0</v>
      </c>
      <c r="AE193">
        <v>0</v>
      </c>
      <c r="AF193">
        <v>0</v>
      </c>
      <c r="AG193">
        <v>0</v>
      </c>
      <c r="AH193">
        <v>0</v>
      </c>
      <c r="AJ193">
        <v>1</v>
      </c>
      <c r="AL193">
        <v>1</v>
      </c>
      <c r="AN193">
        <v>1</v>
      </c>
      <c r="AO193">
        <v>1</v>
      </c>
      <c r="AP193">
        <v>4</v>
      </c>
      <c r="AQ193">
        <v>1</v>
      </c>
      <c r="AR193">
        <v>5</v>
      </c>
      <c r="AS193">
        <v>1</v>
      </c>
      <c r="AT193">
        <v>1</v>
      </c>
      <c r="AU193">
        <v>2</v>
      </c>
      <c r="BC193">
        <v>0</v>
      </c>
      <c r="BD193">
        <v>0</v>
      </c>
      <c r="BE193">
        <v>0</v>
      </c>
      <c r="BF193">
        <v>0</v>
      </c>
      <c r="BG193">
        <v>0</v>
      </c>
      <c r="BH193">
        <v>0</v>
      </c>
      <c r="BI193">
        <v>0</v>
      </c>
      <c r="BJ193">
        <v>0</v>
      </c>
      <c r="BK193">
        <v>0</v>
      </c>
      <c r="BL193">
        <v>0</v>
      </c>
      <c r="BM193">
        <v>0</v>
      </c>
      <c r="BN193">
        <v>0</v>
      </c>
      <c r="BO193">
        <v>0</v>
      </c>
      <c r="BP193">
        <v>0</v>
      </c>
      <c r="BQ193">
        <v>0</v>
      </c>
      <c r="BR193">
        <v>1</v>
      </c>
      <c r="BS193">
        <v>0</v>
      </c>
      <c r="BU193">
        <v>16</v>
      </c>
      <c r="BV193">
        <v>4</v>
      </c>
      <c r="BX193">
        <v>5</v>
      </c>
      <c r="BY193">
        <v>5</v>
      </c>
      <c r="DI193">
        <v>0</v>
      </c>
      <c r="DJ193">
        <v>0</v>
      </c>
      <c r="DK193">
        <v>0</v>
      </c>
      <c r="DL193">
        <v>1</v>
      </c>
      <c r="DM193">
        <v>0</v>
      </c>
      <c r="DN193">
        <v>1</v>
      </c>
      <c r="DO193">
        <v>0</v>
      </c>
      <c r="DP193">
        <v>1</v>
      </c>
      <c r="DQ193">
        <v>0</v>
      </c>
      <c r="DR193">
        <v>0</v>
      </c>
      <c r="DT193">
        <v>0</v>
      </c>
      <c r="DU193">
        <v>0</v>
      </c>
      <c r="DV193">
        <v>0</v>
      </c>
      <c r="DW193">
        <v>0</v>
      </c>
      <c r="DX193">
        <v>0</v>
      </c>
      <c r="DY193">
        <v>0</v>
      </c>
      <c r="DZ193">
        <v>0</v>
      </c>
      <c r="EA193">
        <v>1</v>
      </c>
      <c r="EB193">
        <v>0</v>
      </c>
      <c r="EC193">
        <v>0</v>
      </c>
      <c r="ED193">
        <v>1</v>
      </c>
      <c r="EE193">
        <v>0</v>
      </c>
      <c r="EF193">
        <v>0</v>
      </c>
      <c r="IG193">
        <v>0</v>
      </c>
      <c r="IH193">
        <v>1</v>
      </c>
      <c r="II193">
        <v>0</v>
      </c>
      <c r="IJ193">
        <v>1</v>
      </c>
      <c r="IK193">
        <v>0</v>
      </c>
      <c r="IL193">
        <v>0</v>
      </c>
      <c r="IM193">
        <v>0</v>
      </c>
      <c r="IN193">
        <v>0</v>
      </c>
      <c r="IO193">
        <v>0</v>
      </c>
      <c r="IP193">
        <v>0</v>
      </c>
      <c r="IQ193">
        <v>0</v>
      </c>
      <c r="IS193">
        <v>2</v>
      </c>
    </row>
    <row r="194" spans="1:258" x14ac:dyDescent="0.35">
      <c r="A194">
        <v>405221</v>
      </c>
      <c r="C194">
        <v>1</v>
      </c>
      <c r="D194" t="s">
        <v>982</v>
      </c>
      <c r="E194" t="s">
        <v>983</v>
      </c>
      <c r="F194" t="s">
        <v>973</v>
      </c>
      <c r="G194">
        <v>3</v>
      </c>
      <c r="I194">
        <v>0</v>
      </c>
      <c r="J194">
        <v>0</v>
      </c>
      <c r="K194">
        <v>1</v>
      </c>
      <c r="L194">
        <v>0</v>
      </c>
      <c r="M194">
        <v>0</v>
      </c>
      <c r="N194">
        <v>0</v>
      </c>
      <c r="O194">
        <v>0</v>
      </c>
      <c r="P194">
        <v>0</v>
      </c>
      <c r="Q194">
        <v>0</v>
      </c>
      <c r="R194">
        <v>1</v>
      </c>
      <c r="T194">
        <v>1</v>
      </c>
      <c r="U194">
        <v>1</v>
      </c>
      <c r="V194">
        <v>0</v>
      </c>
      <c r="W194">
        <v>11</v>
      </c>
      <c r="X194">
        <v>131</v>
      </c>
      <c r="Z194">
        <v>11</v>
      </c>
      <c r="AA194">
        <v>131</v>
      </c>
      <c r="AC194">
        <v>1</v>
      </c>
      <c r="AD194">
        <v>1</v>
      </c>
      <c r="AE194">
        <v>0</v>
      </c>
      <c r="AF194">
        <v>0</v>
      </c>
      <c r="AG194">
        <v>0</v>
      </c>
      <c r="AH194">
        <v>0</v>
      </c>
      <c r="AJ194">
        <v>1</v>
      </c>
      <c r="AL194">
        <v>1</v>
      </c>
      <c r="AN194">
        <v>1</v>
      </c>
      <c r="AO194">
        <v>1</v>
      </c>
      <c r="AP194">
        <v>1</v>
      </c>
      <c r="AQ194">
        <v>2</v>
      </c>
      <c r="AS194">
        <v>2</v>
      </c>
      <c r="AT194">
        <v>1</v>
      </c>
      <c r="AU194">
        <v>1</v>
      </c>
      <c r="AV194">
        <v>1</v>
      </c>
      <c r="AW194">
        <v>0</v>
      </c>
      <c r="AX194">
        <v>0</v>
      </c>
      <c r="AY194">
        <v>0</v>
      </c>
      <c r="AZ194">
        <v>1</v>
      </c>
      <c r="BA194">
        <v>0</v>
      </c>
      <c r="BC194">
        <v>1</v>
      </c>
      <c r="BD194">
        <v>0</v>
      </c>
      <c r="BE194">
        <v>1</v>
      </c>
      <c r="BF194">
        <v>0</v>
      </c>
      <c r="BG194">
        <v>0</v>
      </c>
      <c r="BH194">
        <v>1</v>
      </c>
      <c r="BI194">
        <v>0</v>
      </c>
      <c r="BJ194">
        <v>0</v>
      </c>
      <c r="BK194">
        <v>1</v>
      </c>
      <c r="BL194">
        <v>1</v>
      </c>
      <c r="BM194">
        <v>1</v>
      </c>
      <c r="BN194">
        <v>1</v>
      </c>
      <c r="BO194">
        <v>1</v>
      </c>
      <c r="BP194">
        <v>1</v>
      </c>
      <c r="BQ194">
        <v>0</v>
      </c>
      <c r="BR194">
        <v>0</v>
      </c>
      <c r="BS194">
        <v>0</v>
      </c>
      <c r="BU194">
        <v>14</v>
      </c>
      <c r="BV194">
        <v>3</v>
      </c>
      <c r="BW194" t="s">
        <v>984</v>
      </c>
      <c r="BX194">
        <v>5</v>
      </c>
      <c r="BY194">
        <v>4</v>
      </c>
      <c r="DI194">
        <v>0</v>
      </c>
      <c r="DJ194">
        <v>0</v>
      </c>
      <c r="DK194">
        <v>1</v>
      </c>
      <c r="DL194">
        <v>0</v>
      </c>
      <c r="DM194">
        <v>0</v>
      </c>
      <c r="DN194">
        <v>1</v>
      </c>
      <c r="DO194">
        <v>0</v>
      </c>
      <c r="DP194">
        <v>0</v>
      </c>
      <c r="DQ194">
        <v>1</v>
      </c>
      <c r="DR194">
        <v>0</v>
      </c>
      <c r="DS194" t="s">
        <v>985</v>
      </c>
      <c r="DT194">
        <v>0</v>
      </c>
      <c r="DU194">
        <v>1</v>
      </c>
      <c r="DV194">
        <v>0</v>
      </c>
      <c r="DW194">
        <v>0</v>
      </c>
      <c r="DX194">
        <v>1</v>
      </c>
      <c r="DY194">
        <v>0</v>
      </c>
      <c r="DZ194">
        <v>0</v>
      </c>
      <c r="EA194">
        <v>0</v>
      </c>
      <c r="EB194">
        <v>0</v>
      </c>
      <c r="EC194">
        <v>1</v>
      </c>
      <c r="ED194">
        <v>1</v>
      </c>
      <c r="EE194">
        <v>0</v>
      </c>
      <c r="EF194">
        <v>0</v>
      </c>
      <c r="EI194" t="s">
        <v>274</v>
      </c>
      <c r="EJ194">
        <v>1</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GJ194" t="s">
        <v>986</v>
      </c>
      <c r="GK194">
        <v>1</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G194">
        <v>1</v>
      </c>
      <c r="IH194">
        <v>0</v>
      </c>
      <c r="II194">
        <v>0</v>
      </c>
      <c r="IJ194">
        <v>1</v>
      </c>
      <c r="IK194">
        <v>0</v>
      </c>
      <c r="IL194">
        <v>0</v>
      </c>
      <c r="IM194">
        <v>0</v>
      </c>
      <c r="IN194">
        <v>1</v>
      </c>
      <c r="IO194">
        <v>0</v>
      </c>
      <c r="IP194">
        <v>0</v>
      </c>
      <c r="IQ194">
        <v>0</v>
      </c>
      <c r="IS194">
        <v>1</v>
      </c>
      <c r="IT194">
        <v>1</v>
      </c>
      <c r="IU194">
        <v>0</v>
      </c>
      <c r="IV194">
        <v>0</v>
      </c>
      <c r="IW194">
        <v>0</v>
      </c>
    </row>
    <row r="195" spans="1:258" x14ac:dyDescent="0.35">
      <c r="A195">
        <v>363360</v>
      </c>
      <c r="C195">
        <v>1</v>
      </c>
      <c r="D195" t="s">
        <v>987</v>
      </c>
      <c r="E195" t="s">
        <v>988</v>
      </c>
      <c r="F195" t="s">
        <v>989</v>
      </c>
      <c r="G195">
        <v>4</v>
      </c>
      <c r="I195">
        <v>0</v>
      </c>
      <c r="J195">
        <v>0</v>
      </c>
      <c r="K195">
        <v>0</v>
      </c>
      <c r="L195">
        <v>1</v>
      </c>
      <c r="M195">
        <v>0</v>
      </c>
      <c r="N195">
        <v>0</v>
      </c>
      <c r="O195">
        <v>0</v>
      </c>
      <c r="P195">
        <v>0</v>
      </c>
      <c r="Q195">
        <v>0</v>
      </c>
      <c r="R195">
        <v>1</v>
      </c>
      <c r="T195">
        <v>1</v>
      </c>
      <c r="U195">
        <v>1</v>
      </c>
      <c r="V195">
        <v>1</v>
      </c>
      <c r="W195">
        <v>0</v>
      </c>
      <c r="X195">
        <v>110</v>
      </c>
      <c r="Y195">
        <v>215</v>
      </c>
      <c r="AA195">
        <v>110</v>
      </c>
      <c r="AB195">
        <v>215</v>
      </c>
      <c r="AC195">
        <v>0</v>
      </c>
      <c r="AD195">
        <v>0</v>
      </c>
      <c r="AE195">
        <v>0</v>
      </c>
      <c r="AF195">
        <v>1</v>
      </c>
      <c r="AG195">
        <v>1</v>
      </c>
      <c r="AH195">
        <v>1</v>
      </c>
      <c r="AI195" t="s">
        <v>990</v>
      </c>
      <c r="AJ195">
        <v>4</v>
      </c>
      <c r="AL195">
        <v>1</v>
      </c>
      <c r="AN195">
        <v>1</v>
      </c>
      <c r="AO195">
        <v>1</v>
      </c>
      <c r="AP195">
        <v>2</v>
      </c>
      <c r="AQ195">
        <v>1</v>
      </c>
      <c r="AR195">
        <v>1</v>
      </c>
      <c r="AS195">
        <v>1</v>
      </c>
      <c r="AT195">
        <v>1</v>
      </c>
      <c r="BX195">
        <v>5</v>
      </c>
      <c r="BY195">
        <v>4</v>
      </c>
      <c r="BZ195">
        <v>1</v>
      </c>
      <c r="CA195">
        <v>1</v>
      </c>
      <c r="CB195">
        <v>0</v>
      </c>
      <c r="CC195">
        <v>1</v>
      </c>
      <c r="CD195">
        <v>1</v>
      </c>
      <c r="CE195">
        <v>0</v>
      </c>
      <c r="CF195">
        <v>0</v>
      </c>
      <c r="CG195">
        <v>0</v>
      </c>
      <c r="CH195">
        <v>0</v>
      </c>
      <c r="CI195">
        <v>1</v>
      </c>
      <c r="CJ195">
        <v>1</v>
      </c>
      <c r="CK195">
        <v>1</v>
      </c>
      <c r="CL195">
        <v>1</v>
      </c>
      <c r="CM195">
        <v>0</v>
      </c>
      <c r="CN195">
        <v>0</v>
      </c>
      <c r="CO195">
        <v>0</v>
      </c>
      <c r="CQ195" t="s">
        <v>991</v>
      </c>
      <c r="CR195">
        <v>1</v>
      </c>
      <c r="CS195">
        <v>1</v>
      </c>
      <c r="CU195">
        <v>1</v>
      </c>
      <c r="CW195">
        <v>1</v>
      </c>
      <c r="CY195" t="s">
        <v>992</v>
      </c>
      <c r="CZ195">
        <v>2</v>
      </c>
      <c r="DD195" t="s">
        <v>993</v>
      </c>
      <c r="DE195">
        <v>1</v>
      </c>
      <c r="DF195" t="s">
        <v>993</v>
      </c>
      <c r="DG195">
        <v>1</v>
      </c>
      <c r="DH195" t="s">
        <v>994</v>
      </c>
      <c r="DI195">
        <v>0</v>
      </c>
      <c r="DJ195">
        <v>0</v>
      </c>
      <c r="DK195">
        <v>1</v>
      </c>
      <c r="DL195">
        <v>0</v>
      </c>
      <c r="DM195">
        <v>1</v>
      </c>
      <c r="DN195">
        <v>1</v>
      </c>
      <c r="DO195">
        <v>0</v>
      </c>
      <c r="DP195">
        <v>0</v>
      </c>
      <c r="DQ195">
        <v>0</v>
      </c>
      <c r="DR195">
        <v>0</v>
      </c>
      <c r="DT195">
        <v>0</v>
      </c>
      <c r="DU195">
        <v>1</v>
      </c>
      <c r="DV195">
        <v>0</v>
      </c>
      <c r="DW195">
        <v>1</v>
      </c>
      <c r="DX195">
        <v>1</v>
      </c>
      <c r="DY195">
        <v>0</v>
      </c>
      <c r="DZ195">
        <v>0</v>
      </c>
      <c r="EA195">
        <v>1</v>
      </c>
      <c r="EB195">
        <v>1</v>
      </c>
      <c r="EC195">
        <v>1</v>
      </c>
      <c r="ED195">
        <v>1</v>
      </c>
      <c r="EE195">
        <v>0</v>
      </c>
      <c r="EF195">
        <v>0</v>
      </c>
      <c r="EI195" t="s">
        <v>661</v>
      </c>
      <c r="EJ195">
        <v>1</v>
      </c>
      <c r="EK195">
        <v>1</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GJ195" t="s">
        <v>995</v>
      </c>
      <c r="GK195">
        <v>1</v>
      </c>
      <c r="GL195">
        <v>1</v>
      </c>
      <c r="GM195">
        <v>0</v>
      </c>
      <c r="GN195">
        <v>0</v>
      </c>
      <c r="GO195">
        <v>0</v>
      </c>
      <c r="GP195">
        <v>0</v>
      </c>
      <c r="GQ195">
        <v>0</v>
      </c>
      <c r="GR195">
        <v>1</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G195">
        <v>1</v>
      </c>
      <c r="IH195">
        <v>0</v>
      </c>
      <c r="II195">
        <v>0</v>
      </c>
      <c r="IJ195">
        <v>0</v>
      </c>
      <c r="IK195">
        <v>0</v>
      </c>
      <c r="IL195">
        <v>0</v>
      </c>
      <c r="IM195">
        <v>0</v>
      </c>
      <c r="IN195">
        <v>0</v>
      </c>
      <c r="IO195">
        <v>0</v>
      </c>
      <c r="IP195">
        <v>0</v>
      </c>
      <c r="IQ195">
        <v>0</v>
      </c>
      <c r="IS195">
        <v>1</v>
      </c>
      <c r="IT195">
        <v>1</v>
      </c>
      <c r="IU195">
        <v>1</v>
      </c>
      <c r="IV195">
        <v>1</v>
      </c>
      <c r="IW195">
        <v>1</v>
      </c>
      <c r="IX195" t="s">
        <v>996</v>
      </c>
    </row>
    <row r="196" spans="1:258" x14ac:dyDescent="0.35">
      <c r="A196">
        <v>405332</v>
      </c>
      <c r="C196">
        <v>1</v>
      </c>
      <c r="D196" t="s">
        <v>997</v>
      </c>
      <c r="E196" t="s">
        <v>998</v>
      </c>
      <c r="F196" t="s">
        <v>989</v>
      </c>
      <c r="G196">
        <v>3</v>
      </c>
      <c r="I196">
        <v>0</v>
      </c>
      <c r="J196">
        <v>0</v>
      </c>
      <c r="K196">
        <v>1</v>
      </c>
      <c r="L196">
        <v>0</v>
      </c>
      <c r="M196">
        <v>0</v>
      </c>
      <c r="N196">
        <v>0</v>
      </c>
      <c r="O196">
        <v>0</v>
      </c>
      <c r="P196">
        <v>0</v>
      </c>
      <c r="Q196">
        <v>0</v>
      </c>
      <c r="R196">
        <v>1</v>
      </c>
      <c r="T196">
        <v>1</v>
      </c>
      <c r="U196">
        <v>0</v>
      </c>
      <c r="V196">
        <v>1</v>
      </c>
      <c r="W196">
        <v>10</v>
      </c>
      <c r="Y196">
        <v>50</v>
      </c>
      <c r="Z196">
        <v>10</v>
      </c>
      <c r="AB196">
        <v>50</v>
      </c>
      <c r="AC196">
        <v>1</v>
      </c>
      <c r="AD196">
        <v>0</v>
      </c>
      <c r="AE196">
        <v>0</v>
      </c>
      <c r="AF196">
        <v>1</v>
      </c>
      <c r="AG196">
        <v>0</v>
      </c>
      <c r="AH196">
        <v>0</v>
      </c>
      <c r="AJ196">
        <v>1</v>
      </c>
      <c r="AL196">
        <v>1</v>
      </c>
      <c r="AN196">
        <v>1</v>
      </c>
      <c r="AO196">
        <v>1</v>
      </c>
      <c r="AP196">
        <v>4</v>
      </c>
      <c r="AQ196">
        <v>2</v>
      </c>
      <c r="AS196">
        <v>2</v>
      </c>
      <c r="AT196">
        <v>1</v>
      </c>
      <c r="AU196">
        <v>2</v>
      </c>
      <c r="BC196">
        <v>0</v>
      </c>
      <c r="BD196">
        <v>0</v>
      </c>
      <c r="BE196">
        <v>0</v>
      </c>
      <c r="BF196">
        <v>0</v>
      </c>
      <c r="BG196">
        <v>1</v>
      </c>
      <c r="BH196">
        <v>0</v>
      </c>
      <c r="BI196">
        <v>0</v>
      </c>
      <c r="BJ196">
        <v>0</v>
      </c>
      <c r="BK196">
        <v>0</v>
      </c>
      <c r="BL196">
        <v>0</v>
      </c>
      <c r="BM196">
        <v>0</v>
      </c>
      <c r="BN196">
        <v>0</v>
      </c>
      <c r="BO196">
        <v>0</v>
      </c>
      <c r="BP196">
        <v>0</v>
      </c>
      <c r="BQ196">
        <v>0</v>
      </c>
      <c r="BR196">
        <v>0</v>
      </c>
      <c r="BS196">
        <v>0</v>
      </c>
      <c r="BU196">
        <v>16</v>
      </c>
      <c r="BV196">
        <v>4</v>
      </c>
      <c r="BX196">
        <v>6</v>
      </c>
      <c r="BY196">
        <v>6</v>
      </c>
      <c r="DI196">
        <v>0</v>
      </c>
      <c r="DJ196">
        <v>0</v>
      </c>
      <c r="DK196">
        <v>0</v>
      </c>
      <c r="DL196">
        <v>1</v>
      </c>
      <c r="DM196">
        <v>1</v>
      </c>
      <c r="DN196">
        <v>0</v>
      </c>
      <c r="DO196">
        <v>0</v>
      </c>
      <c r="DP196">
        <v>0</v>
      </c>
      <c r="DQ196">
        <v>0</v>
      </c>
      <c r="DR196">
        <v>0</v>
      </c>
      <c r="DT196">
        <v>0</v>
      </c>
      <c r="DU196">
        <v>0</v>
      </c>
      <c r="DV196">
        <v>0</v>
      </c>
      <c r="DW196">
        <v>0</v>
      </c>
      <c r="DX196">
        <v>1</v>
      </c>
      <c r="DY196">
        <v>0</v>
      </c>
      <c r="DZ196">
        <v>0</v>
      </c>
      <c r="EA196">
        <v>0</v>
      </c>
      <c r="EB196">
        <v>0</v>
      </c>
      <c r="EC196">
        <v>0</v>
      </c>
      <c r="ED196">
        <v>0</v>
      </c>
      <c r="EE196">
        <v>0</v>
      </c>
      <c r="EF196">
        <v>0</v>
      </c>
      <c r="IG196">
        <v>0</v>
      </c>
      <c r="IH196">
        <v>0</v>
      </c>
      <c r="II196">
        <v>0</v>
      </c>
      <c r="IJ196">
        <v>0</v>
      </c>
      <c r="IK196">
        <v>0</v>
      </c>
      <c r="IL196">
        <v>0</v>
      </c>
      <c r="IM196">
        <v>0</v>
      </c>
      <c r="IN196">
        <v>0</v>
      </c>
      <c r="IO196">
        <v>0</v>
      </c>
      <c r="IP196">
        <v>0</v>
      </c>
      <c r="IQ196">
        <v>1</v>
      </c>
      <c r="IS196">
        <v>2</v>
      </c>
    </row>
    <row r="197" spans="1:258" x14ac:dyDescent="0.35">
      <c r="A197">
        <v>405528</v>
      </c>
      <c r="C197">
        <v>1</v>
      </c>
      <c r="D197" t="s">
        <v>999</v>
      </c>
      <c r="E197" t="s">
        <v>1000</v>
      </c>
      <c r="F197" t="s">
        <v>989</v>
      </c>
      <c r="G197">
        <v>3</v>
      </c>
      <c r="I197">
        <v>0</v>
      </c>
      <c r="J197">
        <v>0</v>
      </c>
      <c r="K197">
        <v>1</v>
      </c>
      <c r="L197">
        <v>0</v>
      </c>
      <c r="M197">
        <v>0</v>
      </c>
      <c r="N197">
        <v>0</v>
      </c>
      <c r="O197">
        <v>0</v>
      </c>
      <c r="P197">
        <v>0</v>
      </c>
      <c r="Q197">
        <v>0</v>
      </c>
      <c r="R197">
        <v>1</v>
      </c>
      <c r="T197">
        <v>1</v>
      </c>
      <c r="U197">
        <v>1</v>
      </c>
      <c r="V197">
        <v>1</v>
      </c>
      <c r="W197">
        <v>5</v>
      </c>
      <c r="X197">
        <v>20</v>
      </c>
      <c r="Y197">
        <v>15</v>
      </c>
      <c r="Z197">
        <v>5</v>
      </c>
      <c r="AA197">
        <v>20</v>
      </c>
      <c r="AB197">
        <v>15</v>
      </c>
      <c r="AC197">
        <v>1</v>
      </c>
      <c r="AD197">
        <v>1</v>
      </c>
      <c r="AE197">
        <v>0</v>
      </c>
      <c r="AF197">
        <v>1</v>
      </c>
      <c r="AG197">
        <v>0</v>
      </c>
      <c r="AH197">
        <v>0</v>
      </c>
      <c r="AJ197">
        <v>1</v>
      </c>
      <c r="AL197">
        <v>1</v>
      </c>
      <c r="AN197">
        <v>1</v>
      </c>
      <c r="AO197">
        <v>2</v>
      </c>
      <c r="AP197">
        <v>3</v>
      </c>
      <c r="AQ197">
        <v>2</v>
      </c>
      <c r="AS197">
        <v>2</v>
      </c>
      <c r="AT197">
        <v>1</v>
      </c>
      <c r="AU197">
        <v>1</v>
      </c>
      <c r="AV197">
        <v>0</v>
      </c>
      <c r="AW197">
        <v>0</v>
      </c>
      <c r="AX197">
        <v>0</v>
      </c>
      <c r="AY197">
        <v>0</v>
      </c>
      <c r="AZ197">
        <v>0</v>
      </c>
      <c r="BA197">
        <v>1</v>
      </c>
      <c r="BB197" t="s">
        <v>1001</v>
      </c>
      <c r="BC197">
        <v>0</v>
      </c>
      <c r="BD197">
        <v>0</v>
      </c>
      <c r="BE197">
        <v>1</v>
      </c>
      <c r="BF197">
        <v>0</v>
      </c>
      <c r="BG197">
        <v>1</v>
      </c>
      <c r="BH197">
        <v>0</v>
      </c>
      <c r="BI197">
        <v>0</v>
      </c>
      <c r="BJ197">
        <v>0</v>
      </c>
      <c r="BK197">
        <v>1</v>
      </c>
      <c r="BL197">
        <v>0</v>
      </c>
      <c r="BM197">
        <v>1</v>
      </c>
      <c r="BN197">
        <v>0</v>
      </c>
      <c r="BO197">
        <v>0</v>
      </c>
      <c r="BP197">
        <v>0</v>
      </c>
      <c r="BQ197">
        <v>0</v>
      </c>
      <c r="BR197">
        <v>0</v>
      </c>
      <c r="BS197">
        <v>1</v>
      </c>
      <c r="BT197" t="s">
        <v>1002</v>
      </c>
      <c r="BU197">
        <v>11</v>
      </c>
      <c r="BV197">
        <v>4</v>
      </c>
      <c r="BX197">
        <v>4</v>
      </c>
      <c r="BY197">
        <v>5</v>
      </c>
      <c r="DI197">
        <v>0</v>
      </c>
      <c r="DJ197">
        <v>0</v>
      </c>
      <c r="DK197">
        <v>0</v>
      </c>
      <c r="DL197">
        <v>1</v>
      </c>
      <c r="DM197">
        <v>0</v>
      </c>
      <c r="DN197">
        <v>0</v>
      </c>
      <c r="DO197">
        <v>0</v>
      </c>
      <c r="DP197">
        <v>0</v>
      </c>
      <c r="DQ197">
        <v>1</v>
      </c>
      <c r="DR197">
        <v>0</v>
      </c>
      <c r="DS197" t="s">
        <v>1003</v>
      </c>
      <c r="DT197">
        <v>0</v>
      </c>
      <c r="DU197">
        <v>1</v>
      </c>
      <c r="DV197">
        <v>0</v>
      </c>
      <c r="DW197">
        <v>0</v>
      </c>
      <c r="DX197">
        <v>1</v>
      </c>
      <c r="DY197">
        <v>0</v>
      </c>
      <c r="DZ197">
        <v>0</v>
      </c>
      <c r="EA197">
        <v>1</v>
      </c>
      <c r="EB197">
        <v>0</v>
      </c>
      <c r="EC197">
        <v>1</v>
      </c>
      <c r="ED197">
        <v>1</v>
      </c>
      <c r="EE197">
        <v>0</v>
      </c>
      <c r="EF197">
        <v>0</v>
      </c>
      <c r="EI197" t="s">
        <v>1004</v>
      </c>
      <c r="EJ197">
        <v>1</v>
      </c>
      <c r="EK197">
        <v>1</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GJ197" t="s">
        <v>1005</v>
      </c>
      <c r="GK197">
        <v>1</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1</v>
      </c>
      <c r="HM197">
        <v>0</v>
      </c>
      <c r="HN197">
        <v>0</v>
      </c>
      <c r="HO197">
        <v>0</v>
      </c>
      <c r="HP197">
        <v>0</v>
      </c>
      <c r="HQ197">
        <v>0</v>
      </c>
      <c r="HR197">
        <v>0</v>
      </c>
      <c r="HS197">
        <v>0</v>
      </c>
      <c r="HT197">
        <v>0</v>
      </c>
      <c r="HU197">
        <v>0</v>
      </c>
      <c r="HV197">
        <v>0</v>
      </c>
      <c r="HW197">
        <v>0</v>
      </c>
      <c r="HX197">
        <v>0</v>
      </c>
      <c r="HY197">
        <v>1</v>
      </c>
      <c r="HZ197">
        <v>0</v>
      </c>
      <c r="IA197">
        <v>0</v>
      </c>
      <c r="IB197">
        <v>0</v>
      </c>
      <c r="IC197">
        <v>0</v>
      </c>
      <c r="ID197">
        <v>0</v>
      </c>
      <c r="IG197">
        <v>1</v>
      </c>
      <c r="IH197">
        <v>1</v>
      </c>
      <c r="II197">
        <v>0</v>
      </c>
      <c r="IJ197">
        <v>1</v>
      </c>
      <c r="IK197">
        <v>0</v>
      </c>
      <c r="IL197">
        <v>0</v>
      </c>
      <c r="IM197">
        <v>0</v>
      </c>
      <c r="IN197">
        <v>0</v>
      </c>
      <c r="IO197">
        <v>0</v>
      </c>
      <c r="IP197">
        <v>0</v>
      </c>
      <c r="IQ197">
        <v>0</v>
      </c>
      <c r="IS197">
        <v>1</v>
      </c>
      <c r="IT197">
        <v>1</v>
      </c>
      <c r="IU197">
        <v>1</v>
      </c>
      <c r="IV197">
        <v>0</v>
      </c>
      <c r="IW197">
        <v>0</v>
      </c>
    </row>
    <row r="198" spans="1:258" x14ac:dyDescent="0.35">
      <c r="A198">
        <v>370279</v>
      </c>
      <c r="C198">
        <v>1</v>
      </c>
      <c r="D198" t="s">
        <v>1006</v>
      </c>
      <c r="E198" t="s">
        <v>1007</v>
      </c>
      <c r="F198" t="s">
        <v>1008</v>
      </c>
      <c r="G198">
        <v>3</v>
      </c>
      <c r="I198">
        <v>1</v>
      </c>
      <c r="J198">
        <v>1</v>
      </c>
      <c r="K198">
        <v>1</v>
      </c>
      <c r="L198">
        <v>0</v>
      </c>
      <c r="M198">
        <v>0</v>
      </c>
      <c r="N198">
        <v>0</v>
      </c>
      <c r="O198">
        <v>1</v>
      </c>
      <c r="P198">
        <v>1</v>
      </c>
      <c r="Q198">
        <v>0</v>
      </c>
      <c r="R198">
        <v>1</v>
      </c>
      <c r="T198">
        <v>1</v>
      </c>
      <c r="U198">
        <v>1</v>
      </c>
      <c r="V198">
        <v>1</v>
      </c>
      <c r="W198">
        <v>5</v>
      </c>
      <c r="X198">
        <v>17</v>
      </c>
      <c r="Y198">
        <v>8</v>
      </c>
      <c r="Z198">
        <v>5</v>
      </c>
      <c r="AA198">
        <v>17</v>
      </c>
      <c r="AB198">
        <v>8</v>
      </c>
      <c r="AC198">
        <v>1</v>
      </c>
      <c r="AD198">
        <v>1</v>
      </c>
      <c r="AE198">
        <v>0</v>
      </c>
      <c r="AF198">
        <v>0</v>
      </c>
      <c r="AG198">
        <v>0</v>
      </c>
      <c r="AH198">
        <v>0</v>
      </c>
      <c r="AJ198">
        <v>1</v>
      </c>
      <c r="AL198">
        <v>1</v>
      </c>
      <c r="AN198">
        <v>1</v>
      </c>
      <c r="AO198">
        <v>1</v>
      </c>
      <c r="AP198">
        <v>4</v>
      </c>
      <c r="AQ198">
        <v>1</v>
      </c>
      <c r="AR198">
        <v>6</v>
      </c>
      <c r="AS198">
        <v>1</v>
      </c>
      <c r="AT198">
        <v>1</v>
      </c>
      <c r="AU198">
        <v>1</v>
      </c>
      <c r="AV198">
        <v>1</v>
      </c>
      <c r="AW198">
        <v>0</v>
      </c>
      <c r="AX198">
        <v>0</v>
      </c>
      <c r="AY198">
        <v>1</v>
      </c>
      <c r="AZ198">
        <v>0</v>
      </c>
      <c r="BA198">
        <v>1</v>
      </c>
      <c r="BB198" t="s">
        <v>1009</v>
      </c>
      <c r="BC198">
        <v>0</v>
      </c>
      <c r="BD198">
        <v>0</v>
      </c>
      <c r="BE198">
        <v>1</v>
      </c>
      <c r="BF198">
        <v>0</v>
      </c>
      <c r="BG198">
        <v>1</v>
      </c>
      <c r="BH198">
        <v>0</v>
      </c>
      <c r="BI198">
        <v>0</v>
      </c>
      <c r="BJ198">
        <v>1</v>
      </c>
      <c r="BK198">
        <v>1</v>
      </c>
      <c r="BL198">
        <v>0</v>
      </c>
      <c r="BM198">
        <v>0</v>
      </c>
      <c r="BN198">
        <v>1</v>
      </c>
      <c r="BO198">
        <v>0</v>
      </c>
      <c r="BP198">
        <v>0</v>
      </c>
      <c r="BQ198">
        <v>0</v>
      </c>
      <c r="BR198">
        <v>1</v>
      </c>
      <c r="BS198">
        <v>0</v>
      </c>
      <c r="BU198">
        <v>16</v>
      </c>
    </row>
    <row r="199" spans="1:258" x14ac:dyDescent="0.35">
      <c r="A199">
        <v>405442</v>
      </c>
      <c r="C199">
        <v>1</v>
      </c>
      <c r="D199" t="s">
        <v>1010</v>
      </c>
      <c r="E199" t="s">
        <v>708</v>
      </c>
      <c r="F199" t="s">
        <v>1008</v>
      </c>
      <c r="G199">
        <v>4</v>
      </c>
      <c r="I199">
        <v>0</v>
      </c>
      <c r="J199">
        <v>0</v>
      </c>
      <c r="K199">
        <v>1</v>
      </c>
      <c r="L199">
        <v>1</v>
      </c>
      <c r="M199">
        <v>0</v>
      </c>
      <c r="N199">
        <v>0</v>
      </c>
      <c r="O199">
        <v>0</v>
      </c>
      <c r="P199">
        <v>0</v>
      </c>
      <c r="Q199">
        <v>0</v>
      </c>
      <c r="R199">
        <v>2</v>
      </c>
      <c r="T199">
        <v>1</v>
      </c>
      <c r="U199">
        <v>1</v>
      </c>
      <c r="V199">
        <v>1</v>
      </c>
      <c r="W199">
        <v>1</v>
      </c>
      <c r="X199">
        <v>5</v>
      </c>
      <c r="Y199">
        <v>3</v>
      </c>
      <c r="Z199">
        <v>1</v>
      </c>
      <c r="AA199">
        <v>5</v>
      </c>
      <c r="AB199">
        <v>3</v>
      </c>
      <c r="AC199">
        <v>1</v>
      </c>
      <c r="AD199">
        <v>1</v>
      </c>
      <c r="AE199">
        <v>0</v>
      </c>
      <c r="AF199">
        <v>0</v>
      </c>
      <c r="AG199">
        <v>0</v>
      </c>
      <c r="AH199">
        <v>0</v>
      </c>
      <c r="AJ199">
        <v>1</v>
      </c>
      <c r="AL199">
        <v>1</v>
      </c>
      <c r="AN199">
        <v>1</v>
      </c>
      <c r="AO199">
        <v>1</v>
      </c>
      <c r="AP199">
        <v>1</v>
      </c>
      <c r="AQ199">
        <v>1</v>
      </c>
      <c r="AR199">
        <v>5</v>
      </c>
      <c r="AS199">
        <v>2</v>
      </c>
      <c r="AT199">
        <v>1</v>
      </c>
      <c r="AU199">
        <v>1</v>
      </c>
      <c r="AV199">
        <v>0</v>
      </c>
      <c r="AW199">
        <v>0</v>
      </c>
      <c r="AX199">
        <v>0</v>
      </c>
      <c r="AY199">
        <v>0</v>
      </c>
      <c r="AZ199">
        <v>1</v>
      </c>
      <c r="BA199">
        <v>0</v>
      </c>
      <c r="BC199">
        <v>0</v>
      </c>
      <c r="BD199">
        <v>0</v>
      </c>
      <c r="BE199">
        <v>0</v>
      </c>
      <c r="BF199">
        <v>0</v>
      </c>
      <c r="BG199">
        <v>0</v>
      </c>
      <c r="BH199">
        <v>0</v>
      </c>
      <c r="BI199">
        <v>0</v>
      </c>
      <c r="BJ199">
        <v>0</v>
      </c>
      <c r="BK199">
        <v>0</v>
      </c>
      <c r="BL199">
        <v>0</v>
      </c>
      <c r="BM199">
        <v>0</v>
      </c>
      <c r="BN199">
        <v>0</v>
      </c>
      <c r="BO199">
        <v>0</v>
      </c>
      <c r="BP199">
        <v>0</v>
      </c>
      <c r="BQ199">
        <v>0</v>
      </c>
      <c r="BR199">
        <v>0</v>
      </c>
      <c r="BS199">
        <v>1</v>
      </c>
      <c r="BT199" t="s">
        <v>1011</v>
      </c>
      <c r="BU199">
        <v>17</v>
      </c>
      <c r="BV199">
        <v>4</v>
      </c>
      <c r="BX199">
        <v>2</v>
      </c>
      <c r="BY199">
        <v>2</v>
      </c>
      <c r="DI199">
        <v>0</v>
      </c>
      <c r="DJ199">
        <v>0</v>
      </c>
      <c r="DK199">
        <v>1</v>
      </c>
      <c r="DL199">
        <v>0</v>
      </c>
      <c r="DM199">
        <v>0</v>
      </c>
      <c r="DN199">
        <v>1</v>
      </c>
      <c r="DO199">
        <v>0</v>
      </c>
      <c r="DP199">
        <v>0</v>
      </c>
      <c r="DQ199">
        <v>1</v>
      </c>
      <c r="DR199">
        <v>0</v>
      </c>
      <c r="DS199" t="s">
        <v>1012</v>
      </c>
      <c r="DT199">
        <v>0</v>
      </c>
      <c r="DU199">
        <v>1</v>
      </c>
      <c r="DV199">
        <v>0</v>
      </c>
      <c r="DW199">
        <v>0</v>
      </c>
      <c r="DX199">
        <v>1</v>
      </c>
      <c r="DY199">
        <v>0</v>
      </c>
      <c r="DZ199">
        <v>0</v>
      </c>
      <c r="EA199">
        <v>0</v>
      </c>
      <c r="EB199">
        <v>0</v>
      </c>
      <c r="EC199">
        <v>0</v>
      </c>
      <c r="ED199">
        <v>0</v>
      </c>
      <c r="EE199">
        <v>0</v>
      </c>
      <c r="EF199">
        <v>0</v>
      </c>
      <c r="EI199" t="s">
        <v>274</v>
      </c>
      <c r="EJ199">
        <v>1</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IG199">
        <v>0</v>
      </c>
      <c r="IH199">
        <v>0</v>
      </c>
      <c r="II199">
        <v>0</v>
      </c>
      <c r="IJ199">
        <v>1</v>
      </c>
      <c r="IK199">
        <v>1</v>
      </c>
      <c r="IL199">
        <v>0</v>
      </c>
      <c r="IM199">
        <v>0</v>
      </c>
      <c r="IN199">
        <v>0</v>
      </c>
      <c r="IO199">
        <v>0</v>
      </c>
      <c r="IP199">
        <v>0</v>
      </c>
      <c r="IQ199">
        <v>0</v>
      </c>
      <c r="IS199">
        <v>2</v>
      </c>
    </row>
    <row r="200" spans="1:258" x14ac:dyDescent="0.35">
      <c r="A200">
        <v>375645</v>
      </c>
      <c r="C200">
        <v>1</v>
      </c>
      <c r="D200" t="s">
        <v>1013</v>
      </c>
      <c r="E200" t="s">
        <v>998</v>
      </c>
      <c r="F200" t="s">
        <v>1014</v>
      </c>
      <c r="G200">
        <v>10</v>
      </c>
      <c r="I200">
        <v>0</v>
      </c>
      <c r="J200">
        <v>0</v>
      </c>
      <c r="K200">
        <v>1</v>
      </c>
      <c r="L200">
        <v>0</v>
      </c>
      <c r="M200">
        <v>1</v>
      </c>
      <c r="N200">
        <v>0</v>
      </c>
      <c r="O200">
        <v>1</v>
      </c>
      <c r="P200">
        <v>0</v>
      </c>
      <c r="Q200">
        <v>0</v>
      </c>
      <c r="R200">
        <v>1</v>
      </c>
      <c r="T200">
        <v>1</v>
      </c>
      <c r="U200">
        <v>1</v>
      </c>
      <c r="V200">
        <v>1</v>
      </c>
      <c r="W200">
        <v>1</v>
      </c>
      <c r="X200">
        <v>20</v>
      </c>
      <c r="Y200">
        <v>35</v>
      </c>
      <c r="Z200">
        <v>1</v>
      </c>
      <c r="AA200">
        <v>20</v>
      </c>
      <c r="AB200">
        <v>35</v>
      </c>
      <c r="AC200">
        <v>1</v>
      </c>
      <c r="AD200">
        <v>1</v>
      </c>
      <c r="AE200">
        <v>0</v>
      </c>
      <c r="AF200">
        <v>1</v>
      </c>
      <c r="AG200">
        <v>0</v>
      </c>
      <c r="AH200">
        <v>0</v>
      </c>
      <c r="AJ200">
        <v>1</v>
      </c>
      <c r="AL200">
        <v>1</v>
      </c>
      <c r="AN200">
        <v>1</v>
      </c>
      <c r="AO200">
        <v>1</v>
      </c>
      <c r="AP200">
        <v>4</v>
      </c>
      <c r="AQ200">
        <v>1</v>
      </c>
      <c r="AR200">
        <v>4</v>
      </c>
      <c r="AS200">
        <v>1</v>
      </c>
      <c r="AT200">
        <v>1</v>
      </c>
      <c r="AU200">
        <v>2</v>
      </c>
      <c r="BC200">
        <v>1</v>
      </c>
      <c r="BD200">
        <v>0</v>
      </c>
      <c r="BE200">
        <v>0</v>
      </c>
      <c r="BF200">
        <v>1</v>
      </c>
      <c r="BG200">
        <v>1</v>
      </c>
      <c r="BH200">
        <v>0</v>
      </c>
      <c r="BI200">
        <v>0</v>
      </c>
      <c r="BJ200">
        <v>0</v>
      </c>
      <c r="BK200">
        <v>1</v>
      </c>
      <c r="BL200">
        <v>0</v>
      </c>
      <c r="BM200">
        <v>0</v>
      </c>
      <c r="BN200">
        <v>0</v>
      </c>
      <c r="BO200">
        <v>0</v>
      </c>
      <c r="BP200">
        <v>1</v>
      </c>
      <c r="BQ200">
        <v>0</v>
      </c>
      <c r="BR200">
        <v>1</v>
      </c>
      <c r="BS200">
        <v>0</v>
      </c>
      <c r="BU200">
        <v>17</v>
      </c>
      <c r="BV200">
        <v>4</v>
      </c>
      <c r="BX200">
        <v>5</v>
      </c>
      <c r="BY200">
        <v>5</v>
      </c>
      <c r="DI200">
        <v>1</v>
      </c>
      <c r="DJ200">
        <v>0</v>
      </c>
      <c r="DK200">
        <v>1</v>
      </c>
      <c r="DL200">
        <v>0</v>
      </c>
      <c r="DM200">
        <v>1</v>
      </c>
      <c r="DN200">
        <v>1</v>
      </c>
      <c r="DO200">
        <v>0</v>
      </c>
      <c r="DP200">
        <v>1</v>
      </c>
      <c r="DQ200">
        <v>1</v>
      </c>
      <c r="DR200">
        <v>0</v>
      </c>
      <c r="DS200" t="s">
        <v>1015</v>
      </c>
      <c r="DT200">
        <v>0</v>
      </c>
      <c r="DU200">
        <v>1</v>
      </c>
      <c r="DV200">
        <v>0</v>
      </c>
      <c r="DW200">
        <v>1</v>
      </c>
      <c r="DX200">
        <v>1</v>
      </c>
      <c r="DY200">
        <v>0</v>
      </c>
      <c r="DZ200">
        <v>1</v>
      </c>
      <c r="EA200">
        <v>1</v>
      </c>
      <c r="EB200">
        <v>0</v>
      </c>
      <c r="EC200">
        <v>0</v>
      </c>
      <c r="ED200">
        <v>1</v>
      </c>
      <c r="EE200">
        <v>0</v>
      </c>
      <c r="EF200">
        <v>0</v>
      </c>
      <c r="EI200" t="s">
        <v>1016</v>
      </c>
      <c r="EJ200">
        <v>1</v>
      </c>
      <c r="EK200">
        <v>1</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Z200" t="s">
        <v>274</v>
      </c>
      <c r="GA200">
        <v>1</v>
      </c>
      <c r="GB200">
        <v>0</v>
      </c>
      <c r="GC200">
        <v>0</v>
      </c>
      <c r="GD200">
        <v>0</v>
      </c>
      <c r="GE200">
        <v>0</v>
      </c>
      <c r="GF200">
        <v>0</v>
      </c>
      <c r="GG200">
        <v>0</v>
      </c>
      <c r="GH200">
        <v>0</v>
      </c>
      <c r="GI200">
        <v>0</v>
      </c>
      <c r="IG200">
        <v>0</v>
      </c>
      <c r="IH200">
        <v>0</v>
      </c>
      <c r="II200">
        <v>0</v>
      </c>
      <c r="IJ200">
        <v>0</v>
      </c>
      <c r="IK200">
        <v>0</v>
      </c>
      <c r="IL200">
        <v>0</v>
      </c>
      <c r="IM200">
        <v>0</v>
      </c>
      <c r="IN200">
        <v>0</v>
      </c>
      <c r="IO200">
        <v>0</v>
      </c>
      <c r="IP200">
        <v>0</v>
      </c>
      <c r="IQ200">
        <v>1</v>
      </c>
      <c r="IS200">
        <v>1</v>
      </c>
      <c r="IT200">
        <v>0</v>
      </c>
      <c r="IU200">
        <v>0</v>
      </c>
      <c r="IV200">
        <v>1</v>
      </c>
      <c r="IW200">
        <v>1</v>
      </c>
      <c r="IX200" t="s">
        <v>1017</v>
      </c>
    </row>
    <row r="201" spans="1:258" x14ac:dyDescent="0.35">
      <c r="A201">
        <v>370256</v>
      </c>
      <c r="C201">
        <v>1</v>
      </c>
      <c r="D201" t="s">
        <v>1018</v>
      </c>
      <c r="E201" t="s">
        <v>1019</v>
      </c>
      <c r="F201" t="s">
        <v>1008</v>
      </c>
      <c r="G201">
        <v>4</v>
      </c>
      <c r="I201">
        <v>0</v>
      </c>
      <c r="J201">
        <v>1</v>
      </c>
      <c r="K201">
        <v>0</v>
      </c>
      <c r="L201">
        <v>1</v>
      </c>
      <c r="M201">
        <v>0</v>
      </c>
      <c r="N201">
        <v>0</v>
      </c>
      <c r="O201">
        <v>0</v>
      </c>
      <c r="P201">
        <v>0</v>
      </c>
      <c r="Q201">
        <v>0</v>
      </c>
      <c r="R201">
        <v>1</v>
      </c>
      <c r="T201">
        <v>1</v>
      </c>
      <c r="U201">
        <v>1</v>
      </c>
      <c r="V201">
        <v>1</v>
      </c>
      <c r="W201">
        <v>23</v>
      </c>
      <c r="X201">
        <v>45</v>
      </c>
      <c r="Y201">
        <v>16</v>
      </c>
      <c r="Z201">
        <v>23</v>
      </c>
      <c r="AA201">
        <v>45</v>
      </c>
      <c r="AB201">
        <v>16</v>
      </c>
      <c r="AC201">
        <v>1</v>
      </c>
      <c r="AD201">
        <v>1</v>
      </c>
      <c r="AE201">
        <v>0</v>
      </c>
      <c r="AF201">
        <v>1</v>
      </c>
      <c r="AG201">
        <v>0</v>
      </c>
      <c r="AH201">
        <v>0</v>
      </c>
      <c r="AJ201">
        <v>4</v>
      </c>
      <c r="AL201">
        <v>1</v>
      </c>
      <c r="AN201">
        <v>1</v>
      </c>
      <c r="AO201">
        <v>1</v>
      </c>
      <c r="AP201">
        <v>2</v>
      </c>
      <c r="AQ201">
        <v>1</v>
      </c>
      <c r="AR201">
        <v>1</v>
      </c>
      <c r="AS201">
        <v>1</v>
      </c>
      <c r="AT201">
        <v>1</v>
      </c>
      <c r="AU201">
        <v>2</v>
      </c>
      <c r="BC201">
        <v>0</v>
      </c>
      <c r="BD201">
        <v>0</v>
      </c>
      <c r="BE201">
        <v>0</v>
      </c>
      <c r="BF201">
        <v>0</v>
      </c>
      <c r="BG201">
        <v>0</v>
      </c>
      <c r="BH201">
        <v>0</v>
      </c>
      <c r="BI201">
        <v>0</v>
      </c>
      <c r="BJ201">
        <v>0</v>
      </c>
      <c r="BK201">
        <v>1</v>
      </c>
      <c r="BL201">
        <v>0</v>
      </c>
      <c r="BM201">
        <v>0</v>
      </c>
      <c r="BN201">
        <v>0</v>
      </c>
      <c r="BO201">
        <v>0</v>
      </c>
      <c r="BP201">
        <v>0</v>
      </c>
      <c r="BQ201">
        <v>0</v>
      </c>
      <c r="BR201">
        <v>1</v>
      </c>
      <c r="BS201">
        <v>0</v>
      </c>
      <c r="BU201">
        <v>9</v>
      </c>
      <c r="BV201">
        <v>4</v>
      </c>
      <c r="BX201">
        <v>4</v>
      </c>
      <c r="BY201">
        <v>4</v>
      </c>
      <c r="DI201">
        <v>0</v>
      </c>
      <c r="DJ201">
        <v>1</v>
      </c>
      <c r="DK201">
        <v>1</v>
      </c>
      <c r="DL201">
        <v>0</v>
      </c>
      <c r="DM201">
        <v>0</v>
      </c>
      <c r="DN201">
        <v>1</v>
      </c>
      <c r="DO201">
        <v>1</v>
      </c>
      <c r="DP201">
        <v>0</v>
      </c>
      <c r="DQ201">
        <v>1</v>
      </c>
      <c r="DR201">
        <v>0</v>
      </c>
      <c r="DS201" t="s">
        <v>1020</v>
      </c>
      <c r="DT201">
        <v>0</v>
      </c>
      <c r="DU201">
        <v>0</v>
      </c>
      <c r="DV201">
        <v>0</v>
      </c>
      <c r="DW201">
        <v>0</v>
      </c>
      <c r="DX201">
        <v>0</v>
      </c>
      <c r="DY201">
        <v>0</v>
      </c>
      <c r="DZ201">
        <v>0</v>
      </c>
      <c r="EA201">
        <v>0</v>
      </c>
      <c r="EB201">
        <v>0</v>
      </c>
      <c r="EC201">
        <v>0</v>
      </c>
      <c r="ED201">
        <v>0</v>
      </c>
      <c r="EE201">
        <v>0</v>
      </c>
      <c r="EF201">
        <v>1</v>
      </c>
    </row>
    <row r="202" spans="1:258" x14ac:dyDescent="0.35">
      <c r="A202">
        <v>405447</v>
      </c>
      <c r="C202">
        <v>1</v>
      </c>
      <c r="D202" t="s">
        <v>1021</v>
      </c>
      <c r="E202" t="s">
        <v>1022</v>
      </c>
      <c r="F202" t="s">
        <v>1023</v>
      </c>
      <c r="G202">
        <v>8</v>
      </c>
      <c r="I202">
        <v>1</v>
      </c>
      <c r="J202">
        <v>1</v>
      </c>
      <c r="K202">
        <v>1</v>
      </c>
      <c r="L202">
        <v>1</v>
      </c>
      <c r="M202">
        <v>1</v>
      </c>
      <c r="N202">
        <v>1</v>
      </c>
      <c r="O202">
        <v>1</v>
      </c>
      <c r="P202">
        <v>1</v>
      </c>
      <c r="Q202">
        <v>0</v>
      </c>
      <c r="R202">
        <v>1</v>
      </c>
      <c r="T202">
        <v>1</v>
      </c>
      <c r="U202">
        <v>1</v>
      </c>
      <c r="V202">
        <v>0</v>
      </c>
      <c r="W202">
        <v>24</v>
      </c>
      <c r="X202">
        <v>100</v>
      </c>
      <c r="Z202">
        <v>24</v>
      </c>
      <c r="AA202">
        <v>100</v>
      </c>
      <c r="AC202">
        <v>1</v>
      </c>
      <c r="AD202">
        <v>1</v>
      </c>
      <c r="AE202">
        <v>0</v>
      </c>
      <c r="AF202">
        <v>0</v>
      </c>
      <c r="AG202">
        <v>1</v>
      </c>
      <c r="AH202">
        <v>0</v>
      </c>
      <c r="AJ202">
        <v>1</v>
      </c>
      <c r="AL202">
        <v>1</v>
      </c>
      <c r="AN202">
        <v>1</v>
      </c>
      <c r="AO202">
        <v>1</v>
      </c>
      <c r="AP202">
        <v>2</v>
      </c>
      <c r="AQ202">
        <v>1</v>
      </c>
      <c r="AR202">
        <v>6</v>
      </c>
      <c r="AS202">
        <v>1</v>
      </c>
      <c r="AT202">
        <v>1</v>
      </c>
      <c r="BX202">
        <v>4</v>
      </c>
      <c r="BY202">
        <v>4</v>
      </c>
      <c r="BZ202">
        <v>0</v>
      </c>
      <c r="CA202">
        <v>1</v>
      </c>
      <c r="CB202">
        <v>1</v>
      </c>
      <c r="CC202">
        <v>0</v>
      </c>
      <c r="CD202">
        <v>0</v>
      </c>
      <c r="CE202">
        <v>1</v>
      </c>
      <c r="CF202">
        <v>1</v>
      </c>
      <c r="CG202">
        <v>0</v>
      </c>
      <c r="CH202">
        <v>0</v>
      </c>
      <c r="CI202">
        <v>1</v>
      </c>
      <c r="CJ202">
        <v>0</v>
      </c>
      <c r="CK202">
        <v>1</v>
      </c>
      <c r="CL202">
        <v>1</v>
      </c>
      <c r="CM202">
        <v>0</v>
      </c>
      <c r="CN202">
        <v>0</v>
      </c>
      <c r="CO202">
        <v>0</v>
      </c>
      <c r="CQ202" t="s">
        <v>1024</v>
      </c>
      <c r="CR202">
        <v>2</v>
      </c>
      <c r="CS202">
        <v>1</v>
      </c>
      <c r="CU202">
        <v>1</v>
      </c>
      <c r="CW202">
        <v>1</v>
      </c>
      <c r="CY202" t="s">
        <v>1025</v>
      </c>
      <c r="CZ202">
        <v>1</v>
      </c>
      <c r="DB202">
        <v>3</v>
      </c>
      <c r="DD202" t="s">
        <v>1026</v>
      </c>
      <c r="DE202">
        <v>2</v>
      </c>
      <c r="DG202">
        <v>4</v>
      </c>
      <c r="DI202">
        <v>1</v>
      </c>
      <c r="DJ202">
        <v>0</v>
      </c>
      <c r="DK202">
        <v>0</v>
      </c>
      <c r="DL202">
        <v>0</v>
      </c>
      <c r="DM202">
        <v>1</v>
      </c>
      <c r="DN202">
        <v>1</v>
      </c>
      <c r="DO202">
        <v>1</v>
      </c>
      <c r="DP202">
        <v>1</v>
      </c>
      <c r="DQ202">
        <v>0</v>
      </c>
      <c r="DR202">
        <v>0</v>
      </c>
      <c r="DT202">
        <v>0</v>
      </c>
      <c r="DU202">
        <v>1</v>
      </c>
      <c r="DV202">
        <v>0</v>
      </c>
      <c r="DW202">
        <v>0</v>
      </c>
      <c r="DX202">
        <v>0</v>
      </c>
      <c r="DY202">
        <v>0</v>
      </c>
      <c r="DZ202">
        <v>1</v>
      </c>
      <c r="EA202">
        <v>0</v>
      </c>
      <c r="EB202">
        <v>0</v>
      </c>
      <c r="EC202">
        <v>1</v>
      </c>
      <c r="ED202">
        <v>0</v>
      </c>
      <c r="EE202">
        <v>0</v>
      </c>
      <c r="EF202">
        <v>0</v>
      </c>
      <c r="EI202" t="s">
        <v>285</v>
      </c>
      <c r="EJ202">
        <v>0</v>
      </c>
      <c r="EK202">
        <v>1</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Z202" t="s">
        <v>285</v>
      </c>
      <c r="GA202">
        <v>0</v>
      </c>
      <c r="GB202">
        <v>1</v>
      </c>
      <c r="GC202">
        <v>0</v>
      </c>
      <c r="GD202">
        <v>0</v>
      </c>
      <c r="GE202">
        <v>0</v>
      </c>
      <c r="GF202">
        <v>0</v>
      </c>
      <c r="GG202">
        <v>0</v>
      </c>
      <c r="GH202">
        <v>0</v>
      </c>
      <c r="GI202">
        <v>0</v>
      </c>
      <c r="GJ202" t="s">
        <v>285</v>
      </c>
      <c r="GK202">
        <v>1</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G202">
        <v>0</v>
      </c>
      <c r="IH202">
        <v>0</v>
      </c>
      <c r="II202">
        <v>1</v>
      </c>
      <c r="IJ202">
        <v>0</v>
      </c>
      <c r="IK202">
        <v>0</v>
      </c>
      <c r="IL202">
        <v>0</v>
      </c>
      <c r="IM202">
        <v>0</v>
      </c>
      <c r="IN202">
        <v>0</v>
      </c>
      <c r="IO202">
        <v>0</v>
      </c>
      <c r="IP202">
        <v>0</v>
      </c>
      <c r="IQ202">
        <v>0</v>
      </c>
      <c r="IS202">
        <v>2</v>
      </c>
    </row>
    <row r="203" spans="1:258" x14ac:dyDescent="0.35">
      <c r="A203">
        <v>339839</v>
      </c>
      <c r="C203">
        <v>1</v>
      </c>
      <c r="D203" t="s">
        <v>1027</v>
      </c>
      <c r="E203" t="s">
        <v>1028</v>
      </c>
      <c r="F203" t="s">
        <v>1023</v>
      </c>
      <c r="G203">
        <v>4</v>
      </c>
      <c r="I203">
        <v>1</v>
      </c>
      <c r="J203">
        <v>0</v>
      </c>
      <c r="K203">
        <v>1</v>
      </c>
      <c r="L203">
        <v>0</v>
      </c>
      <c r="M203">
        <v>1</v>
      </c>
      <c r="N203">
        <v>1</v>
      </c>
      <c r="O203">
        <v>0</v>
      </c>
      <c r="P203">
        <v>0</v>
      </c>
      <c r="Q203">
        <v>0</v>
      </c>
      <c r="R203">
        <v>1</v>
      </c>
      <c r="T203">
        <v>1</v>
      </c>
      <c r="U203">
        <v>1</v>
      </c>
      <c r="V203">
        <v>0</v>
      </c>
      <c r="W203">
        <v>36</v>
      </c>
      <c r="X203">
        <v>90</v>
      </c>
      <c r="Z203">
        <v>36</v>
      </c>
      <c r="AA203">
        <v>90</v>
      </c>
      <c r="AC203">
        <v>1</v>
      </c>
      <c r="AD203">
        <v>0</v>
      </c>
      <c r="AE203">
        <v>0</v>
      </c>
      <c r="AF203">
        <v>1</v>
      </c>
      <c r="AG203">
        <v>0</v>
      </c>
      <c r="AH203">
        <v>0</v>
      </c>
      <c r="AJ203">
        <v>4</v>
      </c>
      <c r="AL203">
        <v>2</v>
      </c>
      <c r="AN203">
        <v>1</v>
      </c>
      <c r="AO203">
        <v>1</v>
      </c>
      <c r="AP203">
        <v>3</v>
      </c>
      <c r="AQ203">
        <v>2</v>
      </c>
      <c r="AS203">
        <v>1</v>
      </c>
      <c r="AT203">
        <v>1</v>
      </c>
      <c r="AU203">
        <v>1</v>
      </c>
      <c r="AV203">
        <v>1</v>
      </c>
      <c r="AW203">
        <v>1</v>
      </c>
      <c r="AX203">
        <v>0</v>
      </c>
      <c r="AY203">
        <v>0</v>
      </c>
      <c r="AZ203">
        <v>0</v>
      </c>
      <c r="BA203">
        <v>0</v>
      </c>
      <c r="BC203">
        <v>0</v>
      </c>
      <c r="BD203">
        <v>0</v>
      </c>
      <c r="BE203">
        <v>0</v>
      </c>
      <c r="BF203">
        <v>0</v>
      </c>
      <c r="BG203">
        <v>0</v>
      </c>
      <c r="BH203">
        <v>1</v>
      </c>
      <c r="BI203">
        <v>0</v>
      </c>
      <c r="BJ203">
        <v>0</v>
      </c>
      <c r="BK203">
        <v>1</v>
      </c>
      <c r="BL203">
        <v>0</v>
      </c>
      <c r="BM203">
        <v>0</v>
      </c>
      <c r="BN203">
        <v>1</v>
      </c>
      <c r="BO203">
        <v>0</v>
      </c>
      <c r="BP203">
        <v>0</v>
      </c>
      <c r="BQ203">
        <v>0</v>
      </c>
      <c r="BR203">
        <v>0</v>
      </c>
      <c r="BS203">
        <v>0</v>
      </c>
      <c r="BU203">
        <v>12</v>
      </c>
      <c r="BV203">
        <v>4</v>
      </c>
      <c r="BX203">
        <v>3</v>
      </c>
      <c r="BY203">
        <v>3</v>
      </c>
      <c r="DI203">
        <v>1</v>
      </c>
      <c r="DJ203">
        <v>0</v>
      </c>
      <c r="DK203">
        <v>1</v>
      </c>
      <c r="DL203">
        <v>0</v>
      </c>
      <c r="DM203">
        <v>1</v>
      </c>
      <c r="DN203">
        <v>1</v>
      </c>
      <c r="DO203">
        <v>0</v>
      </c>
      <c r="DP203">
        <v>0</v>
      </c>
      <c r="DQ203">
        <v>0</v>
      </c>
      <c r="DR203">
        <v>0</v>
      </c>
      <c r="DT203">
        <v>0</v>
      </c>
      <c r="DU203">
        <v>0</v>
      </c>
      <c r="DV203">
        <v>0</v>
      </c>
      <c r="DW203">
        <v>0</v>
      </c>
      <c r="DX203">
        <v>1</v>
      </c>
      <c r="DY203">
        <v>0</v>
      </c>
      <c r="DZ203">
        <v>0</v>
      </c>
      <c r="EA203">
        <v>1</v>
      </c>
      <c r="EB203">
        <v>0</v>
      </c>
      <c r="EC203">
        <v>0</v>
      </c>
      <c r="ED203">
        <v>1</v>
      </c>
      <c r="EE203">
        <v>0</v>
      </c>
      <c r="EF203">
        <v>0</v>
      </c>
      <c r="IG203">
        <v>1</v>
      </c>
      <c r="IH203">
        <v>0</v>
      </c>
      <c r="II203">
        <v>1</v>
      </c>
      <c r="IJ203">
        <v>0</v>
      </c>
      <c r="IK203">
        <v>0</v>
      </c>
      <c r="IL203">
        <v>0</v>
      </c>
      <c r="IM203">
        <v>1</v>
      </c>
      <c r="IN203">
        <v>0</v>
      </c>
      <c r="IO203">
        <v>0</v>
      </c>
      <c r="IP203">
        <v>0</v>
      </c>
      <c r="IQ203">
        <v>0</v>
      </c>
      <c r="IS203">
        <v>1</v>
      </c>
      <c r="IT203">
        <v>1</v>
      </c>
      <c r="IU203">
        <v>0</v>
      </c>
      <c r="IV203">
        <v>0</v>
      </c>
      <c r="IW203">
        <v>0</v>
      </c>
    </row>
    <row r="204" spans="1:258" x14ac:dyDescent="0.35">
      <c r="A204">
        <v>405335</v>
      </c>
      <c r="C204">
        <v>1</v>
      </c>
      <c r="D204" t="s">
        <v>1029</v>
      </c>
      <c r="E204" t="s">
        <v>1030</v>
      </c>
      <c r="F204" t="s">
        <v>1023</v>
      </c>
      <c r="G204">
        <v>4</v>
      </c>
      <c r="I204">
        <v>1</v>
      </c>
      <c r="J204">
        <v>0</v>
      </c>
      <c r="K204">
        <v>0</v>
      </c>
      <c r="L204">
        <v>0</v>
      </c>
      <c r="M204">
        <v>0</v>
      </c>
      <c r="N204">
        <v>0</v>
      </c>
      <c r="O204">
        <v>0</v>
      </c>
      <c r="P204">
        <v>1</v>
      </c>
      <c r="Q204">
        <v>0</v>
      </c>
      <c r="R204">
        <v>1</v>
      </c>
      <c r="T204">
        <v>1</v>
      </c>
      <c r="U204">
        <v>1</v>
      </c>
      <c r="V204">
        <v>0</v>
      </c>
      <c r="W204">
        <v>24</v>
      </c>
      <c r="X204">
        <v>40</v>
      </c>
      <c r="Z204">
        <v>24</v>
      </c>
      <c r="AA204">
        <v>40</v>
      </c>
      <c r="AC204">
        <v>1</v>
      </c>
      <c r="AD204">
        <v>1</v>
      </c>
      <c r="AE204">
        <v>0</v>
      </c>
      <c r="AF204">
        <v>1</v>
      </c>
      <c r="AG204">
        <v>0</v>
      </c>
      <c r="AH204">
        <v>0</v>
      </c>
      <c r="AJ204">
        <v>1</v>
      </c>
      <c r="AL204">
        <v>2</v>
      </c>
      <c r="AN204">
        <v>1</v>
      </c>
      <c r="AO204">
        <v>1</v>
      </c>
      <c r="AP204">
        <v>5</v>
      </c>
      <c r="AQ204">
        <v>2</v>
      </c>
      <c r="AS204">
        <v>1</v>
      </c>
      <c r="AT204">
        <v>1</v>
      </c>
      <c r="AU204">
        <v>2</v>
      </c>
      <c r="BC204">
        <v>0</v>
      </c>
      <c r="BD204">
        <v>0</v>
      </c>
      <c r="BE204">
        <v>0</v>
      </c>
      <c r="BF204">
        <v>0</v>
      </c>
      <c r="BG204">
        <v>1</v>
      </c>
      <c r="BH204">
        <v>0</v>
      </c>
      <c r="BI204">
        <v>0</v>
      </c>
      <c r="BJ204">
        <v>0</v>
      </c>
      <c r="BK204">
        <v>0</v>
      </c>
      <c r="BL204">
        <v>0</v>
      </c>
      <c r="BM204">
        <v>0</v>
      </c>
      <c r="BN204">
        <v>0</v>
      </c>
      <c r="BO204">
        <v>0</v>
      </c>
      <c r="BP204">
        <v>0</v>
      </c>
      <c r="BQ204">
        <v>0</v>
      </c>
      <c r="BR204">
        <v>0</v>
      </c>
      <c r="BS204">
        <v>0</v>
      </c>
      <c r="BU204">
        <v>6</v>
      </c>
    </row>
    <row r="205" spans="1:258" x14ac:dyDescent="0.35">
      <c r="A205">
        <v>363467</v>
      </c>
      <c r="C205">
        <v>1</v>
      </c>
      <c r="D205" t="s">
        <v>1031</v>
      </c>
      <c r="E205" t="s">
        <v>1032</v>
      </c>
      <c r="F205" t="s">
        <v>1023</v>
      </c>
      <c r="G205">
        <v>15</v>
      </c>
      <c r="H205" t="s">
        <v>1033</v>
      </c>
      <c r="I205">
        <v>0</v>
      </c>
      <c r="J205">
        <v>0</v>
      </c>
      <c r="K205">
        <v>0</v>
      </c>
      <c r="L205">
        <v>0</v>
      </c>
      <c r="M205">
        <v>0</v>
      </c>
      <c r="N205">
        <v>0</v>
      </c>
      <c r="O205">
        <v>0</v>
      </c>
      <c r="P205">
        <v>0</v>
      </c>
      <c r="Q205">
        <v>1</v>
      </c>
      <c r="R205">
        <v>1</v>
      </c>
      <c r="T205">
        <v>1</v>
      </c>
      <c r="U205">
        <v>1</v>
      </c>
      <c r="V205">
        <v>0</v>
      </c>
      <c r="W205">
        <v>16</v>
      </c>
      <c r="X205">
        <v>46</v>
      </c>
      <c r="Z205">
        <v>16</v>
      </c>
      <c r="AA205">
        <v>46</v>
      </c>
      <c r="AC205">
        <v>1</v>
      </c>
      <c r="AD205">
        <v>1</v>
      </c>
      <c r="AE205">
        <v>0</v>
      </c>
      <c r="AF205">
        <v>0</v>
      </c>
      <c r="AG205">
        <v>0</v>
      </c>
      <c r="AH205">
        <v>0</v>
      </c>
      <c r="AJ205">
        <v>1</v>
      </c>
      <c r="AL205">
        <v>2</v>
      </c>
      <c r="AN205">
        <v>1</v>
      </c>
      <c r="AO205">
        <v>1</v>
      </c>
      <c r="AP205">
        <v>4</v>
      </c>
      <c r="AQ205">
        <v>2</v>
      </c>
      <c r="AS205">
        <v>2</v>
      </c>
      <c r="AT205">
        <v>1</v>
      </c>
      <c r="AU205">
        <v>1</v>
      </c>
      <c r="AV205">
        <v>1</v>
      </c>
      <c r="AW205">
        <v>0</v>
      </c>
      <c r="AX205">
        <v>0</v>
      </c>
      <c r="AY205">
        <v>0</v>
      </c>
      <c r="AZ205">
        <v>0</v>
      </c>
      <c r="BA205">
        <v>0</v>
      </c>
      <c r="BC205">
        <v>0</v>
      </c>
      <c r="BD205">
        <v>0</v>
      </c>
      <c r="BE205">
        <v>1</v>
      </c>
      <c r="BF205">
        <v>0</v>
      </c>
      <c r="BG205">
        <v>1</v>
      </c>
      <c r="BH205">
        <v>1</v>
      </c>
      <c r="BI205">
        <v>0</v>
      </c>
      <c r="BJ205">
        <v>0</v>
      </c>
      <c r="BK205">
        <v>1</v>
      </c>
      <c r="BL205">
        <v>0</v>
      </c>
      <c r="BM205">
        <v>1</v>
      </c>
      <c r="BN205">
        <v>1</v>
      </c>
      <c r="BO205">
        <v>0</v>
      </c>
      <c r="BP205">
        <v>1</v>
      </c>
      <c r="BQ205">
        <v>0</v>
      </c>
      <c r="BR205">
        <v>1</v>
      </c>
      <c r="BS205">
        <v>1</v>
      </c>
      <c r="BT205" t="s">
        <v>1034</v>
      </c>
      <c r="BU205">
        <v>16</v>
      </c>
      <c r="BV205">
        <v>4</v>
      </c>
      <c r="BX205">
        <v>2</v>
      </c>
      <c r="BY205">
        <v>2</v>
      </c>
      <c r="DI205">
        <v>0</v>
      </c>
      <c r="DJ205">
        <v>0</v>
      </c>
      <c r="DK205">
        <v>1</v>
      </c>
      <c r="DL205">
        <v>0</v>
      </c>
      <c r="DM205">
        <v>0</v>
      </c>
      <c r="DN205">
        <v>1</v>
      </c>
      <c r="DO205">
        <v>1</v>
      </c>
      <c r="DP205">
        <v>1</v>
      </c>
      <c r="DQ205">
        <v>1</v>
      </c>
      <c r="DR205">
        <v>0</v>
      </c>
      <c r="DS205" t="s">
        <v>1035</v>
      </c>
      <c r="DT205">
        <v>0</v>
      </c>
      <c r="DU205">
        <v>1</v>
      </c>
      <c r="DV205">
        <v>0</v>
      </c>
      <c r="DW205">
        <v>1</v>
      </c>
      <c r="DX205">
        <v>0</v>
      </c>
      <c r="DY205">
        <v>0</v>
      </c>
      <c r="DZ205">
        <v>1</v>
      </c>
      <c r="EA205">
        <v>1</v>
      </c>
      <c r="EB205">
        <v>1</v>
      </c>
      <c r="EC205">
        <v>1</v>
      </c>
      <c r="ED205">
        <v>1</v>
      </c>
      <c r="EE205">
        <v>0</v>
      </c>
      <c r="EF205">
        <v>0</v>
      </c>
      <c r="EI205" t="s">
        <v>285</v>
      </c>
      <c r="EJ205">
        <v>0</v>
      </c>
      <c r="EK205">
        <v>1</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Z205" t="s">
        <v>285</v>
      </c>
      <c r="GA205">
        <v>0</v>
      </c>
      <c r="GB205">
        <v>1</v>
      </c>
      <c r="GC205">
        <v>0</v>
      </c>
      <c r="GD205">
        <v>0</v>
      </c>
      <c r="GE205">
        <v>0</v>
      </c>
      <c r="GF205">
        <v>0</v>
      </c>
      <c r="GG205">
        <v>0</v>
      </c>
      <c r="GH205">
        <v>0</v>
      </c>
      <c r="GI205">
        <v>0</v>
      </c>
      <c r="GJ205" t="s">
        <v>1036</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1</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G205">
        <v>1</v>
      </c>
      <c r="IH205">
        <v>1</v>
      </c>
      <c r="II205">
        <v>0</v>
      </c>
      <c r="IJ205">
        <v>0</v>
      </c>
      <c r="IK205">
        <v>0</v>
      </c>
      <c r="IL205">
        <v>0</v>
      </c>
      <c r="IM205">
        <v>1</v>
      </c>
      <c r="IN205">
        <v>0</v>
      </c>
      <c r="IO205">
        <v>0</v>
      </c>
      <c r="IP205">
        <v>0</v>
      </c>
      <c r="IQ205">
        <v>0</v>
      </c>
      <c r="IS205">
        <v>1</v>
      </c>
      <c r="IT205">
        <v>1</v>
      </c>
      <c r="IU205">
        <v>0</v>
      </c>
      <c r="IV205">
        <v>0</v>
      </c>
      <c r="IW205">
        <v>0</v>
      </c>
    </row>
    <row r="206" spans="1:258" x14ac:dyDescent="0.35">
      <c r="A206">
        <v>397073</v>
      </c>
      <c r="C206">
        <v>1</v>
      </c>
      <c r="D206" t="s">
        <v>1037</v>
      </c>
      <c r="E206" t="s">
        <v>1038</v>
      </c>
      <c r="F206" t="s">
        <v>1023</v>
      </c>
      <c r="G206">
        <v>1</v>
      </c>
      <c r="I206">
        <v>1</v>
      </c>
      <c r="J206">
        <v>1</v>
      </c>
      <c r="K206">
        <v>0</v>
      </c>
      <c r="L206">
        <v>0</v>
      </c>
      <c r="M206">
        <v>0</v>
      </c>
      <c r="N206">
        <v>0</v>
      </c>
      <c r="O206">
        <v>0</v>
      </c>
      <c r="P206">
        <v>0</v>
      </c>
      <c r="Q206">
        <v>0</v>
      </c>
      <c r="R206">
        <v>1</v>
      </c>
      <c r="T206">
        <v>1</v>
      </c>
      <c r="U206">
        <v>0</v>
      </c>
      <c r="V206">
        <v>0</v>
      </c>
      <c r="W206">
        <v>8</v>
      </c>
      <c r="Z206">
        <v>8</v>
      </c>
      <c r="AC206">
        <v>1</v>
      </c>
      <c r="AD206">
        <v>1</v>
      </c>
      <c r="AE206">
        <v>0</v>
      </c>
      <c r="AF206">
        <v>0</v>
      </c>
      <c r="AG206">
        <v>0</v>
      </c>
      <c r="AH206">
        <v>0</v>
      </c>
      <c r="AJ206">
        <v>2</v>
      </c>
      <c r="AL206">
        <v>4</v>
      </c>
      <c r="AN206">
        <v>1</v>
      </c>
      <c r="AO206">
        <v>1</v>
      </c>
      <c r="AP206">
        <v>4</v>
      </c>
      <c r="AQ206">
        <v>2</v>
      </c>
      <c r="AS206">
        <v>2</v>
      </c>
      <c r="AT206">
        <v>1</v>
      </c>
      <c r="AU206">
        <v>1</v>
      </c>
      <c r="AV206">
        <v>0</v>
      </c>
      <c r="AW206">
        <v>0</v>
      </c>
      <c r="AX206">
        <v>0</v>
      </c>
      <c r="AY206">
        <v>1</v>
      </c>
      <c r="AZ206">
        <v>0</v>
      </c>
      <c r="BA206">
        <v>0</v>
      </c>
      <c r="BC206">
        <v>0</v>
      </c>
      <c r="BD206">
        <v>0</v>
      </c>
      <c r="BE206">
        <v>1</v>
      </c>
      <c r="BF206">
        <v>0</v>
      </c>
      <c r="BG206">
        <v>1</v>
      </c>
      <c r="BH206">
        <v>0</v>
      </c>
      <c r="BI206">
        <v>0</v>
      </c>
      <c r="BJ206">
        <v>0</v>
      </c>
      <c r="BK206">
        <v>1</v>
      </c>
      <c r="BL206">
        <v>0</v>
      </c>
      <c r="BM206">
        <v>0</v>
      </c>
      <c r="BN206">
        <v>0</v>
      </c>
      <c r="BO206">
        <v>0</v>
      </c>
      <c r="BP206">
        <v>0</v>
      </c>
      <c r="BQ206">
        <v>0</v>
      </c>
      <c r="BR206">
        <v>0</v>
      </c>
      <c r="BS206">
        <v>0</v>
      </c>
      <c r="BU206">
        <v>3</v>
      </c>
      <c r="BV206">
        <v>4</v>
      </c>
      <c r="BX206">
        <v>3</v>
      </c>
      <c r="BY206">
        <v>2</v>
      </c>
      <c r="DI206">
        <v>1</v>
      </c>
      <c r="DJ206">
        <v>1</v>
      </c>
      <c r="DK206">
        <v>1</v>
      </c>
      <c r="DL206">
        <v>0</v>
      </c>
      <c r="DM206">
        <v>0</v>
      </c>
      <c r="DN206">
        <v>0</v>
      </c>
      <c r="DO206">
        <v>0</v>
      </c>
      <c r="DP206">
        <v>0</v>
      </c>
      <c r="DQ206">
        <v>0</v>
      </c>
      <c r="DR206">
        <v>0</v>
      </c>
      <c r="DT206">
        <v>0</v>
      </c>
      <c r="DU206">
        <v>1</v>
      </c>
      <c r="DV206">
        <v>0</v>
      </c>
      <c r="DW206">
        <v>0</v>
      </c>
      <c r="DX206">
        <v>0</v>
      </c>
      <c r="DY206">
        <v>0</v>
      </c>
      <c r="DZ206">
        <v>0</v>
      </c>
      <c r="EA206">
        <v>0</v>
      </c>
      <c r="EB206">
        <v>0</v>
      </c>
      <c r="EC206">
        <v>1</v>
      </c>
      <c r="ED206">
        <v>1</v>
      </c>
      <c r="EE206">
        <v>0</v>
      </c>
      <c r="EF206">
        <v>0</v>
      </c>
      <c r="EI206" t="s">
        <v>711</v>
      </c>
      <c r="EJ206">
        <v>0</v>
      </c>
      <c r="EK206">
        <v>1</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GJ206" t="s">
        <v>1036</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1</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G206">
        <v>1</v>
      </c>
      <c r="IH206">
        <v>1</v>
      </c>
      <c r="II206">
        <v>1</v>
      </c>
      <c r="IJ206">
        <v>0</v>
      </c>
      <c r="IK206">
        <v>0</v>
      </c>
      <c r="IL206">
        <v>0</v>
      </c>
      <c r="IM206">
        <v>0</v>
      </c>
      <c r="IN206">
        <v>0</v>
      </c>
      <c r="IO206">
        <v>0</v>
      </c>
      <c r="IP206">
        <v>0</v>
      </c>
      <c r="IQ206">
        <v>0</v>
      </c>
      <c r="IS206">
        <v>2</v>
      </c>
    </row>
    <row r="207" spans="1:258" x14ac:dyDescent="0.35">
      <c r="A207">
        <v>393086</v>
      </c>
      <c r="C207">
        <v>1</v>
      </c>
      <c r="D207" t="s">
        <v>1039</v>
      </c>
      <c r="E207" t="s">
        <v>1040</v>
      </c>
      <c r="F207" t="s">
        <v>1023</v>
      </c>
      <c r="G207">
        <v>3</v>
      </c>
      <c r="I207">
        <v>0</v>
      </c>
      <c r="J207">
        <v>1</v>
      </c>
      <c r="K207">
        <v>0</v>
      </c>
      <c r="L207">
        <v>0</v>
      </c>
      <c r="M207">
        <v>0</v>
      </c>
      <c r="N207">
        <v>1</v>
      </c>
      <c r="O207">
        <v>0</v>
      </c>
      <c r="P207">
        <v>0</v>
      </c>
      <c r="Q207">
        <v>0</v>
      </c>
      <c r="R207">
        <v>1</v>
      </c>
      <c r="T207">
        <v>1</v>
      </c>
      <c r="U207">
        <v>1</v>
      </c>
      <c r="V207">
        <v>1</v>
      </c>
      <c r="W207">
        <v>32</v>
      </c>
      <c r="X207">
        <v>70</v>
      </c>
      <c r="Y207">
        <v>15</v>
      </c>
      <c r="Z207">
        <v>32</v>
      </c>
      <c r="AA207">
        <v>70</v>
      </c>
      <c r="AB207">
        <v>15</v>
      </c>
      <c r="AC207">
        <v>1</v>
      </c>
      <c r="AD207">
        <v>1</v>
      </c>
      <c r="AE207">
        <v>0</v>
      </c>
      <c r="AF207">
        <v>1</v>
      </c>
      <c r="AG207">
        <v>0</v>
      </c>
      <c r="AH207">
        <v>0</v>
      </c>
      <c r="AJ207">
        <v>4</v>
      </c>
      <c r="AL207">
        <v>4</v>
      </c>
      <c r="AN207">
        <v>1</v>
      </c>
      <c r="AO207">
        <v>1</v>
      </c>
      <c r="AP207">
        <v>2</v>
      </c>
      <c r="AQ207">
        <v>2</v>
      </c>
      <c r="AS207">
        <v>2</v>
      </c>
      <c r="AT207">
        <v>1</v>
      </c>
      <c r="AU207">
        <v>2</v>
      </c>
      <c r="BC207">
        <v>0</v>
      </c>
      <c r="BD207">
        <v>0</v>
      </c>
      <c r="BE207">
        <v>0</v>
      </c>
      <c r="BF207">
        <v>0</v>
      </c>
      <c r="BG207">
        <v>0</v>
      </c>
      <c r="BH207">
        <v>0</v>
      </c>
      <c r="BI207">
        <v>0</v>
      </c>
      <c r="BJ207">
        <v>0</v>
      </c>
      <c r="BK207">
        <v>1</v>
      </c>
      <c r="BL207">
        <v>0</v>
      </c>
      <c r="BM207">
        <v>0</v>
      </c>
      <c r="BN207">
        <v>0</v>
      </c>
      <c r="BO207">
        <v>0</v>
      </c>
      <c r="BP207">
        <v>1</v>
      </c>
      <c r="BQ207">
        <v>0</v>
      </c>
      <c r="BR207">
        <v>0</v>
      </c>
      <c r="BS207">
        <v>0</v>
      </c>
      <c r="BU207">
        <v>6</v>
      </c>
      <c r="BV207">
        <v>4</v>
      </c>
      <c r="BX207">
        <v>6</v>
      </c>
      <c r="BY207">
        <v>4</v>
      </c>
      <c r="DI207">
        <v>0</v>
      </c>
      <c r="DJ207">
        <v>0</v>
      </c>
      <c r="DK207">
        <v>0</v>
      </c>
      <c r="DL207">
        <v>1</v>
      </c>
      <c r="DM207">
        <v>1</v>
      </c>
      <c r="DN207">
        <v>1</v>
      </c>
      <c r="DO207">
        <v>0</v>
      </c>
      <c r="DP207">
        <v>0</v>
      </c>
      <c r="DQ207">
        <v>0</v>
      </c>
      <c r="DR207">
        <v>0</v>
      </c>
      <c r="DT207">
        <v>0</v>
      </c>
      <c r="DU207">
        <v>0</v>
      </c>
      <c r="DV207">
        <v>0</v>
      </c>
      <c r="DW207">
        <v>1</v>
      </c>
      <c r="DX207">
        <v>1</v>
      </c>
      <c r="DY207">
        <v>0</v>
      </c>
      <c r="DZ207">
        <v>1</v>
      </c>
      <c r="EA207">
        <v>0</v>
      </c>
      <c r="EB207">
        <v>0</v>
      </c>
      <c r="EC207">
        <v>0</v>
      </c>
      <c r="ED207">
        <v>0</v>
      </c>
      <c r="EE207">
        <v>0</v>
      </c>
      <c r="EF207">
        <v>0</v>
      </c>
      <c r="FZ207" t="s">
        <v>1041</v>
      </c>
      <c r="GA207">
        <v>0</v>
      </c>
      <c r="GB207">
        <v>0</v>
      </c>
      <c r="GC207">
        <v>0</v>
      </c>
      <c r="GD207">
        <v>0</v>
      </c>
      <c r="GE207">
        <v>0</v>
      </c>
      <c r="GF207">
        <v>0</v>
      </c>
      <c r="GG207">
        <v>0</v>
      </c>
      <c r="GH207">
        <v>1</v>
      </c>
      <c r="GI207">
        <v>0</v>
      </c>
      <c r="IG207">
        <v>0</v>
      </c>
      <c r="IH207">
        <v>1</v>
      </c>
      <c r="II207">
        <v>0</v>
      </c>
      <c r="IJ207">
        <v>1</v>
      </c>
      <c r="IK207">
        <v>0</v>
      </c>
      <c r="IL207">
        <v>0</v>
      </c>
      <c r="IM207">
        <v>1</v>
      </c>
      <c r="IN207">
        <v>0</v>
      </c>
      <c r="IO207">
        <v>0</v>
      </c>
      <c r="IP207">
        <v>0</v>
      </c>
      <c r="IQ207">
        <v>0</v>
      </c>
      <c r="IS207">
        <v>2</v>
      </c>
    </row>
    <row r="208" spans="1:258" x14ac:dyDescent="0.35">
      <c r="A208">
        <v>405439</v>
      </c>
      <c r="C208">
        <v>1</v>
      </c>
      <c r="D208" t="s">
        <v>1042</v>
      </c>
      <c r="E208" t="s">
        <v>1043</v>
      </c>
      <c r="F208" t="s">
        <v>1023</v>
      </c>
      <c r="G208">
        <v>3</v>
      </c>
      <c r="I208">
        <v>1</v>
      </c>
      <c r="J208">
        <v>1</v>
      </c>
      <c r="K208">
        <v>1</v>
      </c>
      <c r="L208">
        <v>0</v>
      </c>
      <c r="M208">
        <v>0</v>
      </c>
      <c r="N208">
        <v>1</v>
      </c>
      <c r="O208">
        <v>0</v>
      </c>
      <c r="P208">
        <v>1</v>
      </c>
      <c r="Q208">
        <v>0</v>
      </c>
      <c r="R208">
        <v>1</v>
      </c>
      <c r="T208">
        <v>1</v>
      </c>
      <c r="U208">
        <v>1</v>
      </c>
      <c r="V208">
        <v>1</v>
      </c>
      <c r="W208">
        <v>20</v>
      </c>
      <c r="X208">
        <v>43</v>
      </c>
      <c r="Y208">
        <v>4</v>
      </c>
      <c r="Z208">
        <v>20</v>
      </c>
      <c r="AA208">
        <v>43</v>
      </c>
      <c r="AB208">
        <v>4</v>
      </c>
      <c r="AC208">
        <v>1</v>
      </c>
      <c r="AD208">
        <v>1</v>
      </c>
      <c r="AE208">
        <v>0</v>
      </c>
      <c r="AF208">
        <v>0</v>
      </c>
      <c r="AG208">
        <v>0</v>
      </c>
      <c r="AH208">
        <v>0</v>
      </c>
      <c r="AJ208">
        <v>1</v>
      </c>
      <c r="AL208">
        <v>1</v>
      </c>
      <c r="AN208">
        <v>1</v>
      </c>
      <c r="AO208">
        <v>1</v>
      </c>
    </row>
    <row r="209" spans="1:258" x14ac:dyDescent="0.35">
      <c r="A209">
        <v>405444</v>
      </c>
      <c r="C209">
        <v>1</v>
      </c>
      <c r="D209" t="s">
        <v>1044</v>
      </c>
      <c r="E209" t="s">
        <v>1045</v>
      </c>
      <c r="F209" t="s">
        <v>1023</v>
      </c>
      <c r="G209">
        <v>6</v>
      </c>
      <c r="I209">
        <v>1</v>
      </c>
      <c r="J209">
        <v>0</v>
      </c>
      <c r="K209">
        <v>0</v>
      </c>
      <c r="L209">
        <v>0</v>
      </c>
      <c r="M209">
        <v>0</v>
      </c>
      <c r="N209">
        <v>0</v>
      </c>
      <c r="O209">
        <v>0</v>
      </c>
      <c r="P209">
        <v>0</v>
      </c>
      <c r="Q209">
        <v>0</v>
      </c>
      <c r="R209">
        <v>1</v>
      </c>
      <c r="T209">
        <v>0</v>
      </c>
      <c r="U209">
        <v>1</v>
      </c>
      <c r="V209">
        <v>0</v>
      </c>
      <c r="X209">
        <v>70</v>
      </c>
      <c r="AA209">
        <v>70</v>
      </c>
      <c r="AC209">
        <v>1</v>
      </c>
      <c r="AD209">
        <v>1</v>
      </c>
      <c r="AE209">
        <v>0</v>
      </c>
      <c r="AF209">
        <v>0</v>
      </c>
      <c r="AG209">
        <v>0</v>
      </c>
      <c r="AH209">
        <v>0</v>
      </c>
      <c r="AJ209">
        <v>2</v>
      </c>
      <c r="AL209">
        <v>3</v>
      </c>
      <c r="AN209">
        <v>2</v>
      </c>
      <c r="AQ209">
        <v>2</v>
      </c>
      <c r="AS209">
        <v>2</v>
      </c>
      <c r="AT209">
        <v>2</v>
      </c>
      <c r="AU209">
        <v>2</v>
      </c>
      <c r="BC209">
        <v>0</v>
      </c>
      <c r="BD209">
        <v>0</v>
      </c>
      <c r="BE209">
        <v>0</v>
      </c>
      <c r="BF209">
        <v>0</v>
      </c>
      <c r="BG209">
        <v>0</v>
      </c>
      <c r="BH209">
        <v>0</v>
      </c>
      <c r="BI209">
        <v>0</v>
      </c>
      <c r="BJ209">
        <v>0</v>
      </c>
      <c r="BK209">
        <v>0</v>
      </c>
      <c r="BL209">
        <v>0</v>
      </c>
      <c r="BM209">
        <v>0</v>
      </c>
      <c r="BN209">
        <v>0</v>
      </c>
      <c r="BO209">
        <v>0</v>
      </c>
      <c r="BP209">
        <v>0</v>
      </c>
      <c r="BQ209">
        <v>0</v>
      </c>
      <c r="BR209">
        <v>1</v>
      </c>
      <c r="BS209">
        <v>0</v>
      </c>
      <c r="BU209">
        <v>16</v>
      </c>
      <c r="BV209">
        <v>3</v>
      </c>
      <c r="BW209" t="s">
        <v>1046</v>
      </c>
      <c r="BX209">
        <v>4</v>
      </c>
      <c r="BY209">
        <v>4</v>
      </c>
      <c r="DI209">
        <v>0</v>
      </c>
      <c r="DJ209">
        <v>1</v>
      </c>
      <c r="DK209">
        <v>0</v>
      </c>
      <c r="DL209">
        <v>0</v>
      </c>
      <c r="DM209">
        <v>1</v>
      </c>
      <c r="DN209">
        <v>0</v>
      </c>
      <c r="DO209">
        <v>0</v>
      </c>
      <c r="DP209">
        <v>0</v>
      </c>
      <c r="DQ209">
        <v>0</v>
      </c>
      <c r="DR209">
        <v>0</v>
      </c>
      <c r="DT209">
        <v>0</v>
      </c>
      <c r="DU209">
        <v>0</v>
      </c>
      <c r="DV209">
        <v>0</v>
      </c>
      <c r="DW209">
        <v>0</v>
      </c>
      <c r="DX209">
        <v>0</v>
      </c>
      <c r="DY209">
        <v>0</v>
      </c>
      <c r="DZ209">
        <v>0</v>
      </c>
      <c r="EA209">
        <v>0</v>
      </c>
      <c r="EB209">
        <v>0</v>
      </c>
      <c r="EC209">
        <v>0</v>
      </c>
      <c r="ED209">
        <v>1</v>
      </c>
      <c r="EE209">
        <v>0</v>
      </c>
      <c r="EF209">
        <v>0</v>
      </c>
      <c r="IG209">
        <v>0</v>
      </c>
      <c r="IH209">
        <v>0</v>
      </c>
      <c r="II209">
        <v>0</v>
      </c>
      <c r="IJ209">
        <v>0</v>
      </c>
      <c r="IK209">
        <v>0</v>
      </c>
      <c r="IL209">
        <v>0</v>
      </c>
      <c r="IM209">
        <v>0</v>
      </c>
      <c r="IN209">
        <v>0</v>
      </c>
      <c r="IO209">
        <v>0</v>
      </c>
      <c r="IP209">
        <v>0</v>
      </c>
      <c r="IQ209">
        <v>1</v>
      </c>
      <c r="IS209">
        <v>2</v>
      </c>
    </row>
    <row r="210" spans="1:258" x14ac:dyDescent="0.35">
      <c r="A210">
        <v>405334</v>
      </c>
      <c r="C210">
        <v>1</v>
      </c>
      <c r="D210" t="s">
        <v>1047</v>
      </c>
      <c r="E210" t="s">
        <v>1048</v>
      </c>
      <c r="F210" t="s">
        <v>1023</v>
      </c>
      <c r="G210">
        <v>2</v>
      </c>
      <c r="I210">
        <v>1</v>
      </c>
      <c r="J210">
        <v>1</v>
      </c>
      <c r="K210">
        <v>0</v>
      </c>
      <c r="L210">
        <v>0</v>
      </c>
      <c r="M210">
        <v>0</v>
      </c>
      <c r="N210">
        <v>0</v>
      </c>
      <c r="O210">
        <v>0</v>
      </c>
      <c r="P210">
        <v>0</v>
      </c>
      <c r="Q210">
        <v>0</v>
      </c>
      <c r="R210">
        <v>1</v>
      </c>
      <c r="T210">
        <v>0</v>
      </c>
      <c r="U210">
        <v>1</v>
      </c>
      <c r="V210">
        <v>0</v>
      </c>
      <c r="X210">
        <v>100</v>
      </c>
      <c r="AA210">
        <v>100</v>
      </c>
      <c r="AC210">
        <v>1</v>
      </c>
      <c r="AD210">
        <v>0</v>
      </c>
      <c r="AE210">
        <v>0</v>
      </c>
      <c r="AF210">
        <v>0</v>
      </c>
      <c r="AG210">
        <v>0</v>
      </c>
      <c r="AH210">
        <v>0</v>
      </c>
      <c r="AJ210">
        <v>1</v>
      </c>
      <c r="AL210">
        <v>1</v>
      </c>
      <c r="AN210">
        <v>1</v>
      </c>
      <c r="AO210">
        <v>1</v>
      </c>
      <c r="AP210">
        <v>3</v>
      </c>
      <c r="AQ210">
        <v>2</v>
      </c>
      <c r="AS210">
        <v>2</v>
      </c>
      <c r="AT210">
        <v>1</v>
      </c>
      <c r="AU210">
        <v>1</v>
      </c>
      <c r="AV210">
        <v>1</v>
      </c>
      <c r="AW210">
        <v>0</v>
      </c>
      <c r="AX210">
        <v>0</v>
      </c>
      <c r="AY210">
        <v>0</v>
      </c>
      <c r="AZ210">
        <v>0</v>
      </c>
      <c r="BA210">
        <v>0</v>
      </c>
      <c r="BC210">
        <v>0</v>
      </c>
      <c r="BD210">
        <v>0</v>
      </c>
      <c r="BE210">
        <v>0</v>
      </c>
      <c r="BF210">
        <v>0</v>
      </c>
      <c r="BG210">
        <v>0</v>
      </c>
      <c r="BH210">
        <v>0</v>
      </c>
      <c r="BI210">
        <v>0</v>
      </c>
      <c r="BJ210">
        <v>0</v>
      </c>
      <c r="BK210">
        <v>1</v>
      </c>
      <c r="BL210">
        <v>0</v>
      </c>
      <c r="BM210">
        <v>0</v>
      </c>
      <c r="BN210">
        <v>0</v>
      </c>
      <c r="BO210">
        <v>1</v>
      </c>
      <c r="BP210">
        <v>0</v>
      </c>
      <c r="BQ210">
        <v>0</v>
      </c>
      <c r="BR210">
        <v>0</v>
      </c>
      <c r="BS210">
        <v>0</v>
      </c>
      <c r="BU210">
        <v>9</v>
      </c>
      <c r="BV210">
        <v>2</v>
      </c>
      <c r="BW210" t="s">
        <v>1049</v>
      </c>
      <c r="BX210">
        <v>3</v>
      </c>
      <c r="BY210">
        <v>3</v>
      </c>
      <c r="DI210">
        <v>0</v>
      </c>
      <c r="DJ210">
        <v>1</v>
      </c>
      <c r="DK210">
        <v>1</v>
      </c>
      <c r="DL210">
        <v>0</v>
      </c>
      <c r="DM210">
        <v>0</v>
      </c>
      <c r="DN210">
        <v>1</v>
      </c>
      <c r="DO210">
        <v>0</v>
      </c>
      <c r="DP210">
        <v>0</v>
      </c>
      <c r="DQ210">
        <v>0</v>
      </c>
      <c r="DR210">
        <v>0</v>
      </c>
      <c r="DT210">
        <v>0</v>
      </c>
      <c r="DU210">
        <v>1</v>
      </c>
      <c r="DV210">
        <v>0</v>
      </c>
      <c r="DW210">
        <v>1</v>
      </c>
      <c r="DX210">
        <v>0</v>
      </c>
      <c r="DY210">
        <v>0</v>
      </c>
      <c r="DZ210">
        <v>0</v>
      </c>
      <c r="EA210">
        <v>0</v>
      </c>
      <c r="EB210">
        <v>0</v>
      </c>
      <c r="EC210">
        <v>0</v>
      </c>
      <c r="ED210">
        <v>1</v>
      </c>
      <c r="EE210">
        <v>0</v>
      </c>
      <c r="EF210">
        <v>0</v>
      </c>
      <c r="EI210" t="s">
        <v>274</v>
      </c>
      <c r="EJ210">
        <v>1</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IG210">
        <v>1</v>
      </c>
      <c r="IH210">
        <v>1</v>
      </c>
      <c r="II210">
        <v>0</v>
      </c>
      <c r="IJ210">
        <v>0</v>
      </c>
      <c r="IK210">
        <v>0</v>
      </c>
      <c r="IL210">
        <v>0</v>
      </c>
      <c r="IM210">
        <v>1</v>
      </c>
      <c r="IN210">
        <v>0</v>
      </c>
      <c r="IO210">
        <v>0</v>
      </c>
      <c r="IP210">
        <v>0</v>
      </c>
      <c r="IQ210">
        <v>0</v>
      </c>
      <c r="IS210">
        <v>1</v>
      </c>
      <c r="IT210">
        <v>0</v>
      </c>
      <c r="IU210">
        <v>1</v>
      </c>
      <c r="IV210">
        <v>0</v>
      </c>
      <c r="IW210">
        <v>0</v>
      </c>
    </row>
    <row r="211" spans="1:258" x14ac:dyDescent="0.35">
      <c r="A211">
        <v>379378</v>
      </c>
      <c r="C211">
        <v>1</v>
      </c>
      <c r="D211" t="s">
        <v>1050</v>
      </c>
      <c r="E211" t="s">
        <v>1051</v>
      </c>
      <c r="F211" t="s">
        <v>1052</v>
      </c>
      <c r="G211">
        <v>7</v>
      </c>
      <c r="I211">
        <v>1</v>
      </c>
      <c r="J211">
        <v>0</v>
      </c>
      <c r="K211">
        <v>0</v>
      </c>
      <c r="L211">
        <v>1</v>
      </c>
      <c r="M211">
        <v>0</v>
      </c>
      <c r="N211">
        <v>1</v>
      </c>
      <c r="O211">
        <v>1</v>
      </c>
      <c r="P211">
        <v>0</v>
      </c>
      <c r="Q211">
        <v>0</v>
      </c>
      <c r="R211">
        <v>1</v>
      </c>
      <c r="T211">
        <v>1</v>
      </c>
      <c r="U211">
        <v>1</v>
      </c>
      <c r="V211">
        <v>0</v>
      </c>
      <c r="W211">
        <v>10</v>
      </c>
      <c r="X211">
        <v>48</v>
      </c>
      <c r="Z211">
        <v>10</v>
      </c>
      <c r="AA211">
        <v>48</v>
      </c>
      <c r="AC211">
        <v>1</v>
      </c>
      <c r="AD211">
        <v>1</v>
      </c>
      <c r="AE211">
        <v>0</v>
      </c>
      <c r="AF211">
        <v>0</v>
      </c>
      <c r="AG211">
        <v>0</v>
      </c>
      <c r="AH211">
        <v>0</v>
      </c>
      <c r="AJ211">
        <v>1</v>
      </c>
      <c r="AL211">
        <v>2</v>
      </c>
      <c r="AN211">
        <v>1</v>
      </c>
      <c r="AO211">
        <v>1</v>
      </c>
      <c r="AP211">
        <v>4</v>
      </c>
      <c r="AQ211">
        <v>1</v>
      </c>
      <c r="AR211">
        <v>4</v>
      </c>
      <c r="AS211">
        <v>1</v>
      </c>
      <c r="AT211">
        <v>1</v>
      </c>
      <c r="AU211">
        <v>2</v>
      </c>
      <c r="BC211">
        <v>0</v>
      </c>
      <c r="BD211">
        <v>0</v>
      </c>
      <c r="BE211">
        <v>0</v>
      </c>
      <c r="BF211">
        <v>1</v>
      </c>
      <c r="BG211">
        <v>0</v>
      </c>
      <c r="BH211">
        <v>0</v>
      </c>
      <c r="BI211">
        <v>0</v>
      </c>
      <c r="BJ211">
        <v>0</v>
      </c>
      <c r="BK211">
        <v>1</v>
      </c>
      <c r="BL211">
        <v>0</v>
      </c>
      <c r="BM211">
        <v>1</v>
      </c>
      <c r="BN211">
        <v>1</v>
      </c>
      <c r="BO211">
        <v>0</v>
      </c>
      <c r="BP211">
        <v>0</v>
      </c>
      <c r="BQ211">
        <v>0</v>
      </c>
      <c r="BR211">
        <v>1</v>
      </c>
      <c r="BS211">
        <v>0</v>
      </c>
      <c r="BU211">
        <v>16</v>
      </c>
      <c r="BV211">
        <v>4</v>
      </c>
      <c r="BX211">
        <v>5</v>
      </c>
      <c r="BY211">
        <v>5</v>
      </c>
      <c r="DI211">
        <v>0</v>
      </c>
      <c r="DJ211">
        <v>1</v>
      </c>
      <c r="DK211">
        <v>1</v>
      </c>
      <c r="DL211">
        <v>0</v>
      </c>
      <c r="DM211">
        <v>0</v>
      </c>
      <c r="DN211">
        <v>1</v>
      </c>
      <c r="DO211">
        <v>0</v>
      </c>
      <c r="DP211">
        <v>0</v>
      </c>
      <c r="DQ211">
        <v>0</v>
      </c>
      <c r="DR211">
        <v>0</v>
      </c>
      <c r="DT211">
        <v>0</v>
      </c>
      <c r="DU211">
        <v>1</v>
      </c>
      <c r="DV211">
        <v>0</v>
      </c>
      <c r="DW211">
        <v>0</v>
      </c>
      <c r="DX211">
        <v>0</v>
      </c>
      <c r="DY211">
        <v>0</v>
      </c>
      <c r="DZ211">
        <v>0</v>
      </c>
      <c r="EA211">
        <v>0</v>
      </c>
      <c r="EB211">
        <v>0</v>
      </c>
      <c r="EC211">
        <v>0</v>
      </c>
      <c r="ED211">
        <v>0</v>
      </c>
      <c r="EE211">
        <v>0</v>
      </c>
      <c r="EF211">
        <v>0</v>
      </c>
      <c r="EI211" t="s">
        <v>274</v>
      </c>
      <c r="EJ211">
        <v>1</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IG211">
        <v>1</v>
      </c>
      <c r="IH211">
        <v>0</v>
      </c>
      <c r="II211">
        <v>1</v>
      </c>
      <c r="IJ211">
        <v>0</v>
      </c>
      <c r="IK211">
        <v>0</v>
      </c>
      <c r="IL211">
        <v>0</v>
      </c>
      <c r="IM211">
        <v>1</v>
      </c>
      <c r="IN211">
        <v>0</v>
      </c>
      <c r="IO211">
        <v>0</v>
      </c>
      <c r="IP211">
        <v>0</v>
      </c>
      <c r="IQ211">
        <v>0</v>
      </c>
      <c r="IS211">
        <v>2</v>
      </c>
    </row>
    <row r="212" spans="1:258" x14ac:dyDescent="0.35">
      <c r="A212">
        <v>405234</v>
      </c>
      <c r="C212">
        <v>1</v>
      </c>
      <c r="D212" t="s">
        <v>1053</v>
      </c>
      <c r="E212" t="s">
        <v>1054</v>
      </c>
      <c r="F212" t="s">
        <v>1052</v>
      </c>
      <c r="G212">
        <v>3</v>
      </c>
      <c r="I212">
        <v>1</v>
      </c>
      <c r="J212">
        <v>1</v>
      </c>
      <c r="K212">
        <v>1</v>
      </c>
      <c r="L212">
        <v>0</v>
      </c>
      <c r="M212">
        <v>0</v>
      </c>
      <c r="N212">
        <v>0</v>
      </c>
      <c r="O212">
        <v>0</v>
      </c>
      <c r="P212">
        <v>1</v>
      </c>
      <c r="Q212">
        <v>0</v>
      </c>
      <c r="R212">
        <v>1</v>
      </c>
      <c r="T212">
        <v>1</v>
      </c>
      <c r="U212">
        <v>1</v>
      </c>
      <c r="V212">
        <v>0</v>
      </c>
      <c r="W212">
        <v>3</v>
      </c>
      <c r="X212">
        <v>14</v>
      </c>
      <c r="Z212">
        <v>3</v>
      </c>
      <c r="AA212">
        <v>14</v>
      </c>
      <c r="AC212">
        <v>1</v>
      </c>
      <c r="AD212">
        <v>1</v>
      </c>
      <c r="AE212">
        <v>0</v>
      </c>
      <c r="AF212">
        <v>0</v>
      </c>
      <c r="AG212">
        <v>0</v>
      </c>
      <c r="AH212">
        <v>0</v>
      </c>
      <c r="AJ212">
        <v>1</v>
      </c>
      <c r="AL212">
        <v>1</v>
      </c>
      <c r="AN212">
        <v>1</v>
      </c>
      <c r="AO212">
        <v>1</v>
      </c>
      <c r="AP212">
        <v>3</v>
      </c>
      <c r="AQ212">
        <v>1</v>
      </c>
      <c r="AR212">
        <v>1</v>
      </c>
      <c r="AS212">
        <v>2</v>
      </c>
      <c r="AT212">
        <v>1</v>
      </c>
      <c r="AU212">
        <v>2</v>
      </c>
      <c r="BC212">
        <v>0</v>
      </c>
      <c r="BD212">
        <v>0</v>
      </c>
      <c r="BE212">
        <v>1</v>
      </c>
      <c r="BF212">
        <v>0</v>
      </c>
      <c r="BG212">
        <v>1</v>
      </c>
      <c r="BH212">
        <v>0</v>
      </c>
      <c r="BI212">
        <v>0</v>
      </c>
      <c r="BJ212">
        <v>0</v>
      </c>
      <c r="BK212">
        <v>1</v>
      </c>
      <c r="BL212">
        <v>0</v>
      </c>
      <c r="BM212">
        <v>0</v>
      </c>
      <c r="BN212">
        <v>0</v>
      </c>
      <c r="BO212">
        <v>0</v>
      </c>
      <c r="BP212">
        <v>0</v>
      </c>
      <c r="BQ212">
        <v>0</v>
      </c>
      <c r="BR212">
        <v>0</v>
      </c>
      <c r="BS212">
        <v>0</v>
      </c>
      <c r="BU212">
        <v>9</v>
      </c>
      <c r="BV212">
        <v>4</v>
      </c>
      <c r="BX212">
        <v>6</v>
      </c>
      <c r="BY212">
        <v>3</v>
      </c>
      <c r="DI212">
        <v>0</v>
      </c>
      <c r="DJ212">
        <v>1</v>
      </c>
      <c r="DK212">
        <v>1</v>
      </c>
      <c r="DL212">
        <v>1</v>
      </c>
      <c r="DM212">
        <v>0</v>
      </c>
      <c r="DN212">
        <v>0</v>
      </c>
      <c r="DO212">
        <v>0</v>
      </c>
      <c r="DP212">
        <v>1</v>
      </c>
      <c r="DQ212">
        <v>0</v>
      </c>
      <c r="DR212">
        <v>0</v>
      </c>
      <c r="DT212">
        <v>0</v>
      </c>
      <c r="DU212">
        <v>1</v>
      </c>
      <c r="DV212">
        <v>0</v>
      </c>
      <c r="DW212">
        <v>0</v>
      </c>
      <c r="DX212">
        <v>1</v>
      </c>
      <c r="DY212">
        <v>0</v>
      </c>
      <c r="DZ212">
        <v>0</v>
      </c>
      <c r="EA212">
        <v>0</v>
      </c>
      <c r="EB212">
        <v>0</v>
      </c>
      <c r="EC212">
        <v>1</v>
      </c>
      <c r="ED212">
        <v>0</v>
      </c>
      <c r="EE212">
        <v>0</v>
      </c>
      <c r="EF212">
        <v>0</v>
      </c>
      <c r="EI212" t="s">
        <v>421</v>
      </c>
      <c r="EJ212">
        <v>1</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GJ212" t="s">
        <v>1055</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1</v>
      </c>
      <c r="HK212">
        <v>0</v>
      </c>
      <c r="HL212">
        <v>0</v>
      </c>
      <c r="HM212">
        <v>0</v>
      </c>
      <c r="HN212">
        <v>0</v>
      </c>
      <c r="HO212">
        <v>0</v>
      </c>
      <c r="HP212">
        <v>0</v>
      </c>
      <c r="HQ212">
        <v>0</v>
      </c>
      <c r="HR212">
        <v>0</v>
      </c>
      <c r="HS212">
        <v>0</v>
      </c>
      <c r="HT212">
        <v>0</v>
      </c>
      <c r="HU212">
        <v>0</v>
      </c>
      <c r="HV212">
        <v>0</v>
      </c>
      <c r="HW212">
        <v>0</v>
      </c>
      <c r="HX212">
        <v>0</v>
      </c>
      <c r="HY212">
        <v>0</v>
      </c>
      <c r="HZ212">
        <v>0</v>
      </c>
      <c r="IA212">
        <v>0</v>
      </c>
      <c r="IB212">
        <v>0</v>
      </c>
      <c r="IC212">
        <v>0</v>
      </c>
      <c r="ID212">
        <v>0</v>
      </c>
      <c r="IG212">
        <v>1</v>
      </c>
      <c r="IH212">
        <v>0</v>
      </c>
      <c r="II212">
        <v>1</v>
      </c>
      <c r="IJ212">
        <v>0</v>
      </c>
      <c r="IK212">
        <v>1</v>
      </c>
      <c r="IL212">
        <v>0</v>
      </c>
      <c r="IM212">
        <v>0</v>
      </c>
      <c r="IN212">
        <v>0</v>
      </c>
      <c r="IO212">
        <v>0</v>
      </c>
      <c r="IP212">
        <v>0</v>
      </c>
      <c r="IQ212">
        <v>0</v>
      </c>
      <c r="IS212">
        <v>2</v>
      </c>
    </row>
    <row r="213" spans="1:258" x14ac:dyDescent="0.35">
      <c r="A213">
        <v>392892</v>
      </c>
      <c r="C213">
        <v>1</v>
      </c>
      <c r="D213" t="s">
        <v>1056</v>
      </c>
      <c r="E213" t="s">
        <v>1057</v>
      </c>
      <c r="F213" t="s">
        <v>1052</v>
      </c>
      <c r="G213">
        <v>15</v>
      </c>
      <c r="H213" t="s">
        <v>1058</v>
      </c>
      <c r="I213">
        <v>1</v>
      </c>
      <c r="J213">
        <v>0</v>
      </c>
      <c r="K213">
        <v>1</v>
      </c>
      <c r="L213">
        <v>1</v>
      </c>
      <c r="M213">
        <v>1</v>
      </c>
      <c r="N213">
        <v>0</v>
      </c>
      <c r="O213">
        <v>0</v>
      </c>
      <c r="P213">
        <v>0</v>
      </c>
      <c r="Q213">
        <v>0</v>
      </c>
      <c r="R213">
        <v>1</v>
      </c>
      <c r="T213">
        <v>0</v>
      </c>
      <c r="U213">
        <v>1</v>
      </c>
      <c r="V213">
        <v>0</v>
      </c>
      <c r="X213">
        <v>36</v>
      </c>
      <c r="AA213">
        <v>36</v>
      </c>
      <c r="AC213">
        <v>1</v>
      </c>
      <c r="AD213">
        <v>1</v>
      </c>
      <c r="AE213">
        <v>0</v>
      </c>
      <c r="AF213">
        <v>0</v>
      </c>
      <c r="AG213">
        <v>0</v>
      </c>
      <c r="AH213">
        <v>0</v>
      </c>
      <c r="AJ213">
        <v>1</v>
      </c>
      <c r="AL213">
        <v>2</v>
      </c>
      <c r="AN213">
        <v>1</v>
      </c>
      <c r="AO213">
        <v>1</v>
      </c>
      <c r="AP213">
        <v>4</v>
      </c>
      <c r="AQ213">
        <v>1</v>
      </c>
      <c r="AR213">
        <v>5</v>
      </c>
      <c r="AS213">
        <v>1</v>
      </c>
      <c r="AT213">
        <v>1</v>
      </c>
      <c r="AU213">
        <v>2</v>
      </c>
      <c r="BC213">
        <v>1</v>
      </c>
      <c r="BD213">
        <v>1</v>
      </c>
      <c r="BE213">
        <v>1</v>
      </c>
      <c r="BF213">
        <v>0</v>
      </c>
      <c r="BG213">
        <v>0</v>
      </c>
      <c r="BH213">
        <v>1</v>
      </c>
      <c r="BI213">
        <v>1</v>
      </c>
      <c r="BJ213">
        <v>0</v>
      </c>
      <c r="BK213">
        <v>1</v>
      </c>
      <c r="BL213">
        <v>0</v>
      </c>
      <c r="BM213">
        <v>1</v>
      </c>
      <c r="BN213">
        <v>0</v>
      </c>
      <c r="BO213">
        <v>0</v>
      </c>
      <c r="BP213">
        <v>0</v>
      </c>
      <c r="BQ213">
        <v>0</v>
      </c>
      <c r="BR213">
        <v>0</v>
      </c>
      <c r="BS213">
        <v>0</v>
      </c>
      <c r="BU213">
        <v>6</v>
      </c>
      <c r="BV213">
        <v>4</v>
      </c>
      <c r="BX213">
        <v>1</v>
      </c>
      <c r="BY213">
        <v>6</v>
      </c>
      <c r="DI213">
        <v>0</v>
      </c>
      <c r="DJ213">
        <v>0</v>
      </c>
      <c r="DK213">
        <v>0</v>
      </c>
      <c r="DL213">
        <v>0</v>
      </c>
      <c r="DM213">
        <v>0</v>
      </c>
      <c r="DN213">
        <v>1</v>
      </c>
      <c r="DO213">
        <v>0</v>
      </c>
      <c r="DP213">
        <v>0</v>
      </c>
      <c r="DQ213">
        <v>0</v>
      </c>
      <c r="DR213">
        <v>0</v>
      </c>
      <c r="DT213">
        <v>0</v>
      </c>
      <c r="DU213">
        <v>0</v>
      </c>
      <c r="DV213">
        <v>0</v>
      </c>
      <c r="DW213">
        <v>1</v>
      </c>
      <c r="DX213">
        <v>0</v>
      </c>
      <c r="DY213">
        <v>0</v>
      </c>
      <c r="DZ213">
        <v>0</v>
      </c>
      <c r="EA213">
        <v>0</v>
      </c>
      <c r="EB213">
        <v>0</v>
      </c>
      <c r="EC213">
        <v>0</v>
      </c>
      <c r="ED213">
        <v>0</v>
      </c>
      <c r="EE213">
        <v>0</v>
      </c>
      <c r="EF213">
        <v>0</v>
      </c>
      <c r="IG213">
        <v>0</v>
      </c>
      <c r="IH213">
        <v>0</v>
      </c>
      <c r="II213">
        <v>1</v>
      </c>
      <c r="IJ213">
        <v>0</v>
      </c>
      <c r="IK213">
        <v>0</v>
      </c>
      <c r="IL213">
        <v>0</v>
      </c>
      <c r="IM213">
        <v>0</v>
      </c>
      <c r="IN213">
        <v>0</v>
      </c>
      <c r="IO213">
        <v>0</v>
      </c>
      <c r="IP213">
        <v>0</v>
      </c>
      <c r="IQ213">
        <v>0</v>
      </c>
      <c r="IS213">
        <v>2</v>
      </c>
    </row>
    <row r="214" spans="1:258" x14ac:dyDescent="0.35">
      <c r="A214">
        <v>405202</v>
      </c>
      <c r="C214">
        <v>1</v>
      </c>
      <c r="D214" t="s">
        <v>1059</v>
      </c>
      <c r="E214" t="s">
        <v>1060</v>
      </c>
      <c r="F214" t="s">
        <v>1061</v>
      </c>
      <c r="G214">
        <v>3</v>
      </c>
      <c r="I214">
        <v>1</v>
      </c>
      <c r="J214">
        <v>1</v>
      </c>
      <c r="K214">
        <v>1</v>
      </c>
      <c r="L214">
        <v>0</v>
      </c>
      <c r="M214">
        <v>0</v>
      </c>
      <c r="N214">
        <v>0</v>
      </c>
      <c r="O214">
        <v>0</v>
      </c>
      <c r="P214">
        <v>0</v>
      </c>
      <c r="Q214">
        <v>0</v>
      </c>
      <c r="R214">
        <v>1</v>
      </c>
      <c r="T214">
        <v>1</v>
      </c>
      <c r="U214">
        <v>1</v>
      </c>
      <c r="V214">
        <v>0</v>
      </c>
      <c r="W214">
        <v>45</v>
      </c>
      <c r="X214">
        <v>45</v>
      </c>
      <c r="Z214">
        <v>45</v>
      </c>
      <c r="AA214">
        <v>45</v>
      </c>
      <c r="AC214">
        <v>1</v>
      </c>
      <c r="AD214">
        <v>1</v>
      </c>
      <c r="AE214">
        <v>0</v>
      </c>
      <c r="AF214">
        <v>0</v>
      </c>
      <c r="AG214">
        <v>0</v>
      </c>
      <c r="AH214">
        <v>0</v>
      </c>
      <c r="AJ214">
        <v>2</v>
      </c>
      <c r="AL214">
        <v>1</v>
      </c>
      <c r="AN214">
        <v>1</v>
      </c>
      <c r="AO214">
        <v>1</v>
      </c>
      <c r="AP214">
        <v>5</v>
      </c>
      <c r="AQ214">
        <v>2</v>
      </c>
      <c r="AS214">
        <v>2</v>
      </c>
      <c r="AT214">
        <v>1</v>
      </c>
      <c r="AU214">
        <v>1</v>
      </c>
      <c r="AV214">
        <v>1</v>
      </c>
      <c r="AW214">
        <v>0</v>
      </c>
      <c r="AX214">
        <v>0</v>
      </c>
      <c r="AY214">
        <v>0</v>
      </c>
      <c r="AZ214">
        <v>0</v>
      </c>
      <c r="BA214">
        <v>0</v>
      </c>
      <c r="BC214">
        <v>0</v>
      </c>
      <c r="BD214">
        <v>1</v>
      </c>
      <c r="BE214">
        <v>0</v>
      </c>
      <c r="BF214">
        <v>0</v>
      </c>
      <c r="BG214">
        <v>0</v>
      </c>
      <c r="BH214">
        <v>0</v>
      </c>
      <c r="BI214">
        <v>0</v>
      </c>
      <c r="BJ214">
        <v>0</v>
      </c>
      <c r="BK214">
        <v>1</v>
      </c>
      <c r="BL214">
        <v>1</v>
      </c>
      <c r="BM214">
        <v>0</v>
      </c>
      <c r="BN214">
        <v>0</v>
      </c>
      <c r="BO214">
        <v>0</v>
      </c>
      <c r="BP214">
        <v>0</v>
      </c>
      <c r="BQ214">
        <v>0</v>
      </c>
      <c r="BR214">
        <v>0</v>
      </c>
      <c r="BS214">
        <v>0</v>
      </c>
      <c r="BU214">
        <v>2</v>
      </c>
      <c r="BV214">
        <v>3</v>
      </c>
    </row>
    <row r="215" spans="1:258" x14ac:dyDescent="0.35">
      <c r="A215">
        <v>405451</v>
      </c>
      <c r="C215">
        <v>1</v>
      </c>
      <c r="D215" t="s">
        <v>1062</v>
      </c>
      <c r="E215" t="s">
        <v>1063</v>
      </c>
      <c r="F215" t="s">
        <v>1064</v>
      </c>
      <c r="G215">
        <v>4</v>
      </c>
      <c r="I215">
        <v>0</v>
      </c>
      <c r="J215">
        <v>0</v>
      </c>
      <c r="K215">
        <v>0</v>
      </c>
      <c r="L215">
        <v>0</v>
      </c>
      <c r="M215">
        <v>0</v>
      </c>
      <c r="N215">
        <v>0</v>
      </c>
      <c r="O215">
        <v>1</v>
      </c>
      <c r="P215">
        <v>0</v>
      </c>
      <c r="Q215">
        <v>0</v>
      </c>
      <c r="R215">
        <v>1</v>
      </c>
      <c r="T215">
        <v>1</v>
      </c>
      <c r="U215">
        <v>1</v>
      </c>
      <c r="V215">
        <v>1</v>
      </c>
      <c r="W215">
        <v>7</v>
      </c>
      <c r="X215">
        <v>101</v>
      </c>
      <c r="Y215">
        <v>0</v>
      </c>
      <c r="Z215">
        <v>7</v>
      </c>
      <c r="AA215">
        <v>101</v>
      </c>
      <c r="AC215">
        <v>1</v>
      </c>
      <c r="AD215">
        <v>0</v>
      </c>
      <c r="AE215">
        <v>0</v>
      </c>
      <c r="AF215">
        <v>0</v>
      </c>
      <c r="AG215">
        <v>0</v>
      </c>
      <c r="AH215">
        <v>0</v>
      </c>
      <c r="AJ215">
        <v>1</v>
      </c>
      <c r="AL215">
        <v>2</v>
      </c>
      <c r="AN215">
        <v>1</v>
      </c>
      <c r="AO215">
        <v>1</v>
      </c>
      <c r="AP215">
        <v>4</v>
      </c>
      <c r="AQ215">
        <v>2</v>
      </c>
      <c r="AS215">
        <v>2</v>
      </c>
      <c r="AT215">
        <v>1</v>
      </c>
      <c r="AU215">
        <v>2</v>
      </c>
      <c r="BC215">
        <v>0</v>
      </c>
      <c r="BD215">
        <v>0</v>
      </c>
      <c r="BE215">
        <v>0</v>
      </c>
      <c r="BF215">
        <v>1</v>
      </c>
      <c r="BG215">
        <v>0</v>
      </c>
      <c r="BH215">
        <v>0</v>
      </c>
      <c r="BI215">
        <v>0</v>
      </c>
      <c r="BJ215">
        <v>0</v>
      </c>
      <c r="BK215">
        <v>1</v>
      </c>
      <c r="BL215">
        <v>0</v>
      </c>
      <c r="BM215">
        <v>0</v>
      </c>
      <c r="BN215">
        <v>0</v>
      </c>
      <c r="BO215">
        <v>0</v>
      </c>
      <c r="BP215">
        <v>0</v>
      </c>
      <c r="BQ215">
        <v>0</v>
      </c>
      <c r="BR215">
        <v>1</v>
      </c>
      <c r="BS215">
        <v>0</v>
      </c>
      <c r="BU215">
        <v>16</v>
      </c>
      <c r="BV215">
        <v>4</v>
      </c>
      <c r="BX215">
        <v>4</v>
      </c>
      <c r="BY215">
        <v>4</v>
      </c>
      <c r="DI215">
        <v>0</v>
      </c>
      <c r="DJ215">
        <v>1</v>
      </c>
      <c r="DK215">
        <v>1</v>
      </c>
      <c r="DL215">
        <v>0</v>
      </c>
      <c r="DM215">
        <v>0</v>
      </c>
      <c r="DN215">
        <v>1</v>
      </c>
      <c r="DO215">
        <v>0</v>
      </c>
      <c r="DP215">
        <v>0</v>
      </c>
      <c r="DQ215">
        <v>0</v>
      </c>
      <c r="DR215">
        <v>0</v>
      </c>
      <c r="DT215">
        <v>0</v>
      </c>
      <c r="DU215">
        <v>1</v>
      </c>
      <c r="DV215">
        <v>0</v>
      </c>
      <c r="DW215">
        <v>1</v>
      </c>
      <c r="DX215">
        <v>1</v>
      </c>
      <c r="DY215">
        <v>0</v>
      </c>
      <c r="DZ215">
        <v>0</v>
      </c>
      <c r="EA215">
        <v>0</v>
      </c>
      <c r="EB215">
        <v>1</v>
      </c>
      <c r="EC215">
        <v>0</v>
      </c>
      <c r="ED215">
        <v>1</v>
      </c>
      <c r="EE215">
        <v>0</v>
      </c>
      <c r="EF215">
        <v>0</v>
      </c>
      <c r="EI215" t="s">
        <v>1065</v>
      </c>
      <c r="EJ215">
        <v>1</v>
      </c>
      <c r="EK215">
        <v>1</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IG215">
        <v>0</v>
      </c>
      <c r="IH215">
        <v>0</v>
      </c>
      <c r="II215">
        <v>0</v>
      </c>
      <c r="IJ215">
        <v>0</v>
      </c>
      <c r="IK215">
        <v>0</v>
      </c>
      <c r="IL215">
        <v>0</v>
      </c>
      <c r="IM215">
        <v>0</v>
      </c>
      <c r="IN215">
        <v>0</v>
      </c>
      <c r="IO215">
        <v>0</v>
      </c>
      <c r="IP215">
        <v>0</v>
      </c>
      <c r="IQ215">
        <v>1</v>
      </c>
      <c r="IS215">
        <v>2</v>
      </c>
    </row>
    <row r="216" spans="1:258" x14ac:dyDescent="0.35">
      <c r="A216">
        <v>405448</v>
      </c>
      <c r="C216">
        <v>1</v>
      </c>
      <c r="D216" t="s">
        <v>1066</v>
      </c>
      <c r="E216" t="s">
        <v>1067</v>
      </c>
      <c r="F216" t="s">
        <v>1068</v>
      </c>
      <c r="G216">
        <v>3</v>
      </c>
      <c r="I216">
        <v>1</v>
      </c>
      <c r="J216">
        <v>0</v>
      </c>
      <c r="K216">
        <v>1</v>
      </c>
      <c r="L216">
        <v>0</v>
      </c>
      <c r="M216">
        <v>0</v>
      </c>
      <c r="N216">
        <v>0</v>
      </c>
      <c r="O216">
        <v>0</v>
      </c>
      <c r="P216">
        <v>0</v>
      </c>
      <c r="Q216">
        <v>1</v>
      </c>
      <c r="R216">
        <v>1</v>
      </c>
      <c r="T216">
        <v>1</v>
      </c>
      <c r="U216">
        <v>1</v>
      </c>
      <c r="V216">
        <v>1</v>
      </c>
      <c r="W216">
        <v>10</v>
      </c>
      <c r="X216">
        <v>40</v>
      </c>
      <c r="Y216">
        <v>3</v>
      </c>
      <c r="Z216">
        <v>10</v>
      </c>
      <c r="AA216">
        <v>40</v>
      </c>
      <c r="AB216">
        <v>3</v>
      </c>
      <c r="AC216">
        <v>1</v>
      </c>
      <c r="AD216">
        <v>0</v>
      </c>
      <c r="AE216">
        <v>0</v>
      </c>
      <c r="AF216">
        <v>0</v>
      </c>
      <c r="AG216">
        <v>0</v>
      </c>
      <c r="AH216">
        <v>0</v>
      </c>
      <c r="AJ216">
        <v>1</v>
      </c>
      <c r="AL216">
        <v>1</v>
      </c>
      <c r="AN216">
        <v>2</v>
      </c>
      <c r="AQ216">
        <v>2</v>
      </c>
      <c r="AS216">
        <v>2</v>
      </c>
      <c r="AT216">
        <v>1</v>
      </c>
      <c r="AU216">
        <v>1</v>
      </c>
      <c r="AV216">
        <v>0</v>
      </c>
      <c r="AW216">
        <v>0</v>
      </c>
      <c r="AX216">
        <v>0</v>
      </c>
      <c r="AY216">
        <v>0</v>
      </c>
      <c r="AZ216">
        <v>0</v>
      </c>
      <c r="BA216">
        <v>1</v>
      </c>
      <c r="BB216" t="s">
        <v>1069</v>
      </c>
      <c r="BC216">
        <v>1</v>
      </c>
      <c r="BD216">
        <v>1</v>
      </c>
      <c r="BE216">
        <v>1</v>
      </c>
      <c r="BF216">
        <v>0</v>
      </c>
      <c r="BG216">
        <v>0</v>
      </c>
      <c r="BH216">
        <v>0</v>
      </c>
      <c r="BI216">
        <v>0</v>
      </c>
      <c r="BJ216">
        <v>0</v>
      </c>
      <c r="BK216">
        <v>1</v>
      </c>
      <c r="BL216">
        <v>0</v>
      </c>
      <c r="BM216">
        <v>0</v>
      </c>
      <c r="BN216">
        <v>0</v>
      </c>
      <c r="BO216">
        <v>0</v>
      </c>
      <c r="BP216">
        <v>1</v>
      </c>
      <c r="BQ216">
        <v>0</v>
      </c>
      <c r="BR216">
        <v>0</v>
      </c>
      <c r="BS216">
        <v>0</v>
      </c>
      <c r="BU216">
        <v>1</v>
      </c>
      <c r="BV216">
        <v>4</v>
      </c>
      <c r="BX216">
        <v>2</v>
      </c>
      <c r="BY216">
        <v>2</v>
      </c>
      <c r="DI216">
        <v>0</v>
      </c>
      <c r="DJ216">
        <v>0</v>
      </c>
      <c r="DK216">
        <v>0</v>
      </c>
      <c r="DL216">
        <v>0</v>
      </c>
      <c r="DM216">
        <v>0</v>
      </c>
      <c r="DN216">
        <v>1</v>
      </c>
      <c r="DO216">
        <v>0</v>
      </c>
      <c r="DP216">
        <v>0</v>
      </c>
      <c r="DQ216">
        <v>1</v>
      </c>
      <c r="DR216">
        <v>0</v>
      </c>
      <c r="DS216" t="s">
        <v>1070</v>
      </c>
      <c r="DT216">
        <v>0</v>
      </c>
      <c r="DU216">
        <v>0</v>
      </c>
      <c r="DV216">
        <v>0</v>
      </c>
      <c r="DW216">
        <v>1</v>
      </c>
      <c r="DX216">
        <v>1</v>
      </c>
      <c r="DY216">
        <v>0</v>
      </c>
      <c r="DZ216">
        <v>0</v>
      </c>
      <c r="EA216">
        <v>0</v>
      </c>
      <c r="EB216">
        <v>0</v>
      </c>
      <c r="EC216">
        <v>0</v>
      </c>
      <c r="ED216">
        <v>0</v>
      </c>
      <c r="EE216">
        <v>1</v>
      </c>
      <c r="EF216">
        <v>0</v>
      </c>
      <c r="IE216" t="s">
        <v>1071</v>
      </c>
      <c r="IF216">
        <v>10</v>
      </c>
      <c r="IG216">
        <v>0</v>
      </c>
      <c r="IH216">
        <v>0</v>
      </c>
      <c r="II216">
        <v>1</v>
      </c>
      <c r="IJ216">
        <v>1</v>
      </c>
      <c r="IK216">
        <v>0</v>
      </c>
      <c r="IL216">
        <v>0</v>
      </c>
      <c r="IM216">
        <v>0</v>
      </c>
      <c r="IN216">
        <v>0</v>
      </c>
      <c r="IO216">
        <v>0</v>
      </c>
      <c r="IP216">
        <v>0</v>
      </c>
      <c r="IQ216">
        <v>0</v>
      </c>
      <c r="IS216">
        <v>2</v>
      </c>
    </row>
    <row r="217" spans="1:258" x14ac:dyDescent="0.35">
      <c r="A217">
        <v>405499</v>
      </c>
      <c r="C217">
        <v>1</v>
      </c>
      <c r="D217" t="s">
        <v>1072</v>
      </c>
      <c r="E217" t="s">
        <v>1073</v>
      </c>
      <c r="F217" t="s">
        <v>1068</v>
      </c>
      <c r="G217">
        <v>5</v>
      </c>
      <c r="I217">
        <v>1</v>
      </c>
      <c r="J217">
        <v>1</v>
      </c>
      <c r="K217">
        <v>0</v>
      </c>
      <c r="L217">
        <v>1</v>
      </c>
      <c r="M217">
        <v>1</v>
      </c>
      <c r="N217">
        <v>0</v>
      </c>
      <c r="O217">
        <v>0</v>
      </c>
      <c r="P217">
        <v>0</v>
      </c>
      <c r="Q217">
        <v>0</v>
      </c>
      <c r="R217">
        <v>2</v>
      </c>
      <c r="T217">
        <v>1</v>
      </c>
      <c r="U217">
        <v>1</v>
      </c>
      <c r="V217">
        <v>1</v>
      </c>
      <c r="W217">
        <v>1</v>
      </c>
      <c r="X217">
        <v>3</v>
      </c>
      <c r="Y217">
        <v>1</v>
      </c>
      <c r="Z217">
        <v>1</v>
      </c>
      <c r="AA217">
        <v>3</v>
      </c>
      <c r="AB217">
        <v>1</v>
      </c>
      <c r="AC217">
        <v>1</v>
      </c>
      <c r="AD217">
        <v>1</v>
      </c>
      <c r="AE217">
        <v>0</v>
      </c>
      <c r="AF217">
        <v>0</v>
      </c>
      <c r="AG217">
        <v>0</v>
      </c>
      <c r="AH217">
        <v>0</v>
      </c>
      <c r="AJ217">
        <v>1</v>
      </c>
      <c r="AL217">
        <v>5</v>
      </c>
      <c r="AM217" t="s">
        <v>1074</v>
      </c>
      <c r="AN217">
        <v>1</v>
      </c>
      <c r="AO217">
        <v>1</v>
      </c>
      <c r="AP217">
        <v>4</v>
      </c>
      <c r="AQ217">
        <v>1</v>
      </c>
      <c r="AR217">
        <v>4</v>
      </c>
      <c r="AS217">
        <v>1</v>
      </c>
      <c r="AT217">
        <v>1</v>
      </c>
      <c r="AU217">
        <v>2</v>
      </c>
      <c r="BC217">
        <v>0</v>
      </c>
      <c r="BD217">
        <v>0</v>
      </c>
      <c r="BE217">
        <v>0</v>
      </c>
      <c r="BF217">
        <v>0</v>
      </c>
      <c r="BG217">
        <v>0</v>
      </c>
      <c r="BH217">
        <v>0</v>
      </c>
      <c r="BI217">
        <v>0</v>
      </c>
      <c r="BJ217">
        <v>0</v>
      </c>
      <c r="BK217">
        <v>0</v>
      </c>
      <c r="BL217">
        <v>0</v>
      </c>
      <c r="BM217">
        <v>0</v>
      </c>
      <c r="BN217">
        <v>0</v>
      </c>
      <c r="BO217">
        <v>0</v>
      </c>
      <c r="BP217">
        <v>0</v>
      </c>
      <c r="BQ217">
        <v>0</v>
      </c>
      <c r="BR217">
        <v>1</v>
      </c>
      <c r="BS217">
        <v>0</v>
      </c>
      <c r="BU217">
        <v>16</v>
      </c>
      <c r="BV217">
        <v>4</v>
      </c>
      <c r="BX217">
        <v>6</v>
      </c>
      <c r="BY217">
        <v>6</v>
      </c>
      <c r="DI217">
        <v>0</v>
      </c>
      <c r="DJ217">
        <v>0</v>
      </c>
      <c r="DK217">
        <v>1</v>
      </c>
      <c r="DL217">
        <v>1</v>
      </c>
      <c r="DM217">
        <v>1</v>
      </c>
      <c r="DN217">
        <v>1</v>
      </c>
      <c r="DO217">
        <v>1</v>
      </c>
      <c r="DP217">
        <v>1</v>
      </c>
      <c r="DQ217">
        <v>0</v>
      </c>
      <c r="DR217">
        <v>0</v>
      </c>
      <c r="DT217">
        <v>0</v>
      </c>
      <c r="DU217">
        <v>1</v>
      </c>
      <c r="DV217">
        <v>1</v>
      </c>
      <c r="DW217">
        <v>1</v>
      </c>
      <c r="DX217">
        <v>1</v>
      </c>
      <c r="DY217">
        <v>0</v>
      </c>
      <c r="DZ217">
        <v>0</v>
      </c>
      <c r="EA217">
        <v>1</v>
      </c>
      <c r="EB217">
        <v>0</v>
      </c>
      <c r="EC217">
        <v>1</v>
      </c>
      <c r="ED217">
        <v>1</v>
      </c>
      <c r="EE217">
        <v>0</v>
      </c>
      <c r="EF217">
        <v>0</v>
      </c>
      <c r="EI217" t="s">
        <v>1075</v>
      </c>
      <c r="EJ217">
        <v>1</v>
      </c>
      <c r="EK217">
        <v>1</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t="s">
        <v>1076</v>
      </c>
      <c r="FG217">
        <v>0</v>
      </c>
      <c r="FH217">
        <v>0</v>
      </c>
      <c r="FI217">
        <v>0</v>
      </c>
      <c r="FJ217">
        <v>0</v>
      </c>
      <c r="FK217">
        <v>0</v>
      </c>
      <c r="FL217">
        <v>0</v>
      </c>
      <c r="FM217">
        <v>0</v>
      </c>
      <c r="FN217">
        <v>0</v>
      </c>
      <c r="FO217">
        <v>0</v>
      </c>
      <c r="FP217">
        <v>1</v>
      </c>
      <c r="FQ217">
        <v>1</v>
      </c>
      <c r="FR217">
        <v>0</v>
      </c>
      <c r="FS217">
        <v>0</v>
      </c>
      <c r="FT217">
        <v>0</v>
      </c>
      <c r="FU217">
        <v>0</v>
      </c>
      <c r="FV217">
        <v>0</v>
      </c>
      <c r="FW217">
        <v>0</v>
      </c>
      <c r="FX217">
        <v>0</v>
      </c>
      <c r="FY217">
        <v>0</v>
      </c>
      <c r="GJ217" t="s">
        <v>1077</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1</v>
      </c>
      <c r="HD217">
        <v>0</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0</v>
      </c>
      <c r="HZ217">
        <v>0</v>
      </c>
      <c r="IA217">
        <v>0</v>
      </c>
      <c r="IB217">
        <v>0</v>
      </c>
      <c r="IC217">
        <v>0</v>
      </c>
      <c r="ID217">
        <v>0</v>
      </c>
      <c r="IG217">
        <v>1</v>
      </c>
      <c r="IH217">
        <v>1</v>
      </c>
      <c r="II217">
        <v>1</v>
      </c>
      <c r="IJ217">
        <v>0</v>
      </c>
      <c r="IK217">
        <v>0</v>
      </c>
      <c r="IL217">
        <v>0</v>
      </c>
      <c r="IM217">
        <v>0</v>
      </c>
      <c r="IN217">
        <v>0</v>
      </c>
      <c r="IO217">
        <v>0</v>
      </c>
      <c r="IP217">
        <v>0</v>
      </c>
      <c r="IQ217">
        <v>0</v>
      </c>
      <c r="IS217">
        <v>2</v>
      </c>
    </row>
    <row r="218" spans="1:258" x14ac:dyDescent="0.35">
      <c r="A218">
        <v>370551</v>
      </c>
      <c r="C218">
        <v>1</v>
      </c>
      <c r="D218" t="s">
        <v>1078</v>
      </c>
      <c r="E218" t="s">
        <v>1079</v>
      </c>
      <c r="F218" t="s">
        <v>1068</v>
      </c>
      <c r="G218">
        <v>3</v>
      </c>
      <c r="I218">
        <v>1</v>
      </c>
      <c r="J218">
        <v>0</v>
      </c>
      <c r="K218">
        <v>1</v>
      </c>
      <c r="L218">
        <v>0</v>
      </c>
      <c r="M218">
        <v>0</v>
      </c>
      <c r="N218">
        <v>0</v>
      </c>
      <c r="O218">
        <v>0</v>
      </c>
      <c r="P218">
        <v>1</v>
      </c>
      <c r="Q218">
        <v>0</v>
      </c>
      <c r="R218">
        <v>1</v>
      </c>
      <c r="T218">
        <v>1</v>
      </c>
      <c r="U218">
        <v>1</v>
      </c>
      <c r="V218">
        <v>1</v>
      </c>
      <c r="W218">
        <v>0</v>
      </c>
      <c r="X218">
        <v>5</v>
      </c>
      <c r="Y218">
        <v>19</v>
      </c>
      <c r="AA218">
        <v>5</v>
      </c>
      <c r="AB218">
        <v>19</v>
      </c>
      <c r="AC218">
        <v>1</v>
      </c>
      <c r="AD218">
        <v>0</v>
      </c>
      <c r="AE218">
        <v>0</v>
      </c>
      <c r="AF218">
        <v>0</v>
      </c>
      <c r="AG218">
        <v>0</v>
      </c>
      <c r="AH218">
        <v>0</v>
      </c>
      <c r="AJ218">
        <v>1</v>
      </c>
      <c r="AL218">
        <v>1</v>
      </c>
      <c r="AN218">
        <v>1</v>
      </c>
      <c r="AO218">
        <v>1</v>
      </c>
      <c r="AP218">
        <v>5</v>
      </c>
      <c r="AQ218">
        <v>1</v>
      </c>
      <c r="AR218">
        <v>4</v>
      </c>
      <c r="AS218">
        <v>2</v>
      </c>
      <c r="AT218">
        <v>1</v>
      </c>
      <c r="AU218">
        <v>2</v>
      </c>
      <c r="BC218">
        <v>0</v>
      </c>
      <c r="BD218">
        <v>0</v>
      </c>
      <c r="BE218">
        <v>1</v>
      </c>
      <c r="BF218">
        <v>0</v>
      </c>
      <c r="BG218">
        <v>0</v>
      </c>
      <c r="BH218">
        <v>1</v>
      </c>
      <c r="BI218">
        <v>0</v>
      </c>
      <c r="BJ218">
        <v>1</v>
      </c>
      <c r="BK218">
        <v>0</v>
      </c>
      <c r="BL218">
        <v>0</v>
      </c>
      <c r="BM218">
        <v>1</v>
      </c>
      <c r="BN218">
        <v>1</v>
      </c>
      <c r="BO218">
        <v>1</v>
      </c>
      <c r="BP218">
        <v>1</v>
      </c>
      <c r="BQ218">
        <v>0</v>
      </c>
      <c r="BR218">
        <v>1</v>
      </c>
      <c r="BS218">
        <v>0</v>
      </c>
      <c r="BU218">
        <v>3</v>
      </c>
      <c r="BV218">
        <v>4</v>
      </c>
      <c r="BX218">
        <v>3</v>
      </c>
      <c r="BY218">
        <v>3</v>
      </c>
      <c r="DI218">
        <v>0</v>
      </c>
      <c r="DJ218">
        <v>1</v>
      </c>
      <c r="DK218">
        <v>1</v>
      </c>
      <c r="DL218">
        <v>1</v>
      </c>
      <c r="DM218">
        <v>0</v>
      </c>
      <c r="DN218">
        <v>0</v>
      </c>
      <c r="DO218">
        <v>0</v>
      </c>
      <c r="DP218">
        <v>0</v>
      </c>
      <c r="DQ218">
        <v>1</v>
      </c>
      <c r="DR218">
        <v>0</v>
      </c>
      <c r="DS218" t="s">
        <v>1080</v>
      </c>
      <c r="DT218">
        <v>0</v>
      </c>
      <c r="DU218">
        <v>1</v>
      </c>
      <c r="DV218">
        <v>0</v>
      </c>
      <c r="DW218">
        <v>0</v>
      </c>
      <c r="DX218">
        <v>1</v>
      </c>
      <c r="DY218">
        <v>0</v>
      </c>
      <c r="DZ218">
        <v>1</v>
      </c>
      <c r="EA218">
        <v>0</v>
      </c>
      <c r="EB218">
        <v>1</v>
      </c>
      <c r="EC218">
        <v>0</v>
      </c>
      <c r="ED218">
        <v>1</v>
      </c>
      <c r="EE218">
        <v>1</v>
      </c>
      <c r="EF218">
        <v>0</v>
      </c>
      <c r="EI218" t="s">
        <v>1081</v>
      </c>
      <c r="EJ218">
        <v>1</v>
      </c>
      <c r="EK218">
        <v>1</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Z218" t="s">
        <v>1082</v>
      </c>
      <c r="GA218">
        <v>0</v>
      </c>
      <c r="GB218">
        <v>1</v>
      </c>
      <c r="GC218">
        <v>0</v>
      </c>
      <c r="GD218">
        <v>0</v>
      </c>
      <c r="GE218">
        <v>0</v>
      </c>
      <c r="GF218">
        <v>0</v>
      </c>
      <c r="GG218">
        <v>0</v>
      </c>
      <c r="GH218">
        <v>0</v>
      </c>
      <c r="GI218">
        <v>0</v>
      </c>
      <c r="IE218" t="s">
        <v>1083</v>
      </c>
      <c r="IF218">
        <v>12</v>
      </c>
      <c r="IG218">
        <v>1</v>
      </c>
      <c r="IH218">
        <v>0</v>
      </c>
      <c r="II218">
        <v>0</v>
      </c>
      <c r="IJ218">
        <v>0</v>
      </c>
      <c r="IK218">
        <v>0</v>
      </c>
      <c r="IL218">
        <v>0</v>
      </c>
      <c r="IM218">
        <v>0</v>
      </c>
      <c r="IN218">
        <v>0</v>
      </c>
      <c r="IO218">
        <v>0</v>
      </c>
      <c r="IP218">
        <v>0</v>
      </c>
      <c r="IQ218">
        <v>0</v>
      </c>
      <c r="IS218">
        <v>1</v>
      </c>
      <c r="IT218">
        <v>0</v>
      </c>
      <c r="IU218">
        <v>0</v>
      </c>
      <c r="IV218">
        <v>0</v>
      </c>
      <c r="IW218">
        <v>1</v>
      </c>
      <c r="IX218" t="s">
        <v>1084</v>
      </c>
    </row>
    <row r="219" spans="1:258" x14ac:dyDescent="0.35">
      <c r="A219">
        <v>397058</v>
      </c>
      <c r="C219">
        <v>1</v>
      </c>
      <c r="D219" t="s">
        <v>1085</v>
      </c>
      <c r="E219" t="s">
        <v>1086</v>
      </c>
      <c r="F219" t="s">
        <v>1068</v>
      </c>
      <c r="G219">
        <v>5</v>
      </c>
      <c r="I219">
        <v>1</v>
      </c>
      <c r="J219">
        <v>0</v>
      </c>
      <c r="K219">
        <v>1</v>
      </c>
      <c r="L219">
        <v>0</v>
      </c>
      <c r="M219">
        <v>1</v>
      </c>
      <c r="N219">
        <v>0</v>
      </c>
      <c r="O219">
        <v>0</v>
      </c>
      <c r="P219">
        <v>0</v>
      </c>
      <c r="Q219">
        <v>0</v>
      </c>
      <c r="R219">
        <v>1</v>
      </c>
      <c r="T219">
        <v>0</v>
      </c>
      <c r="U219">
        <v>1</v>
      </c>
      <c r="V219">
        <v>1</v>
      </c>
      <c r="X219">
        <v>60</v>
      </c>
      <c r="Y219">
        <v>120</v>
      </c>
      <c r="AA219">
        <v>60</v>
      </c>
      <c r="AB219">
        <v>120</v>
      </c>
      <c r="AC219">
        <v>1</v>
      </c>
      <c r="AD219">
        <v>0</v>
      </c>
      <c r="AE219">
        <v>0</v>
      </c>
      <c r="AF219">
        <v>0</v>
      </c>
      <c r="AG219">
        <v>0</v>
      </c>
      <c r="AH219">
        <v>0</v>
      </c>
      <c r="AJ219">
        <v>1</v>
      </c>
      <c r="AL219">
        <v>1</v>
      </c>
      <c r="AN219">
        <v>1</v>
      </c>
      <c r="AO219">
        <v>1</v>
      </c>
      <c r="AP219">
        <v>4</v>
      </c>
      <c r="AQ219">
        <v>2</v>
      </c>
      <c r="AS219">
        <v>2</v>
      </c>
      <c r="AT219">
        <v>1</v>
      </c>
      <c r="AU219">
        <v>2</v>
      </c>
      <c r="BC219">
        <v>0</v>
      </c>
      <c r="BD219">
        <v>0</v>
      </c>
      <c r="BE219">
        <v>1</v>
      </c>
      <c r="BF219">
        <v>1</v>
      </c>
      <c r="BG219">
        <v>1</v>
      </c>
      <c r="BH219">
        <v>0</v>
      </c>
      <c r="BI219">
        <v>0</v>
      </c>
      <c r="BJ219">
        <v>0</v>
      </c>
      <c r="BK219">
        <v>1</v>
      </c>
      <c r="BL219">
        <v>1</v>
      </c>
      <c r="BM219">
        <v>1</v>
      </c>
      <c r="BN219">
        <v>0</v>
      </c>
      <c r="BO219">
        <v>0</v>
      </c>
      <c r="BP219">
        <v>1</v>
      </c>
      <c r="BQ219">
        <v>0</v>
      </c>
      <c r="BR219">
        <v>1</v>
      </c>
      <c r="BS219">
        <v>0</v>
      </c>
      <c r="BU219">
        <v>16</v>
      </c>
      <c r="BV219">
        <v>4</v>
      </c>
      <c r="BX219">
        <v>3</v>
      </c>
      <c r="BY219">
        <v>4</v>
      </c>
      <c r="DI219">
        <v>0</v>
      </c>
      <c r="DJ219">
        <v>0</v>
      </c>
      <c r="DK219">
        <v>1</v>
      </c>
      <c r="DL219">
        <v>1</v>
      </c>
      <c r="DM219">
        <v>1</v>
      </c>
      <c r="DN219">
        <v>0</v>
      </c>
      <c r="DO219">
        <v>0</v>
      </c>
      <c r="DP219">
        <v>0</v>
      </c>
      <c r="DQ219">
        <v>0</v>
      </c>
      <c r="DR219">
        <v>0</v>
      </c>
      <c r="DT219">
        <v>0</v>
      </c>
      <c r="DU219">
        <v>1</v>
      </c>
      <c r="DV219">
        <v>0</v>
      </c>
      <c r="DW219">
        <v>0</v>
      </c>
      <c r="DX219">
        <v>1</v>
      </c>
      <c r="DY219">
        <v>0</v>
      </c>
      <c r="DZ219">
        <v>0</v>
      </c>
      <c r="EA219">
        <v>0</v>
      </c>
      <c r="EB219">
        <v>0</v>
      </c>
      <c r="EC219">
        <v>1</v>
      </c>
      <c r="ED219">
        <v>1</v>
      </c>
      <c r="EE219">
        <v>0</v>
      </c>
      <c r="EF219">
        <v>0</v>
      </c>
      <c r="EI219" t="s">
        <v>365</v>
      </c>
      <c r="EJ219">
        <v>1</v>
      </c>
      <c r="EK219">
        <v>1</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GJ219" t="s">
        <v>1087</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0</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1</v>
      </c>
      <c r="HX219">
        <v>0</v>
      </c>
      <c r="HY219">
        <v>0</v>
      </c>
      <c r="HZ219">
        <v>0</v>
      </c>
      <c r="IA219">
        <v>0</v>
      </c>
      <c r="IB219">
        <v>0</v>
      </c>
      <c r="IC219">
        <v>0</v>
      </c>
      <c r="ID219">
        <v>0</v>
      </c>
      <c r="IG219">
        <v>0</v>
      </c>
      <c r="IH219">
        <v>0</v>
      </c>
      <c r="II219">
        <v>0</v>
      </c>
      <c r="IJ219">
        <v>0</v>
      </c>
      <c r="IK219">
        <v>0</v>
      </c>
      <c r="IL219">
        <v>0</v>
      </c>
      <c r="IM219">
        <v>0</v>
      </c>
      <c r="IN219">
        <v>0</v>
      </c>
      <c r="IO219">
        <v>0</v>
      </c>
      <c r="IP219">
        <v>0</v>
      </c>
      <c r="IQ219">
        <v>1</v>
      </c>
      <c r="IS219">
        <v>1</v>
      </c>
      <c r="IT219">
        <v>1</v>
      </c>
      <c r="IU219">
        <v>0</v>
      </c>
      <c r="IV219">
        <v>0</v>
      </c>
      <c r="IW219">
        <v>0</v>
      </c>
    </row>
    <row r="220" spans="1:258" x14ac:dyDescent="0.35">
      <c r="A220">
        <v>397211</v>
      </c>
      <c r="C220">
        <v>1</v>
      </c>
      <c r="D220" t="s">
        <v>1088</v>
      </c>
      <c r="E220" t="s">
        <v>1089</v>
      </c>
      <c r="F220" t="s">
        <v>1090</v>
      </c>
      <c r="G220">
        <v>4</v>
      </c>
      <c r="I220">
        <v>0</v>
      </c>
      <c r="J220">
        <v>1</v>
      </c>
      <c r="K220">
        <v>1</v>
      </c>
      <c r="L220">
        <v>1</v>
      </c>
      <c r="M220">
        <v>0</v>
      </c>
      <c r="N220">
        <v>0</v>
      </c>
      <c r="O220">
        <v>0</v>
      </c>
      <c r="P220">
        <v>0</v>
      </c>
      <c r="Q220">
        <v>0</v>
      </c>
      <c r="R220">
        <v>1</v>
      </c>
      <c r="T220">
        <v>1</v>
      </c>
      <c r="U220">
        <v>1</v>
      </c>
      <c r="V220">
        <v>0</v>
      </c>
      <c r="W220">
        <v>2</v>
      </c>
      <c r="X220">
        <v>50</v>
      </c>
      <c r="Z220">
        <v>2</v>
      </c>
      <c r="AA220">
        <v>50</v>
      </c>
      <c r="AC220">
        <v>1</v>
      </c>
      <c r="AD220">
        <v>1</v>
      </c>
      <c r="AE220">
        <v>0</v>
      </c>
      <c r="AF220">
        <v>0</v>
      </c>
      <c r="AG220">
        <v>0</v>
      </c>
      <c r="AH220">
        <v>0</v>
      </c>
      <c r="AJ220">
        <v>1</v>
      </c>
      <c r="AL220">
        <v>1</v>
      </c>
      <c r="AN220">
        <v>1</v>
      </c>
      <c r="AO220">
        <v>1</v>
      </c>
      <c r="AP220">
        <v>4</v>
      </c>
      <c r="AQ220">
        <v>1</v>
      </c>
      <c r="AR220">
        <v>4</v>
      </c>
      <c r="AS220">
        <v>1</v>
      </c>
      <c r="AT220">
        <v>1</v>
      </c>
      <c r="AU220">
        <v>1</v>
      </c>
      <c r="AV220">
        <v>1</v>
      </c>
      <c r="AW220">
        <v>0</v>
      </c>
      <c r="AX220">
        <v>0</v>
      </c>
      <c r="AY220">
        <v>0</v>
      </c>
      <c r="AZ220">
        <v>0</v>
      </c>
      <c r="BA220">
        <v>0</v>
      </c>
      <c r="BC220">
        <v>1</v>
      </c>
      <c r="BD220">
        <v>1</v>
      </c>
      <c r="BE220">
        <v>1</v>
      </c>
      <c r="BF220">
        <v>0</v>
      </c>
      <c r="BG220">
        <v>1</v>
      </c>
      <c r="BH220">
        <v>0</v>
      </c>
      <c r="BI220">
        <v>0</v>
      </c>
      <c r="BJ220">
        <v>0</v>
      </c>
      <c r="BK220">
        <v>1</v>
      </c>
      <c r="BL220">
        <v>0</v>
      </c>
      <c r="BM220">
        <v>1</v>
      </c>
      <c r="BN220">
        <v>1</v>
      </c>
      <c r="BO220">
        <v>1</v>
      </c>
      <c r="BP220">
        <v>1</v>
      </c>
      <c r="BQ220">
        <v>0</v>
      </c>
      <c r="BR220">
        <v>1</v>
      </c>
      <c r="BS220">
        <v>0</v>
      </c>
      <c r="BU220">
        <v>16</v>
      </c>
      <c r="BV220">
        <v>4</v>
      </c>
      <c r="BX220">
        <v>5</v>
      </c>
      <c r="BY220">
        <v>4</v>
      </c>
      <c r="DI220">
        <v>1</v>
      </c>
      <c r="DJ220">
        <v>1</v>
      </c>
      <c r="DK220">
        <v>1</v>
      </c>
      <c r="DL220">
        <v>1</v>
      </c>
      <c r="DM220">
        <v>1</v>
      </c>
      <c r="DN220">
        <v>1</v>
      </c>
      <c r="DO220">
        <v>1</v>
      </c>
      <c r="DP220">
        <v>1</v>
      </c>
      <c r="DQ220">
        <v>0</v>
      </c>
      <c r="DR220">
        <v>0</v>
      </c>
      <c r="DT220">
        <v>0</v>
      </c>
      <c r="DU220">
        <v>1</v>
      </c>
      <c r="DV220">
        <v>0</v>
      </c>
      <c r="DW220">
        <v>1</v>
      </c>
      <c r="DX220">
        <v>1</v>
      </c>
      <c r="DY220">
        <v>1</v>
      </c>
      <c r="DZ220">
        <v>0</v>
      </c>
      <c r="EA220">
        <v>1</v>
      </c>
      <c r="EB220">
        <v>1</v>
      </c>
      <c r="EC220">
        <v>1</v>
      </c>
      <c r="ED220">
        <v>1</v>
      </c>
      <c r="EE220">
        <v>0</v>
      </c>
      <c r="EF220">
        <v>0</v>
      </c>
      <c r="EI220" t="s">
        <v>1091</v>
      </c>
      <c r="EJ220">
        <v>1</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GJ220" t="s">
        <v>1092</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1</v>
      </c>
      <c r="HD220">
        <v>0</v>
      </c>
      <c r="HE220">
        <v>0</v>
      </c>
      <c r="HF220">
        <v>0</v>
      </c>
      <c r="HG220">
        <v>0</v>
      </c>
      <c r="HH220">
        <v>0</v>
      </c>
      <c r="HI220">
        <v>0</v>
      </c>
      <c r="HJ220">
        <v>0</v>
      </c>
      <c r="HK220">
        <v>0</v>
      </c>
      <c r="HL220">
        <v>0</v>
      </c>
      <c r="HM220">
        <v>0</v>
      </c>
      <c r="HN220">
        <v>0</v>
      </c>
      <c r="HO220">
        <v>0</v>
      </c>
      <c r="HP220">
        <v>0</v>
      </c>
      <c r="HQ220">
        <v>0</v>
      </c>
      <c r="HR220">
        <v>0</v>
      </c>
      <c r="HS220">
        <v>0</v>
      </c>
      <c r="HT220">
        <v>0</v>
      </c>
      <c r="HU220">
        <v>0</v>
      </c>
      <c r="HV220">
        <v>0</v>
      </c>
      <c r="HW220">
        <v>1</v>
      </c>
      <c r="HX220">
        <v>0</v>
      </c>
      <c r="HY220">
        <v>0</v>
      </c>
      <c r="HZ220">
        <v>0</v>
      </c>
      <c r="IA220">
        <v>0</v>
      </c>
      <c r="IB220">
        <v>0</v>
      </c>
      <c r="IC220">
        <v>0</v>
      </c>
      <c r="ID220">
        <v>0</v>
      </c>
      <c r="IG220">
        <v>1</v>
      </c>
      <c r="IH220">
        <v>1</v>
      </c>
      <c r="II220">
        <v>1</v>
      </c>
      <c r="IJ220">
        <v>0</v>
      </c>
      <c r="IK220">
        <v>0</v>
      </c>
      <c r="IL220">
        <v>0</v>
      </c>
      <c r="IM220">
        <v>0</v>
      </c>
      <c r="IN220">
        <v>0</v>
      </c>
      <c r="IO220">
        <v>0</v>
      </c>
      <c r="IP220">
        <v>0</v>
      </c>
      <c r="IQ220">
        <v>0</v>
      </c>
      <c r="IS220">
        <v>1</v>
      </c>
      <c r="IT220">
        <v>1</v>
      </c>
      <c r="IU220">
        <v>1</v>
      </c>
      <c r="IV220">
        <v>0</v>
      </c>
      <c r="IW220">
        <v>0</v>
      </c>
    </row>
    <row r="221" spans="1:258" x14ac:dyDescent="0.35">
      <c r="A221">
        <v>376439</v>
      </c>
      <c r="C221">
        <v>1</v>
      </c>
      <c r="D221" t="s">
        <v>1093</v>
      </c>
      <c r="E221" t="s">
        <v>1094</v>
      </c>
      <c r="F221" t="s">
        <v>1090</v>
      </c>
      <c r="G221">
        <v>3</v>
      </c>
      <c r="I221">
        <v>0</v>
      </c>
      <c r="J221">
        <v>0</v>
      </c>
      <c r="K221">
        <v>0</v>
      </c>
      <c r="L221">
        <v>0</v>
      </c>
      <c r="M221">
        <v>0</v>
      </c>
      <c r="N221">
        <v>0</v>
      </c>
      <c r="O221">
        <v>0</v>
      </c>
      <c r="P221">
        <v>1</v>
      </c>
      <c r="Q221">
        <v>0</v>
      </c>
      <c r="R221">
        <v>1</v>
      </c>
      <c r="T221">
        <v>1</v>
      </c>
      <c r="U221">
        <v>1</v>
      </c>
      <c r="V221">
        <v>1</v>
      </c>
      <c r="W221">
        <v>1</v>
      </c>
      <c r="X221">
        <v>10</v>
      </c>
      <c r="Y221">
        <v>2</v>
      </c>
      <c r="Z221">
        <v>1</v>
      </c>
      <c r="AA221">
        <v>10</v>
      </c>
      <c r="AB221">
        <v>2</v>
      </c>
      <c r="AC221">
        <v>1</v>
      </c>
      <c r="AD221">
        <v>1</v>
      </c>
      <c r="AE221">
        <v>0</v>
      </c>
      <c r="AF221">
        <v>0</v>
      </c>
      <c r="AG221">
        <v>0</v>
      </c>
      <c r="AH221">
        <v>0</v>
      </c>
      <c r="AJ221">
        <v>2</v>
      </c>
      <c r="AL221">
        <v>1</v>
      </c>
      <c r="AN221">
        <v>1</v>
      </c>
      <c r="AO221">
        <v>1</v>
      </c>
      <c r="AP221">
        <v>4</v>
      </c>
      <c r="AQ221">
        <v>2</v>
      </c>
      <c r="AS221">
        <v>2</v>
      </c>
      <c r="AT221">
        <v>1</v>
      </c>
      <c r="AU221">
        <v>2</v>
      </c>
      <c r="BC221">
        <v>1</v>
      </c>
      <c r="BD221">
        <v>0</v>
      </c>
      <c r="BE221">
        <v>1</v>
      </c>
      <c r="BF221">
        <v>0</v>
      </c>
      <c r="BG221">
        <v>0</v>
      </c>
      <c r="BH221">
        <v>0</v>
      </c>
      <c r="BI221">
        <v>0</v>
      </c>
      <c r="BJ221">
        <v>0</v>
      </c>
      <c r="BK221">
        <v>0</v>
      </c>
      <c r="BL221">
        <v>0</v>
      </c>
      <c r="BM221">
        <v>0</v>
      </c>
      <c r="BN221">
        <v>1</v>
      </c>
      <c r="BO221">
        <v>0</v>
      </c>
      <c r="BP221">
        <v>1</v>
      </c>
      <c r="BQ221">
        <v>0</v>
      </c>
      <c r="BR221">
        <v>1</v>
      </c>
      <c r="BS221">
        <v>0</v>
      </c>
      <c r="BU221">
        <v>3</v>
      </c>
      <c r="BV221">
        <v>4</v>
      </c>
      <c r="BX221">
        <v>5</v>
      </c>
      <c r="BY221">
        <v>6</v>
      </c>
      <c r="DI221">
        <v>0</v>
      </c>
      <c r="DJ221">
        <v>0</v>
      </c>
      <c r="DK221">
        <v>1</v>
      </c>
      <c r="DL221">
        <v>0</v>
      </c>
      <c r="DM221">
        <v>0</v>
      </c>
      <c r="DN221">
        <v>1</v>
      </c>
      <c r="DO221">
        <v>0</v>
      </c>
      <c r="DP221">
        <v>0</v>
      </c>
      <c r="DQ221">
        <v>0</v>
      </c>
      <c r="DR221">
        <v>0</v>
      </c>
      <c r="DT221">
        <v>0</v>
      </c>
      <c r="DU221">
        <v>1</v>
      </c>
      <c r="DV221">
        <v>0</v>
      </c>
      <c r="DW221">
        <v>0</v>
      </c>
      <c r="DX221">
        <v>0</v>
      </c>
      <c r="DY221">
        <v>0</v>
      </c>
      <c r="DZ221">
        <v>0</v>
      </c>
      <c r="EA221">
        <v>0</v>
      </c>
      <c r="EB221">
        <v>0</v>
      </c>
      <c r="EC221">
        <v>0</v>
      </c>
      <c r="ED221">
        <v>1</v>
      </c>
      <c r="EE221">
        <v>0</v>
      </c>
      <c r="EF221">
        <v>0</v>
      </c>
      <c r="EI221" t="s">
        <v>1095</v>
      </c>
      <c r="EJ221">
        <v>1</v>
      </c>
      <c r="EK221">
        <v>1</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IG221">
        <v>0</v>
      </c>
      <c r="IH221">
        <v>0</v>
      </c>
      <c r="II221">
        <v>1</v>
      </c>
      <c r="IJ221">
        <v>0</v>
      </c>
      <c r="IK221">
        <v>0</v>
      </c>
      <c r="IL221">
        <v>0</v>
      </c>
      <c r="IM221">
        <v>0</v>
      </c>
      <c r="IN221">
        <v>0</v>
      </c>
      <c r="IO221">
        <v>0</v>
      </c>
      <c r="IP221">
        <v>0</v>
      </c>
      <c r="IQ221">
        <v>0</v>
      </c>
      <c r="IS221">
        <v>2</v>
      </c>
    </row>
    <row r="222" spans="1:258" x14ac:dyDescent="0.35">
      <c r="A222">
        <v>405522</v>
      </c>
      <c r="C222">
        <v>1</v>
      </c>
      <c r="D222" t="s">
        <v>1096</v>
      </c>
      <c r="E222" t="s">
        <v>1097</v>
      </c>
      <c r="F222" t="s">
        <v>1090</v>
      </c>
      <c r="G222">
        <v>3</v>
      </c>
      <c r="I222">
        <v>1</v>
      </c>
      <c r="J222">
        <v>0</v>
      </c>
      <c r="K222">
        <v>0</v>
      </c>
      <c r="L222">
        <v>0</v>
      </c>
      <c r="M222">
        <v>0</v>
      </c>
      <c r="N222">
        <v>0</v>
      </c>
      <c r="O222">
        <v>0</v>
      </c>
      <c r="P222">
        <v>0</v>
      </c>
      <c r="Q222">
        <v>0</v>
      </c>
      <c r="R222">
        <v>1</v>
      </c>
      <c r="T222">
        <v>0</v>
      </c>
      <c r="U222">
        <v>1</v>
      </c>
      <c r="V222">
        <v>0</v>
      </c>
      <c r="X222">
        <v>12</v>
      </c>
      <c r="AA222">
        <v>12</v>
      </c>
      <c r="AC222">
        <v>1</v>
      </c>
      <c r="AD222">
        <v>0</v>
      </c>
      <c r="AE222">
        <v>0</v>
      </c>
      <c r="AF222">
        <v>0</v>
      </c>
      <c r="AG222">
        <v>0</v>
      </c>
      <c r="AH222">
        <v>0</v>
      </c>
      <c r="AJ222">
        <v>1</v>
      </c>
      <c r="AL222">
        <v>1</v>
      </c>
      <c r="AN222">
        <v>2</v>
      </c>
      <c r="AQ222">
        <v>2</v>
      </c>
      <c r="AS222">
        <v>2</v>
      </c>
      <c r="AT222">
        <v>3</v>
      </c>
      <c r="AU222">
        <v>2</v>
      </c>
      <c r="BC222">
        <v>0</v>
      </c>
      <c r="BD222">
        <v>0</v>
      </c>
      <c r="BE222">
        <v>0</v>
      </c>
      <c r="BF222">
        <v>0</v>
      </c>
      <c r="BG222">
        <v>0</v>
      </c>
      <c r="BH222">
        <v>0</v>
      </c>
      <c r="BI222">
        <v>0</v>
      </c>
      <c r="BJ222">
        <v>0</v>
      </c>
      <c r="BK222">
        <v>0</v>
      </c>
      <c r="BL222">
        <v>0</v>
      </c>
      <c r="BM222">
        <v>0</v>
      </c>
      <c r="BN222">
        <v>0</v>
      </c>
      <c r="BO222">
        <v>0</v>
      </c>
      <c r="BP222">
        <v>0</v>
      </c>
      <c r="BQ222">
        <v>0</v>
      </c>
      <c r="BR222">
        <v>1</v>
      </c>
      <c r="BS222">
        <v>0</v>
      </c>
      <c r="BU222">
        <v>16</v>
      </c>
      <c r="BV222">
        <v>4</v>
      </c>
      <c r="BX222">
        <v>5</v>
      </c>
      <c r="BY222">
        <v>5</v>
      </c>
      <c r="DI222">
        <v>1</v>
      </c>
      <c r="DJ222">
        <v>1</v>
      </c>
      <c r="DK222">
        <v>1</v>
      </c>
      <c r="DL222">
        <v>1</v>
      </c>
      <c r="DM222">
        <v>1</v>
      </c>
      <c r="DN222">
        <v>0</v>
      </c>
      <c r="DO222">
        <v>0</v>
      </c>
      <c r="DP222">
        <v>0</v>
      </c>
      <c r="DQ222">
        <v>0</v>
      </c>
      <c r="DR222">
        <v>0</v>
      </c>
      <c r="DT222">
        <v>1</v>
      </c>
      <c r="DU222">
        <v>0</v>
      </c>
      <c r="DV222">
        <v>1</v>
      </c>
      <c r="DW222">
        <v>0</v>
      </c>
      <c r="DX222">
        <v>1</v>
      </c>
      <c r="DY222">
        <v>0</v>
      </c>
      <c r="DZ222">
        <v>0</v>
      </c>
      <c r="EA222">
        <v>0</v>
      </c>
      <c r="EB222">
        <v>0</v>
      </c>
      <c r="EC222">
        <v>0</v>
      </c>
      <c r="ED222">
        <v>1</v>
      </c>
      <c r="EE222">
        <v>0</v>
      </c>
      <c r="EF222">
        <v>0</v>
      </c>
      <c r="EG222" t="s">
        <v>1098</v>
      </c>
      <c r="EH222">
        <v>7</v>
      </c>
      <c r="FF222" t="s">
        <v>1099</v>
      </c>
      <c r="FG222">
        <v>1</v>
      </c>
      <c r="FH222">
        <v>0</v>
      </c>
      <c r="FI222">
        <v>0</v>
      </c>
      <c r="FJ222">
        <v>0</v>
      </c>
      <c r="FK222">
        <v>0</v>
      </c>
      <c r="FL222">
        <v>0</v>
      </c>
      <c r="FM222">
        <v>0</v>
      </c>
      <c r="FN222">
        <v>0</v>
      </c>
      <c r="FO222">
        <v>0</v>
      </c>
      <c r="FP222">
        <v>0</v>
      </c>
      <c r="FQ222">
        <v>0</v>
      </c>
      <c r="FR222">
        <v>0</v>
      </c>
      <c r="FS222">
        <v>0</v>
      </c>
      <c r="FT222">
        <v>0</v>
      </c>
      <c r="FU222">
        <v>0</v>
      </c>
      <c r="FV222">
        <v>0</v>
      </c>
      <c r="FW222">
        <v>0</v>
      </c>
      <c r="FX222">
        <v>0</v>
      </c>
      <c r="FY222">
        <v>0</v>
      </c>
      <c r="IG222">
        <v>1</v>
      </c>
      <c r="IH222">
        <v>0</v>
      </c>
      <c r="II222">
        <v>0</v>
      </c>
      <c r="IJ222">
        <v>0</v>
      </c>
      <c r="IK222">
        <v>1</v>
      </c>
      <c r="IL222">
        <v>0</v>
      </c>
      <c r="IM222">
        <v>0</v>
      </c>
      <c r="IN222">
        <v>1</v>
      </c>
      <c r="IO222">
        <v>0</v>
      </c>
      <c r="IP222">
        <v>0</v>
      </c>
      <c r="IQ222">
        <v>0</v>
      </c>
      <c r="IS222">
        <v>2</v>
      </c>
    </row>
    <row r="223" spans="1:258" x14ac:dyDescent="0.35">
      <c r="A223">
        <v>405441</v>
      </c>
      <c r="C223">
        <v>1</v>
      </c>
      <c r="D223" t="s">
        <v>1100</v>
      </c>
      <c r="E223" t="s">
        <v>1101</v>
      </c>
      <c r="F223" t="s">
        <v>1090</v>
      </c>
      <c r="G223">
        <v>7</v>
      </c>
      <c r="I223">
        <v>0</v>
      </c>
      <c r="J223">
        <v>0</v>
      </c>
      <c r="K223">
        <v>0</v>
      </c>
      <c r="L223">
        <v>0</v>
      </c>
      <c r="M223">
        <v>0</v>
      </c>
      <c r="N223">
        <v>0</v>
      </c>
      <c r="O223">
        <v>0</v>
      </c>
      <c r="P223">
        <v>1</v>
      </c>
      <c r="Q223">
        <v>0</v>
      </c>
      <c r="R223">
        <v>1</v>
      </c>
      <c r="T223">
        <v>0</v>
      </c>
      <c r="U223">
        <v>1</v>
      </c>
      <c r="V223">
        <v>0</v>
      </c>
      <c r="X223">
        <v>10</v>
      </c>
      <c r="AA223">
        <v>10</v>
      </c>
      <c r="AC223">
        <v>1</v>
      </c>
      <c r="AD223">
        <v>1</v>
      </c>
      <c r="AE223">
        <v>0</v>
      </c>
      <c r="AF223">
        <v>0</v>
      </c>
      <c r="AG223">
        <v>0</v>
      </c>
      <c r="AH223">
        <v>0</v>
      </c>
      <c r="AJ223">
        <v>1</v>
      </c>
      <c r="AL223">
        <v>1</v>
      </c>
      <c r="AN223">
        <v>1</v>
      </c>
      <c r="AO223">
        <v>1</v>
      </c>
      <c r="AP223">
        <v>4</v>
      </c>
      <c r="AQ223">
        <v>2</v>
      </c>
      <c r="AS223">
        <v>2</v>
      </c>
      <c r="AT223">
        <v>1</v>
      </c>
      <c r="AU223">
        <v>1</v>
      </c>
      <c r="AV223">
        <v>1</v>
      </c>
      <c r="AW223">
        <v>0</v>
      </c>
      <c r="AX223">
        <v>0</v>
      </c>
      <c r="AY223">
        <v>0</v>
      </c>
      <c r="AZ223">
        <v>0</v>
      </c>
      <c r="BA223">
        <v>0</v>
      </c>
      <c r="BC223">
        <v>0</v>
      </c>
      <c r="BD223">
        <v>0</v>
      </c>
      <c r="BE223">
        <v>0</v>
      </c>
      <c r="BF223">
        <v>1</v>
      </c>
      <c r="BG223">
        <v>0</v>
      </c>
      <c r="BH223">
        <v>0</v>
      </c>
      <c r="BI223">
        <v>0</v>
      </c>
      <c r="BJ223">
        <v>0</v>
      </c>
      <c r="BK223">
        <v>1</v>
      </c>
      <c r="BL223">
        <v>0</v>
      </c>
      <c r="BM223">
        <v>0</v>
      </c>
      <c r="BN223">
        <v>1</v>
      </c>
      <c r="BO223">
        <v>0</v>
      </c>
      <c r="BP223">
        <v>1</v>
      </c>
      <c r="BQ223">
        <v>0</v>
      </c>
      <c r="BR223">
        <v>0</v>
      </c>
      <c r="BS223">
        <v>0</v>
      </c>
      <c r="BU223">
        <v>9</v>
      </c>
      <c r="BV223">
        <v>4</v>
      </c>
      <c r="BX223">
        <v>3</v>
      </c>
      <c r="BY223">
        <v>3</v>
      </c>
      <c r="DI223">
        <v>0</v>
      </c>
      <c r="DJ223">
        <v>1</v>
      </c>
      <c r="DK223">
        <v>1</v>
      </c>
      <c r="DL223">
        <v>0</v>
      </c>
      <c r="DM223">
        <v>0</v>
      </c>
      <c r="DN223">
        <v>1</v>
      </c>
      <c r="DO223">
        <v>0</v>
      </c>
      <c r="DP223">
        <v>0</v>
      </c>
      <c r="DQ223">
        <v>0</v>
      </c>
      <c r="DR223">
        <v>0</v>
      </c>
      <c r="DT223">
        <v>0</v>
      </c>
      <c r="DU223">
        <v>1</v>
      </c>
      <c r="DV223">
        <v>0</v>
      </c>
      <c r="DW223">
        <v>1</v>
      </c>
      <c r="DX223">
        <v>0</v>
      </c>
      <c r="DY223">
        <v>0</v>
      </c>
      <c r="DZ223">
        <v>0</v>
      </c>
      <c r="EA223">
        <v>0</v>
      </c>
      <c r="EB223">
        <v>0</v>
      </c>
      <c r="EC223">
        <v>0</v>
      </c>
      <c r="ED223">
        <v>0</v>
      </c>
      <c r="EE223">
        <v>0</v>
      </c>
      <c r="EF223">
        <v>0</v>
      </c>
      <c r="EI223" t="s">
        <v>1102</v>
      </c>
      <c r="EJ223">
        <v>0</v>
      </c>
      <c r="EK223">
        <v>0</v>
      </c>
      <c r="EL223">
        <v>0</v>
      </c>
      <c r="EM223">
        <v>0</v>
      </c>
      <c r="EN223">
        <v>0</v>
      </c>
      <c r="EO223">
        <v>0</v>
      </c>
      <c r="EP223">
        <v>0</v>
      </c>
      <c r="EQ223">
        <v>0</v>
      </c>
      <c r="ER223">
        <v>0</v>
      </c>
      <c r="ES223">
        <v>0</v>
      </c>
      <c r="ET223">
        <v>0</v>
      </c>
      <c r="EU223">
        <v>0</v>
      </c>
      <c r="EV223">
        <v>0</v>
      </c>
      <c r="EW223">
        <v>0</v>
      </c>
      <c r="EX223">
        <v>0</v>
      </c>
      <c r="EY223">
        <v>1</v>
      </c>
      <c r="EZ223">
        <v>0</v>
      </c>
      <c r="FA223">
        <v>0</v>
      </c>
      <c r="FB223">
        <v>0</v>
      </c>
      <c r="FC223">
        <v>0</v>
      </c>
      <c r="FD223">
        <v>0</v>
      </c>
      <c r="FE223">
        <v>0</v>
      </c>
      <c r="IG223">
        <v>0</v>
      </c>
      <c r="IH223">
        <v>0</v>
      </c>
      <c r="II223">
        <v>0</v>
      </c>
      <c r="IJ223">
        <v>0</v>
      </c>
      <c r="IK223">
        <v>0</v>
      </c>
      <c r="IL223">
        <v>0</v>
      </c>
      <c r="IM223">
        <v>0</v>
      </c>
      <c r="IN223">
        <v>0</v>
      </c>
      <c r="IO223">
        <v>0</v>
      </c>
      <c r="IP223">
        <v>0</v>
      </c>
      <c r="IQ223">
        <v>1</v>
      </c>
      <c r="IS223">
        <v>2</v>
      </c>
    </row>
    <row r="224" spans="1:258" x14ac:dyDescent="0.35">
      <c r="A224">
        <v>405324</v>
      </c>
      <c r="C224">
        <v>1</v>
      </c>
      <c r="D224" t="s">
        <v>1103</v>
      </c>
      <c r="E224" t="s">
        <v>1104</v>
      </c>
      <c r="F224" t="s">
        <v>1090</v>
      </c>
      <c r="G224">
        <v>3</v>
      </c>
      <c r="I224">
        <v>0</v>
      </c>
      <c r="J224">
        <v>0</v>
      </c>
      <c r="K224">
        <v>1</v>
      </c>
      <c r="L224">
        <v>0</v>
      </c>
      <c r="M224">
        <v>0</v>
      </c>
      <c r="N224">
        <v>0</v>
      </c>
      <c r="O224">
        <v>0</v>
      </c>
      <c r="P224">
        <v>0</v>
      </c>
      <c r="Q224">
        <v>0</v>
      </c>
      <c r="R224">
        <v>1</v>
      </c>
      <c r="T224">
        <v>1</v>
      </c>
      <c r="U224">
        <v>1</v>
      </c>
      <c r="V224">
        <v>1</v>
      </c>
      <c r="W224">
        <v>10</v>
      </c>
      <c r="X224">
        <v>290</v>
      </c>
      <c r="Y224">
        <v>10</v>
      </c>
      <c r="Z224">
        <v>10</v>
      </c>
      <c r="AA224">
        <v>290</v>
      </c>
      <c r="AB224">
        <v>10</v>
      </c>
      <c r="AC224">
        <v>1</v>
      </c>
      <c r="AD224">
        <v>1</v>
      </c>
      <c r="AE224">
        <v>0</v>
      </c>
      <c r="AF224">
        <v>1</v>
      </c>
      <c r="AG224">
        <v>0</v>
      </c>
      <c r="AH224">
        <v>0</v>
      </c>
      <c r="AJ224">
        <v>1</v>
      </c>
      <c r="AL224">
        <v>1</v>
      </c>
      <c r="AN224">
        <v>1</v>
      </c>
      <c r="AO224">
        <v>1</v>
      </c>
      <c r="AP224">
        <v>2</v>
      </c>
      <c r="AQ224">
        <v>1</v>
      </c>
      <c r="AR224">
        <v>6</v>
      </c>
      <c r="AS224">
        <v>1</v>
      </c>
      <c r="AT224">
        <v>1</v>
      </c>
      <c r="AU224">
        <v>1</v>
      </c>
      <c r="AV224">
        <v>1</v>
      </c>
      <c r="AW224">
        <v>1</v>
      </c>
      <c r="AX224">
        <v>1</v>
      </c>
      <c r="AY224">
        <v>0</v>
      </c>
      <c r="AZ224">
        <v>0</v>
      </c>
      <c r="BA224">
        <v>0</v>
      </c>
      <c r="BC224">
        <v>0</v>
      </c>
      <c r="BD224">
        <v>0</v>
      </c>
      <c r="BE224">
        <v>1</v>
      </c>
      <c r="BF224">
        <v>1</v>
      </c>
      <c r="BG224">
        <v>0</v>
      </c>
      <c r="BH224">
        <v>0</v>
      </c>
      <c r="BI224">
        <v>0</v>
      </c>
      <c r="BJ224">
        <v>0</v>
      </c>
      <c r="BK224">
        <v>1</v>
      </c>
      <c r="BL224">
        <v>0</v>
      </c>
      <c r="BM224">
        <v>0</v>
      </c>
      <c r="BN224">
        <v>0</v>
      </c>
      <c r="BO224">
        <v>0</v>
      </c>
      <c r="BP224">
        <v>0</v>
      </c>
      <c r="BQ224">
        <v>0</v>
      </c>
      <c r="BR224">
        <v>0</v>
      </c>
      <c r="BS224">
        <v>0</v>
      </c>
      <c r="BU224">
        <v>9</v>
      </c>
      <c r="BV224">
        <v>1</v>
      </c>
      <c r="BW224" t="s">
        <v>357</v>
      </c>
      <c r="BX224">
        <v>1</v>
      </c>
      <c r="BY224">
        <v>1</v>
      </c>
      <c r="DI224">
        <v>0</v>
      </c>
      <c r="DJ224">
        <v>0</v>
      </c>
      <c r="DK224">
        <v>0</v>
      </c>
      <c r="DL224">
        <v>1</v>
      </c>
      <c r="DM224">
        <v>1</v>
      </c>
      <c r="DN224">
        <v>1</v>
      </c>
      <c r="DO224">
        <v>0</v>
      </c>
      <c r="DP224">
        <v>1</v>
      </c>
      <c r="DQ224">
        <v>0</v>
      </c>
      <c r="DR224">
        <v>0</v>
      </c>
      <c r="DT224">
        <v>0</v>
      </c>
      <c r="DU224">
        <v>0</v>
      </c>
      <c r="DV224">
        <v>0</v>
      </c>
      <c r="DW224">
        <v>1</v>
      </c>
      <c r="DX224">
        <v>0</v>
      </c>
      <c r="DY224">
        <v>0</v>
      </c>
      <c r="DZ224">
        <v>0</v>
      </c>
      <c r="EA224">
        <v>0</v>
      </c>
      <c r="EB224">
        <v>0</v>
      </c>
      <c r="EC224">
        <v>0</v>
      </c>
      <c r="ED224">
        <v>0</v>
      </c>
      <c r="EE224">
        <v>0</v>
      </c>
      <c r="EF224">
        <v>0</v>
      </c>
      <c r="IG224">
        <v>1</v>
      </c>
      <c r="IH224">
        <v>0</v>
      </c>
      <c r="II224">
        <v>1</v>
      </c>
      <c r="IJ224">
        <v>0</v>
      </c>
      <c r="IK224">
        <v>0</v>
      </c>
      <c r="IL224">
        <v>0</v>
      </c>
      <c r="IM224">
        <v>1</v>
      </c>
      <c r="IN224">
        <v>0</v>
      </c>
      <c r="IO224">
        <v>0</v>
      </c>
      <c r="IP224">
        <v>0</v>
      </c>
      <c r="IQ224">
        <v>0</v>
      </c>
      <c r="IS224">
        <v>2</v>
      </c>
    </row>
    <row r="225" spans="1:258" x14ac:dyDescent="0.35">
      <c r="A225">
        <v>370333</v>
      </c>
      <c r="C225">
        <v>1</v>
      </c>
      <c r="D225" t="s">
        <v>1105</v>
      </c>
      <c r="E225" t="s">
        <v>1106</v>
      </c>
      <c r="F225" t="s">
        <v>1090</v>
      </c>
      <c r="G225">
        <v>5</v>
      </c>
      <c r="I225">
        <v>0</v>
      </c>
      <c r="J225">
        <v>0</v>
      </c>
      <c r="K225">
        <v>1</v>
      </c>
      <c r="L225">
        <v>0</v>
      </c>
      <c r="M225">
        <v>1</v>
      </c>
      <c r="N225">
        <v>0</v>
      </c>
      <c r="O225">
        <v>1</v>
      </c>
      <c r="P225">
        <v>1</v>
      </c>
      <c r="Q225">
        <v>0</v>
      </c>
      <c r="R225">
        <v>1</v>
      </c>
      <c r="T225">
        <v>0</v>
      </c>
      <c r="U225">
        <v>1</v>
      </c>
      <c r="V225">
        <v>0</v>
      </c>
      <c r="X225">
        <v>55</v>
      </c>
      <c r="AA225">
        <v>55</v>
      </c>
      <c r="AC225">
        <v>1</v>
      </c>
      <c r="AD225">
        <v>0</v>
      </c>
      <c r="AE225">
        <v>0</v>
      </c>
      <c r="AF225">
        <v>1</v>
      </c>
      <c r="AG225">
        <v>0</v>
      </c>
      <c r="AH225">
        <v>0</v>
      </c>
      <c r="AJ225">
        <v>1</v>
      </c>
      <c r="AL225">
        <v>1</v>
      </c>
      <c r="AN225">
        <v>1</v>
      </c>
      <c r="AO225">
        <v>2</v>
      </c>
      <c r="AP225">
        <v>3</v>
      </c>
      <c r="AQ225">
        <v>2</v>
      </c>
      <c r="AS225">
        <v>2</v>
      </c>
      <c r="AT225">
        <v>2</v>
      </c>
      <c r="AU225">
        <v>2</v>
      </c>
      <c r="BC225">
        <v>0</v>
      </c>
      <c r="BD225">
        <v>1</v>
      </c>
      <c r="BE225">
        <v>0</v>
      </c>
      <c r="BF225">
        <v>0</v>
      </c>
      <c r="BG225">
        <v>0</v>
      </c>
      <c r="BH225">
        <v>1</v>
      </c>
      <c r="BI225">
        <v>0</v>
      </c>
      <c r="BJ225">
        <v>0</v>
      </c>
      <c r="BK225">
        <v>0</v>
      </c>
      <c r="BL225">
        <v>0</v>
      </c>
      <c r="BM225">
        <v>0</v>
      </c>
      <c r="BN225">
        <v>0</v>
      </c>
      <c r="BO225">
        <v>0</v>
      </c>
      <c r="BP225">
        <v>1</v>
      </c>
      <c r="BQ225">
        <v>0</v>
      </c>
      <c r="BR225">
        <v>0</v>
      </c>
      <c r="BS225">
        <v>0</v>
      </c>
      <c r="BU225">
        <v>6</v>
      </c>
      <c r="BV225">
        <v>4</v>
      </c>
      <c r="BX225">
        <v>1</v>
      </c>
      <c r="BY225">
        <v>2</v>
      </c>
      <c r="DI225">
        <v>0</v>
      </c>
      <c r="DJ225">
        <v>0</v>
      </c>
      <c r="DK225">
        <v>1</v>
      </c>
      <c r="DL225">
        <v>1</v>
      </c>
      <c r="DM225">
        <v>0</v>
      </c>
      <c r="DN225">
        <v>0</v>
      </c>
      <c r="DO225">
        <v>0</v>
      </c>
      <c r="DP225">
        <v>0</v>
      </c>
      <c r="DQ225">
        <v>0</v>
      </c>
      <c r="DR225">
        <v>0</v>
      </c>
      <c r="DT225">
        <v>0</v>
      </c>
      <c r="DU225">
        <v>1</v>
      </c>
      <c r="DV225">
        <v>0</v>
      </c>
      <c r="DW225">
        <v>0</v>
      </c>
      <c r="DX225">
        <v>0</v>
      </c>
      <c r="DY225">
        <v>0</v>
      </c>
      <c r="DZ225">
        <v>0</v>
      </c>
      <c r="EA225">
        <v>0</v>
      </c>
      <c r="EB225">
        <v>0</v>
      </c>
      <c r="EC225">
        <v>0</v>
      </c>
      <c r="ED225">
        <v>0</v>
      </c>
      <c r="EE225">
        <v>0</v>
      </c>
      <c r="EF225">
        <v>0</v>
      </c>
      <c r="EI225" t="s">
        <v>1107</v>
      </c>
      <c r="EJ225">
        <v>1</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IG225">
        <v>1</v>
      </c>
      <c r="IH225">
        <v>0</v>
      </c>
      <c r="II225">
        <v>1</v>
      </c>
      <c r="IJ225">
        <v>0</v>
      </c>
      <c r="IK225">
        <v>0</v>
      </c>
      <c r="IL225">
        <v>0</v>
      </c>
      <c r="IM225">
        <v>1</v>
      </c>
      <c r="IN225">
        <v>0</v>
      </c>
      <c r="IO225">
        <v>0</v>
      </c>
      <c r="IP225">
        <v>0</v>
      </c>
      <c r="IQ225">
        <v>0</v>
      </c>
      <c r="IS225">
        <v>1</v>
      </c>
      <c r="IT225">
        <v>1</v>
      </c>
      <c r="IU225">
        <v>0</v>
      </c>
      <c r="IV225">
        <v>0</v>
      </c>
      <c r="IW225">
        <v>0</v>
      </c>
    </row>
    <row r="226" spans="1:258" x14ac:dyDescent="0.35">
      <c r="A226">
        <v>346037</v>
      </c>
      <c r="C226">
        <v>1</v>
      </c>
      <c r="D226" t="s">
        <v>1108</v>
      </c>
      <c r="E226" t="s">
        <v>1109</v>
      </c>
      <c r="F226" t="s">
        <v>1090</v>
      </c>
      <c r="G226">
        <v>3</v>
      </c>
      <c r="I226">
        <v>0</v>
      </c>
      <c r="J226">
        <v>0</v>
      </c>
      <c r="K226">
        <v>1</v>
      </c>
      <c r="L226">
        <v>0</v>
      </c>
      <c r="M226">
        <v>0</v>
      </c>
      <c r="N226">
        <v>0</v>
      </c>
      <c r="O226">
        <v>0</v>
      </c>
      <c r="P226">
        <v>0</v>
      </c>
      <c r="Q226">
        <v>0</v>
      </c>
      <c r="R226">
        <v>1</v>
      </c>
      <c r="T226">
        <v>1</v>
      </c>
      <c r="U226">
        <v>1</v>
      </c>
      <c r="V226">
        <v>0</v>
      </c>
      <c r="W226">
        <v>15</v>
      </c>
      <c r="X226">
        <v>125</v>
      </c>
      <c r="Z226">
        <v>15</v>
      </c>
      <c r="AA226">
        <v>125</v>
      </c>
      <c r="AC226">
        <v>1</v>
      </c>
      <c r="AD226">
        <v>1</v>
      </c>
      <c r="AE226">
        <v>0</v>
      </c>
      <c r="AF226">
        <v>0</v>
      </c>
      <c r="AG226">
        <v>0</v>
      </c>
      <c r="AH226">
        <v>0</v>
      </c>
      <c r="AJ226">
        <v>1</v>
      </c>
      <c r="AL226">
        <v>1</v>
      </c>
      <c r="AN226">
        <v>1</v>
      </c>
      <c r="AO226">
        <v>1</v>
      </c>
      <c r="AP226">
        <v>4</v>
      </c>
      <c r="AQ226">
        <v>2</v>
      </c>
      <c r="AS226">
        <v>2</v>
      </c>
      <c r="AT226">
        <v>2</v>
      </c>
      <c r="AU226">
        <v>1</v>
      </c>
      <c r="AV226">
        <v>0</v>
      </c>
      <c r="AW226">
        <v>0</v>
      </c>
      <c r="AX226">
        <v>1</v>
      </c>
      <c r="AY226">
        <v>0</v>
      </c>
      <c r="AZ226">
        <v>0</v>
      </c>
      <c r="BA226">
        <v>0</v>
      </c>
      <c r="BC226">
        <v>1</v>
      </c>
      <c r="BD226">
        <v>0</v>
      </c>
      <c r="BE226">
        <v>1</v>
      </c>
      <c r="BF226">
        <v>0</v>
      </c>
      <c r="BG226">
        <v>0</v>
      </c>
      <c r="BH226">
        <v>0</v>
      </c>
      <c r="BI226">
        <v>0</v>
      </c>
      <c r="BJ226">
        <v>0</v>
      </c>
      <c r="BK226">
        <v>1</v>
      </c>
      <c r="BL226">
        <v>0</v>
      </c>
      <c r="BM226">
        <v>0</v>
      </c>
      <c r="BN226">
        <v>1</v>
      </c>
      <c r="BO226">
        <v>0</v>
      </c>
      <c r="BP226">
        <v>1</v>
      </c>
      <c r="BQ226">
        <v>0</v>
      </c>
      <c r="BR226">
        <v>0</v>
      </c>
      <c r="BS226">
        <v>0</v>
      </c>
      <c r="BU226">
        <v>9</v>
      </c>
      <c r="BV226">
        <v>4</v>
      </c>
      <c r="BX226">
        <v>3</v>
      </c>
      <c r="BY226">
        <v>3</v>
      </c>
      <c r="DI226">
        <v>0</v>
      </c>
      <c r="DJ226">
        <v>1</v>
      </c>
      <c r="DK226">
        <v>1</v>
      </c>
      <c r="DL226">
        <v>1</v>
      </c>
      <c r="DM226">
        <v>1</v>
      </c>
      <c r="DN226">
        <v>1</v>
      </c>
      <c r="DO226">
        <v>0</v>
      </c>
      <c r="DP226">
        <v>0</v>
      </c>
      <c r="DQ226">
        <v>0</v>
      </c>
      <c r="DR226">
        <v>0</v>
      </c>
      <c r="DT226">
        <v>0</v>
      </c>
      <c r="DU226">
        <v>0</v>
      </c>
      <c r="DV226">
        <v>0</v>
      </c>
      <c r="DW226">
        <v>0</v>
      </c>
      <c r="DX226">
        <v>0</v>
      </c>
      <c r="DY226">
        <v>0</v>
      </c>
      <c r="DZ226">
        <v>0</v>
      </c>
      <c r="EA226">
        <v>0</v>
      </c>
      <c r="EB226">
        <v>0</v>
      </c>
      <c r="EC226">
        <v>0</v>
      </c>
      <c r="ED226">
        <v>1</v>
      </c>
      <c r="EE226">
        <v>0</v>
      </c>
      <c r="EF226">
        <v>0</v>
      </c>
      <c r="IG226">
        <v>1</v>
      </c>
      <c r="IH226">
        <v>0</v>
      </c>
      <c r="II226">
        <v>0</v>
      </c>
      <c r="IJ226">
        <v>1</v>
      </c>
      <c r="IK226">
        <v>1</v>
      </c>
      <c r="IL226">
        <v>0</v>
      </c>
      <c r="IM226">
        <v>0</v>
      </c>
      <c r="IN226">
        <v>0</v>
      </c>
      <c r="IO226">
        <v>0</v>
      </c>
      <c r="IP226">
        <v>0</v>
      </c>
      <c r="IQ226">
        <v>0</v>
      </c>
      <c r="IS226">
        <v>2</v>
      </c>
    </row>
    <row r="227" spans="1:258" x14ac:dyDescent="0.35">
      <c r="A227">
        <v>405319</v>
      </c>
      <c r="C227">
        <v>1</v>
      </c>
      <c r="D227" t="s">
        <v>1110</v>
      </c>
      <c r="E227" t="s">
        <v>1111</v>
      </c>
      <c r="F227" t="s">
        <v>1090</v>
      </c>
      <c r="G227">
        <v>8</v>
      </c>
      <c r="I227">
        <v>1</v>
      </c>
      <c r="J227">
        <v>0</v>
      </c>
      <c r="K227">
        <v>1</v>
      </c>
      <c r="L227">
        <v>1</v>
      </c>
      <c r="M227">
        <v>0</v>
      </c>
      <c r="N227">
        <v>0</v>
      </c>
      <c r="O227">
        <v>0</v>
      </c>
      <c r="P227">
        <v>0</v>
      </c>
      <c r="Q227">
        <v>0</v>
      </c>
      <c r="R227">
        <v>1</v>
      </c>
      <c r="T227">
        <v>1</v>
      </c>
      <c r="U227">
        <v>1</v>
      </c>
      <c r="V227">
        <v>0</v>
      </c>
      <c r="W227">
        <v>30</v>
      </c>
      <c r="X227">
        <v>180</v>
      </c>
      <c r="Z227">
        <v>30</v>
      </c>
      <c r="AA227">
        <v>180</v>
      </c>
      <c r="AC227">
        <v>1</v>
      </c>
      <c r="AD227">
        <v>1</v>
      </c>
      <c r="AE227">
        <v>0</v>
      </c>
      <c r="AF227">
        <v>0</v>
      </c>
      <c r="AG227">
        <v>0</v>
      </c>
      <c r="AH227">
        <v>0</v>
      </c>
      <c r="AJ227">
        <v>1</v>
      </c>
      <c r="AL227">
        <v>1</v>
      </c>
      <c r="AN227">
        <v>1</v>
      </c>
      <c r="AO227">
        <v>1</v>
      </c>
      <c r="AP227">
        <v>5</v>
      </c>
      <c r="AQ227">
        <v>1</v>
      </c>
      <c r="AR227">
        <v>6</v>
      </c>
      <c r="AS227">
        <v>1</v>
      </c>
      <c r="AT227">
        <v>1</v>
      </c>
      <c r="AU227">
        <v>2</v>
      </c>
      <c r="BC227">
        <v>1</v>
      </c>
      <c r="BD227">
        <v>1</v>
      </c>
      <c r="BE227">
        <v>1</v>
      </c>
      <c r="BF227">
        <v>0</v>
      </c>
      <c r="BG227">
        <v>0</v>
      </c>
      <c r="BH227">
        <v>0</v>
      </c>
      <c r="BI227">
        <v>0</v>
      </c>
      <c r="BJ227">
        <v>0</v>
      </c>
      <c r="BK227">
        <v>0</v>
      </c>
      <c r="BL227">
        <v>0</v>
      </c>
      <c r="BM227">
        <v>0</v>
      </c>
      <c r="BN227">
        <v>1</v>
      </c>
      <c r="BO227">
        <v>0</v>
      </c>
      <c r="BP227">
        <v>1</v>
      </c>
      <c r="BQ227">
        <v>0</v>
      </c>
      <c r="BR227">
        <v>1</v>
      </c>
      <c r="BS227">
        <v>0</v>
      </c>
    </row>
    <row r="228" spans="1:258" x14ac:dyDescent="0.35">
      <c r="A228">
        <v>405487</v>
      </c>
      <c r="C228">
        <v>1</v>
      </c>
      <c r="D228" t="s">
        <v>1112</v>
      </c>
      <c r="E228" t="s">
        <v>1113</v>
      </c>
      <c r="F228" t="s">
        <v>1090</v>
      </c>
      <c r="G228">
        <v>1</v>
      </c>
      <c r="I228">
        <v>1</v>
      </c>
      <c r="J228">
        <v>0</v>
      </c>
      <c r="K228">
        <v>0</v>
      </c>
      <c r="L228">
        <v>0</v>
      </c>
      <c r="M228">
        <v>0</v>
      </c>
      <c r="N228">
        <v>0</v>
      </c>
      <c r="O228">
        <v>0</v>
      </c>
      <c r="P228">
        <v>0</v>
      </c>
      <c r="Q228">
        <v>0</v>
      </c>
      <c r="R228">
        <v>1</v>
      </c>
      <c r="T228">
        <v>0</v>
      </c>
      <c r="U228">
        <v>1</v>
      </c>
      <c r="V228">
        <v>0</v>
      </c>
      <c r="X228">
        <v>8</v>
      </c>
      <c r="AA228">
        <v>8</v>
      </c>
      <c r="AC228">
        <v>1</v>
      </c>
      <c r="AD228">
        <v>0</v>
      </c>
      <c r="AE228">
        <v>0</v>
      </c>
      <c r="AF228">
        <v>0</v>
      </c>
      <c r="AG228">
        <v>0</v>
      </c>
      <c r="AH228">
        <v>0</v>
      </c>
      <c r="AJ228">
        <v>5</v>
      </c>
      <c r="AL228">
        <v>1</v>
      </c>
      <c r="AN228">
        <v>1</v>
      </c>
      <c r="AO228">
        <v>1</v>
      </c>
      <c r="AP228">
        <v>2</v>
      </c>
      <c r="AQ228">
        <v>2</v>
      </c>
      <c r="AS228">
        <v>2</v>
      </c>
      <c r="AT228">
        <v>2</v>
      </c>
      <c r="AU228">
        <v>1</v>
      </c>
      <c r="AV228">
        <v>0</v>
      </c>
      <c r="AW228">
        <v>0</v>
      </c>
      <c r="AX228">
        <v>0</v>
      </c>
      <c r="AY228">
        <v>0</v>
      </c>
      <c r="AZ228">
        <v>0</v>
      </c>
      <c r="BA228">
        <v>1</v>
      </c>
      <c r="BB228" t="s">
        <v>1114</v>
      </c>
      <c r="BC228">
        <v>1</v>
      </c>
      <c r="BD228">
        <v>0</v>
      </c>
      <c r="BE228">
        <v>0</v>
      </c>
      <c r="BF228">
        <v>0</v>
      </c>
      <c r="BG228">
        <v>1</v>
      </c>
      <c r="BH228">
        <v>0</v>
      </c>
      <c r="BI228">
        <v>0</v>
      </c>
      <c r="BJ228">
        <v>0</v>
      </c>
      <c r="BK228">
        <v>1</v>
      </c>
      <c r="BL228">
        <v>0</v>
      </c>
      <c r="BM228">
        <v>0</v>
      </c>
      <c r="BN228">
        <v>0</v>
      </c>
      <c r="BO228">
        <v>0</v>
      </c>
      <c r="BP228">
        <v>0</v>
      </c>
      <c r="BQ228">
        <v>1</v>
      </c>
      <c r="BR228">
        <v>0</v>
      </c>
      <c r="BS228">
        <v>0</v>
      </c>
      <c r="BU228">
        <v>1</v>
      </c>
      <c r="BV228">
        <v>4</v>
      </c>
      <c r="BX228">
        <v>3</v>
      </c>
      <c r="BY228">
        <v>4</v>
      </c>
      <c r="DI228">
        <v>0</v>
      </c>
      <c r="DJ228">
        <v>0</v>
      </c>
      <c r="DK228">
        <v>0</v>
      </c>
      <c r="DL228">
        <v>0</v>
      </c>
      <c r="DM228">
        <v>0</v>
      </c>
      <c r="DN228">
        <v>1</v>
      </c>
      <c r="DO228">
        <v>0</v>
      </c>
      <c r="DP228">
        <v>0</v>
      </c>
      <c r="DQ228">
        <v>0</v>
      </c>
      <c r="DR228">
        <v>0</v>
      </c>
      <c r="DT228">
        <v>0</v>
      </c>
      <c r="DU228">
        <v>1</v>
      </c>
      <c r="DV228">
        <v>1</v>
      </c>
      <c r="DW228">
        <v>1</v>
      </c>
      <c r="DX228">
        <v>1</v>
      </c>
      <c r="DY228">
        <v>0</v>
      </c>
      <c r="DZ228">
        <v>0</v>
      </c>
      <c r="EA228">
        <v>0</v>
      </c>
      <c r="EB228">
        <v>0</v>
      </c>
      <c r="EC228">
        <v>0</v>
      </c>
      <c r="ED228">
        <v>0</v>
      </c>
      <c r="EE228">
        <v>0</v>
      </c>
      <c r="EF228">
        <v>0</v>
      </c>
      <c r="EI228" t="s">
        <v>274</v>
      </c>
      <c r="EJ228">
        <v>1</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t="s">
        <v>1115</v>
      </c>
      <c r="FG228">
        <v>0</v>
      </c>
      <c r="FH228">
        <v>0</v>
      </c>
      <c r="FI228">
        <v>0</v>
      </c>
      <c r="FJ228">
        <v>0</v>
      </c>
      <c r="FK228">
        <v>0</v>
      </c>
      <c r="FL228">
        <v>0</v>
      </c>
      <c r="FM228">
        <v>0</v>
      </c>
      <c r="FN228">
        <v>0</v>
      </c>
      <c r="FO228">
        <v>0</v>
      </c>
      <c r="FP228">
        <v>0</v>
      </c>
      <c r="FQ228">
        <v>0</v>
      </c>
      <c r="FR228">
        <v>0</v>
      </c>
      <c r="FS228">
        <v>0</v>
      </c>
      <c r="FT228">
        <v>0</v>
      </c>
      <c r="FU228">
        <v>0</v>
      </c>
      <c r="FV228">
        <v>0</v>
      </c>
      <c r="FW228">
        <v>0</v>
      </c>
      <c r="FX228">
        <v>1</v>
      </c>
      <c r="FY228">
        <v>0</v>
      </c>
      <c r="IG228">
        <v>1</v>
      </c>
      <c r="IH228">
        <v>1</v>
      </c>
      <c r="II228">
        <v>1</v>
      </c>
      <c r="IJ228">
        <v>0</v>
      </c>
      <c r="IK228">
        <v>0</v>
      </c>
      <c r="IL228">
        <v>0</v>
      </c>
      <c r="IM228">
        <v>0</v>
      </c>
      <c r="IN228">
        <v>0</v>
      </c>
      <c r="IO228">
        <v>0</v>
      </c>
      <c r="IP228">
        <v>0</v>
      </c>
      <c r="IQ228">
        <v>0</v>
      </c>
      <c r="IS228">
        <v>1</v>
      </c>
      <c r="IT228">
        <v>1</v>
      </c>
      <c r="IU228">
        <v>0</v>
      </c>
      <c r="IV228">
        <v>0</v>
      </c>
      <c r="IW228">
        <v>0</v>
      </c>
    </row>
    <row r="229" spans="1:258" x14ac:dyDescent="0.35">
      <c r="A229">
        <v>393624</v>
      </c>
      <c r="C229">
        <v>1</v>
      </c>
      <c r="D229" t="s">
        <v>1116</v>
      </c>
      <c r="E229" t="s">
        <v>1117</v>
      </c>
      <c r="F229" t="s">
        <v>1090</v>
      </c>
      <c r="G229">
        <v>3</v>
      </c>
      <c r="I229">
        <v>1</v>
      </c>
      <c r="J229">
        <v>0</v>
      </c>
      <c r="K229">
        <v>1</v>
      </c>
      <c r="L229">
        <v>0</v>
      </c>
      <c r="M229">
        <v>0</v>
      </c>
      <c r="N229">
        <v>0</v>
      </c>
      <c r="O229">
        <v>0</v>
      </c>
      <c r="P229">
        <v>0</v>
      </c>
      <c r="Q229">
        <v>0</v>
      </c>
      <c r="R229">
        <v>1</v>
      </c>
      <c r="T229">
        <v>0</v>
      </c>
      <c r="U229">
        <v>1</v>
      </c>
      <c r="V229">
        <v>0</v>
      </c>
      <c r="X229">
        <v>20</v>
      </c>
      <c r="AA229">
        <v>20</v>
      </c>
      <c r="AC229">
        <v>1</v>
      </c>
      <c r="AD229">
        <v>1</v>
      </c>
      <c r="AE229">
        <v>0</v>
      </c>
      <c r="AF229">
        <v>0</v>
      </c>
      <c r="AG229">
        <v>0</v>
      </c>
      <c r="AH229">
        <v>0</v>
      </c>
      <c r="AJ229">
        <v>2</v>
      </c>
      <c r="AL229">
        <v>1</v>
      </c>
      <c r="AN229">
        <v>1</v>
      </c>
      <c r="AO229">
        <v>1</v>
      </c>
      <c r="AP229">
        <v>5</v>
      </c>
      <c r="AQ229">
        <v>2</v>
      </c>
      <c r="AS229">
        <v>2</v>
      </c>
      <c r="AT229">
        <v>2</v>
      </c>
      <c r="AU229">
        <v>2</v>
      </c>
      <c r="BC229">
        <v>1</v>
      </c>
      <c r="BD229">
        <v>0</v>
      </c>
      <c r="BE229">
        <v>1</v>
      </c>
      <c r="BF229">
        <v>0</v>
      </c>
      <c r="BG229">
        <v>1</v>
      </c>
      <c r="BH229">
        <v>0</v>
      </c>
      <c r="BI229">
        <v>0</v>
      </c>
      <c r="BJ229">
        <v>0</v>
      </c>
      <c r="BK229">
        <v>0</v>
      </c>
      <c r="BL229">
        <v>0</v>
      </c>
      <c r="BM229">
        <v>0</v>
      </c>
      <c r="BN229">
        <v>1</v>
      </c>
      <c r="BO229">
        <v>0</v>
      </c>
      <c r="BP229">
        <v>1</v>
      </c>
      <c r="BQ229">
        <v>0</v>
      </c>
      <c r="BR229">
        <v>0</v>
      </c>
      <c r="BS229">
        <v>0</v>
      </c>
      <c r="BU229">
        <v>5</v>
      </c>
      <c r="BV229">
        <v>4</v>
      </c>
      <c r="BX229">
        <v>3</v>
      </c>
      <c r="BY229">
        <v>4</v>
      </c>
      <c r="DI229">
        <v>0</v>
      </c>
      <c r="DJ229">
        <v>0</v>
      </c>
      <c r="DK229">
        <v>0</v>
      </c>
      <c r="DL229">
        <v>1</v>
      </c>
      <c r="DM229">
        <v>0</v>
      </c>
      <c r="DN229">
        <v>0</v>
      </c>
      <c r="DO229">
        <v>0</v>
      </c>
      <c r="DP229">
        <v>0</v>
      </c>
      <c r="DQ229">
        <v>0</v>
      </c>
      <c r="DR229">
        <v>0</v>
      </c>
      <c r="DT229">
        <v>0</v>
      </c>
      <c r="DU229">
        <v>0</v>
      </c>
      <c r="DV229">
        <v>0</v>
      </c>
      <c r="DW229">
        <v>1</v>
      </c>
      <c r="DX229">
        <v>0</v>
      </c>
      <c r="DY229">
        <v>0</v>
      </c>
      <c r="DZ229">
        <v>0</v>
      </c>
      <c r="EA229">
        <v>0</v>
      </c>
      <c r="EB229">
        <v>0</v>
      </c>
      <c r="EC229">
        <v>0</v>
      </c>
      <c r="ED229">
        <v>0</v>
      </c>
      <c r="EE229">
        <v>0</v>
      </c>
      <c r="EF229">
        <v>0</v>
      </c>
      <c r="IG229">
        <v>1</v>
      </c>
      <c r="IH229">
        <v>0</v>
      </c>
      <c r="II229">
        <v>1</v>
      </c>
      <c r="IJ229">
        <v>0</v>
      </c>
      <c r="IK229">
        <v>1</v>
      </c>
      <c r="IL229">
        <v>0</v>
      </c>
      <c r="IM229">
        <v>0</v>
      </c>
      <c r="IN229">
        <v>0</v>
      </c>
      <c r="IO229">
        <v>0</v>
      </c>
      <c r="IP229">
        <v>0</v>
      </c>
      <c r="IQ229">
        <v>0</v>
      </c>
      <c r="IS229">
        <v>2</v>
      </c>
    </row>
    <row r="230" spans="1:258" x14ac:dyDescent="0.35">
      <c r="A230">
        <v>362425</v>
      </c>
      <c r="C230">
        <v>1</v>
      </c>
      <c r="D230" t="s">
        <v>1118</v>
      </c>
      <c r="E230" t="s">
        <v>1119</v>
      </c>
      <c r="F230" t="s">
        <v>1090</v>
      </c>
      <c r="G230">
        <v>13</v>
      </c>
      <c r="I230">
        <v>1</v>
      </c>
      <c r="J230">
        <v>0</v>
      </c>
      <c r="K230">
        <v>1</v>
      </c>
      <c r="L230">
        <v>0</v>
      </c>
      <c r="M230">
        <v>0</v>
      </c>
      <c r="N230">
        <v>1</v>
      </c>
      <c r="O230">
        <v>0</v>
      </c>
      <c r="P230">
        <v>1</v>
      </c>
      <c r="Q230">
        <v>0</v>
      </c>
      <c r="R230">
        <v>1</v>
      </c>
      <c r="T230">
        <v>1</v>
      </c>
      <c r="U230">
        <v>1</v>
      </c>
      <c r="V230">
        <v>0</v>
      </c>
      <c r="W230">
        <v>20</v>
      </c>
      <c r="X230">
        <v>40</v>
      </c>
      <c r="Z230">
        <v>20</v>
      </c>
      <c r="AA230">
        <v>40</v>
      </c>
      <c r="AC230">
        <v>1</v>
      </c>
      <c r="AD230">
        <v>1</v>
      </c>
      <c r="AE230">
        <v>0</v>
      </c>
      <c r="AF230">
        <v>0</v>
      </c>
      <c r="AG230">
        <v>0</v>
      </c>
      <c r="AH230">
        <v>0</v>
      </c>
      <c r="AJ230">
        <v>1</v>
      </c>
      <c r="AL230">
        <v>1</v>
      </c>
      <c r="AN230">
        <v>1</v>
      </c>
      <c r="AO230">
        <v>1</v>
      </c>
      <c r="AP230">
        <v>2</v>
      </c>
      <c r="AQ230">
        <v>1</v>
      </c>
      <c r="AR230">
        <v>6</v>
      </c>
      <c r="AS230">
        <v>2</v>
      </c>
      <c r="AT230">
        <v>1</v>
      </c>
      <c r="AU230">
        <v>1</v>
      </c>
      <c r="AV230">
        <v>0</v>
      </c>
      <c r="AW230">
        <v>0</v>
      </c>
      <c r="AX230">
        <v>0</v>
      </c>
      <c r="AY230">
        <v>0</v>
      </c>
      <c r="AZ230">
        <v>1</v>
      </c>
      <c r="BA230">
        <v>0</v>
      </c>
      <c r="BC230">
        <v>0</v>
      </c>
      <c r="BD230">
        <v>0</v>
      </c>
      <c r="BE230">
        <v>1</v>
      </c>
      <c r="BF230">
        <v>0</v>
      </c>
      <c r="BG230">
        <v>1</v>
      </c>
      <c r="BH230">
        <v>0</v>
      </c>
      <c r="BI230">
        <v>0</v>
      </c>
      <c r="BJ230">
        <v>0</v>
      </c>
      <c r="BK230">
        <v>1</v>
      </c>
      <c r="BL230">
        <v>0</v>
      </c>
      <c r="BM230">
        <v>0</v>
      </c>
      <c r="BN230">
        <v>0</v>
      </c>
      <c r="BO230">
        <v>0</v>
      </c>
      <c r="BP230">
        <v>0</v>
      </c>
      <c r="BQ230">
        <v>0</v>
      </c>
      <c r="BR230">
        <v>0</v>
      </c>
      <c r="BS230">
        <v>0</v>
      </c>
      <c r="BU230">
        <v>9</v>
      </c>
      <c r="BV230">
        <v>3</v>
      </c>
      <c r="BW230" t="s">
        <v>1120</v>
      </c>
      <c r="BX230">
        <v>4</v>
      </c>
      <c r="BY230">
        <v>4</v>
      </c>
      <c r="DI230">
        <v>0</v>
      </c>
      <c r="DJ230">
        <v>0</v>
      </c>
      <c r="DK230">
        <v>0</v>
      </c>
      <c r="DL230">
        <v>0</v>
      </c>
      <c r="DM230">
        <v>0</v>
      </c>
      <c r="DN230">
        <v>1</v>
      </c>
      <c r="DO230">
        <v>0</v>
      </c>
      <c r="DP230">
        <v>0</v>
      </c>
      <c r="DQ230">
        <v>0</v>
      </c>
      <c r="DR230">
        <v>0</v>
      </c>
      <c r="DT230">
        <v>0</v>
      </c>
      <c r="DU230">
        <v>1</v>
      </c>
      <c r="DV230">
        <v>1</v>
      </c>
      <c r="DW230">
        <v>1</v>
      </c>
      <c r="DX230">
        <v>1</v>
      </c>
      <c r="DY230">
        <v>0</v>
      </c>
      <c r="DZ230">
        <v>0</v>
      </c>
      <c r="EA230">
        <v>0</v>
      </c>
      <c r="EB230">
        <v>0</v>
      </c>
      <c r="EC230">
        <v>0</v>
      </c>
      <c r="ED230">
        <v>0</v>
      </c>
      <c r="EE230">
        <v>0</v>
      </c>
      <c r="EF230">
        <v>0</v>
      </c>
      <c r="EI230" t="s">
        <v>1121</v>
      </c>
      <c r="EJ230">
        <v>0</v>
      </c>
      <c r="EK230">
        <v>0</v>
      </c>
      <c r="EL230">
        <v>0</v>
      </c>
      <c r="EM230">
        <v>0</v>
      </c>
      <c r="EN230">
        <v>0</v>
      </c>
      <c r="EO230">
        <v>0</v>
      </c>
      <c r="EP230">
        <v>0</v>
      </c>
      <c r="EQ230">
        <v>0</v>
      </c>
      <c r="ER230">
        <v>0</v>
      </c>
      <c r="ES230">
        <v>0</v>
      </c>
      <c r="ET230">
        <v>0</v>
      </c>
      <c r="EU230">
        <v>0</v>
      </c>
      <c r="EV230">
        <v>0</v>
      </c>
      <c r="EW230">
        <v>0</v>
      </c>
      <c r="EX230">
        <v>0</v>
      </c>
      <c r="EY230">
        <v>1</v>
      </c>
      <c r="EZ230">
        <v>0</v>
      </c>
      <c r="FA230">
        <v>0</v>
      </c>
      <c r="FB230">
        <v>0</v>
      </c>
      <c r="FC230">
        <v>0</v>
      </c>
      <c r="FD230">
        <v>0</v>
      </c>
      <c r="FE230">
        <v>0</v>
      </c>
      <c r="FF230" t="s">
        <v>300</v>
      </c>
      <c r="FG230">
        <v>1</v>
      </c>
      <c r="FH230">
        <v>0</v>
      </c>
      <c r="FI230">
        <v>0</v>
      </c>
      <c r="FJ230">
        <v>0</v>
      </c>
      <c r="FK230">
        <v>0</v>
      </c>
      <c r="FL230">
        <v>0</v>
      </c>
      <c r="FM230">
        <v>0</v>
      </c>
      <c r="FN230">
        <v>0</v>
      </c>
      <c r="FO230">
        <v>0</v>
      </c>
      <c r="FP230">
        <v>0</v>
      </c>
      <c r="FQ230">
        <v>0</v>
      </c>
      <c r="FR230">
        <v>0</v>
      </c>
      <c r="FS230">
        <v>0</v>
      </c>
      <c r="FT230">
        <v>0</v>
      </c>
      <c r="FU230">
        <v>0</v>
      </c>
      <c r="FV230">
        <v>0</v>
      </c>
      <c r="FW230">
        <v>0</v>
      </c>
      <c r="FX230">
        <v>0</v>
      </c>
      <c r="FY230">
        <v>0</v>
      </c>
      <c r="IG230">
        <v>1</v>
      </c>
      <c r="IH230">
        <v>0</v>
      </c>
      <c r="II230">
        <v>1</v>
      </c>
      <c r="IJ230">
        <v>0</v>
      </c>
      <c r="IK230">
        <v>0</v>
      </c>
      <c r="IL230">
        <v>0</v>
      </c>
      <c r="IM230">
        <v>0</v>
      </c>
      <c r="IN230">
        <v>0</v>
      </c>
      <c r="IO230">
        <v>0</v>
      </c>
      <c r="IP230">
        <v>0</v>
      </c>
      <c r="IQ230">
        <v>0</v>
      </c>
      <c r="IS230">
        <v>2</v>
      </c>
    </row>
    <row r="231" spans="1:258" x14ac:dyDescent="0.35">
      <c r="A231">
        <v>393623</v>
      </c>
      <c r="C231">
        <v>1</v>
      </c>
      <c r="D231" t="s">
        <v>1122</v>
      </c>
      <c r="E231" t="s">
        <v>1123</v>
      </c>
      <c r="F231" t="s">
        <v>1090</v>
      </c>
      <c r="G231">
        <v>6</v>
      </c>
      <c r="I231">
        <v>0</v>
      </c>
      <c r="J231">
        <v>1</v>
      </c>
      <c r="K231">
        <v>1</v>
      </c>
      <c r="L231">
        <v>0</v>
      </c>
      <c r="M231">
        <v>0</v>
      </c>
      <c r="N231">
        <v>0</v>
      </c>
      <c r="O231">
        <v>0</v>
      </c>
      <c r="P231">
        <v>1</v>
      </c>
      <c r="Q231">
        <v>0</v>
      </c>
      <c r="R231">
        <v>1</v>
      </c>
      <c r="T231">
        <v>1</v>
      </c>
      <c r="U231">
        <v>1</v>
      </c>
      <c r="V231">
        <v>0</v>
      </c>
      <c r="W231">
        <v>8</v>
      </c>
      <c r="X231">
        <v>160</v>
      </c>
      <c r="Z231">
        <v>8</v>
      </c>
      <c r="AA231">
        <v>160</v>
      </c>
      <c r="AC231">
        <v>1</v>
      </c>
      <c r="AD231">
        <v>0</v>
      </c>
      <c r="AE231">
        <v>0</v>
      </c>
      <c r="AF231">
        <v>1</v>
      </c>
      <c r="AG231">
        <v>0</v>
      </c>
      <c r="AH231">
        <v>0</v>
      </c>
      <c r="AJ231">
        <v>1</v>
      </c>
      <c r="AL231">
        <v>1</v>
      </c>
      <c r="AN231">
        <v>1</v>
      </c>
      <c r="AO231">
        <v>1</v>
      </c>
      <c r="AP231">
        <v>3</v>
      </c>
      <c r="AQ231">
        <v>1</v>
      </c>
      <c r="AR231">
        <v>1</v>
      </c>
      <c r="AS231">
        <v>1</v>
      </c>
      <c r="AT231">
        <v>2</v>
      </c>
      <c r="AU231">
        <v>1</v>
      </c>
      <c r="AV231">
        <v>1</v>
      </c>
      <c r="AW231">
        <v>0</v>
      </c>
      <c r="AX231">
        <v>0</v>
      </c>
      <c r="AY231">
        <v>0</v>
      </c>
      <c r="AZ231">
        <v>0</v>
      </c>
      <c r="BA231">
        <v>0</v>
      </c>
      <c r="BC231">
        <v>0</v>
      </c>
      <c r="BD231">
        <v>0</v>
      </c>
      <c r="BE231">
        <v>0</v>
      </c>
      <c r="BF231">
        <v>0</v>
      </c>
      <c r="BG231">
        <v>0</v>
      </c>
      <c r="BH231">
        <v>0</v>
      </c>
      <c r="BI231">
        <v>0</v>
      </c>
      <c r="BJ231">
        <v>0</v>
      </c>
      <c r="BK231">
        <v>1</v>
      </c>
      <c r="BL231">
        <v>0</v>
      </c>
      <c r="BM231">
        <v>0</v>
      </c>
      <c r="BN231">
        <v>0</v>
      </c>
      <c r="BO231">
        <v>0</v>
      </c>
      <c r="BP231">
        <v>1</v>
      </c>
      <c r="BQ231">
        <v>0</v>
      </c>
      <c r="BR231">
        <v>0</v>
      </c>
      <c r="BS231">
        <v>0</v>
      </c>
      <c r="BU231">
        <v>9</v>
      </c>
      <c r="BV231">
        <v>4</v>
      </c>
      <c r="BX231">
        <v>3</v>
      </c>
      <c r="BY231">
        <v>3</v>
      </c>
      <c r="DI231">
        <v>0</v>
      </c>
      <c r="DJ231">
        <v>1</v>
      </c>
      <c r="DK231">
        <v>1</v>
      </c>
      <c r="DL231">
        <v>0</v>
      </c>
      <c r="DM231">
        <v>0</v>
      </c>
      <c r="DN231">
        <v>1</v>
      </c>
      <c r="DO231">
        <v>0</v>
      </c>
      <c r="DP231">
        <v>0</v>
      </c>
      <c r="DQ231">
        <v>0</v>
      </c>
      <c r="DR231">
        <v>0</v>
      </c>
      <c r="DT231">
        <v>0</v>
      </c>
      <c r="DU231">
        <v>1</v>
      </c>
      <c r="DV231">
        <v>0</v>
      </c>
      <c r="DW231">
        <v>1</v>
      </c>
      <c r="DX231">
        <v>0</v>
      </c>
      <c r="DY231">
        <v>0</v>
      </c>
      <c r="DZ231">
        <v>0</v>
      </c>
      <c r="EA231">
        <v>0</v>
      </c>
      <c r="EB231">
        <v>0</v>
      </c>
      <c r="EC231">
        <v>0</v>
      </c>
      <c r="ED231">
        <v>0</v>
      </c>
      <c r="EE231">
        <v>0</v>
      </c>
      <c r="EF231">
        <v>0</v>
      </c>
      <c r="EI231" t="s">
        <v>570</v>
      </c>
      <c r="EJ231">
        <v>1</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c r="IG231">
        <v>0</v>
      </c>
      <c r="IH231">
        <v>0</v>
      </c>
      <c r="II231">
        <v>0</v>
      </c>
      <c r="IJ231">
        <v>0</v>
      </c>
      <c r="IK231">
        <v>0</v>
      </c>
      <c r="IL231">
        <v>0</v>
      </c>
      <c r="IM231">
        <v>0</v>
      </c>
      <c r="IN231">
        <v>0</v>
      </c>
      <c r="IO231">
        <v>0</v>
      </c>
      <c r="IP231">
        <v>0</v>
      </c>
      <c r="IQ231">
        <v>1</v>
      </c>
      <c r="IS231">
        <v>2</v>
      </c>
    </row>
    <row r="232" spans="1:258" x14ac:dyDescent="0.35">
      <c r="A232">
        <v>364228</v>
      </c>
      <c r="C232">
        <v>1</v>
      </c>
      <c r="D232" t="s">
        <v>1124</v>
      </c>
      <c r="E232" t="s">
        <v>1125</v>
      </c>
      <c r="F232" t="s">
        <v>1090</v>
      </c>
      <c r="G232">
        <v>3</v>
      </c>
      <c r="I232">
        <v>0</v>
      </c>
      <c r="J232">
        <v>0</v>
      </c>
      <c r="K232">
        <v>0</v>
      </c>
      <c r="L232">
        <v>0</v>
      </c>
      <c r="M232">
        <v>0</v>
      </c>
      <c r="N232">
        <v>0</v>
      </c>
      <c r="O232">
        <v>0</v>
      </c>
      <c r="P232">
        <v>1</v>
      </c>
      <c r="Q232">
        <v>0</v>
      </c>
      <c r="R232">
        <v>1</v>
      </c>
      <c r="T232">
        <v>0</v>
      </c>
      <c r="U232">
        <v>1</v>
      </c>
      <c r="V232">
        <v>0</v>
      </c>
      <c r="X232">
        <v>8</v>
      </c>
      <c r="AA232">
        <v>8</v>
      </c>
      <c r="AC232">
        <v>1</v>
      </c>
      <c r="AD232">
        <v>1</v>
      </c>
      <c r="AE232">
        <v>0</v>
      </c>
      <c r="AF232">
        <v>0</v>
      </c>
      <c r="AG232">
        <v>0</v>
      </c>
      <c r="AH232">
        <v>0</v>
      </c>
      <c r="AJ232">
        <v>1</v>
      </c>
      <c r="AL232">
        <v>1</v>
      </c>
      <c r="AN232">
        <v>1</v>
      </c>
      <c r="AO232">
        <v>1</v>
      </c>
      <c r="AP232">
        <v>4</v>
      </c>
      <c r="AQ232">
        <v>2</v>
      </c>
      <c r="AS232">
        <v>2</v>
      </c>
      <c r="AT232">
        <v>1</v>
      </c>
      <c r="AU232">
        <v>2</v>
      </c>
      <c r="BC232">
        <v>0</v>
      </c>
      <c r="BD232">
        <v>0</v>
      </c>
      <c r="BE232">
        <v>0</v>
      </c>
      <c r="BF232">
        <v>0</v>
      </c>
      <c r="BG232">
        <v>0</v>
      </c>
      <c r="BH232">
        <v>0</v>
      </c>
      <c r="BI232">
        <v>0</v>
      </c>
      <c r="BJ232">
        <v>0</v>
      </c>
      <c r="BK232">
        <v>0</v>
      </c>
      <c r="BL232">
        <v>0</v>
      </c>
      <c r="BM232">
        <v>0</v>
      </c>
      <c r="BN232">
        <v>0</v>
      </c>
      <c r="BO232">
        <v>0</v>
      </c>
      <c r="BP232">
        <v>0</v>
      </c>
      <c r="BQ232">
        <v>0</v>
      </c>
      <c r="BR232">
        <v>1</v>
      </c>
      <c r="BS232">
        <v>0</v>
      </c>
      <c r="BU232">
        <v>16</v>
      </c>
      <c r="BV232">
        <v>4</v>
      </c>
      <c r="BX232">
        <v>5</v>
      </c>
      <c r="BY232">
        <v>5</v>
      </c>
      <c r="DI232">
        <v>1</v>
      </c>
      <c r="DJ232">
        <v>1</v>
      </c>
      <c r="DK232">
        <v>1</v>
      </c>
      <c r="DL232">
        <v>0</v>
      </c>
      <c r="DM232">
        <v>1</v>
      </c>
      <c r="DN232">
        <v>0</v>
      </c>
      <c r="DO232">
        <v>0</v>
      </c>
      <c r="DP232">
        <v>0</v>
      </c>
      <c r="DQ232">
        <v>0</v>
      </c>
      <c r="DR232">
        <v>0</v>
      </c>
      <c r="DT232">
        <v>0</v>
      </c>
      <c r="DU232">
        <v>1</v>
      </c>
      <c r="DV232">
        <v>0</v>
      </c>
      <c r="DW232">
        <v>0</v>
      </c>
      <c r="DX232">
        <v>0</v>
      </c>
      <c r="DY232">
        <v>0</v>
      </c>
      <c r="DZ232">
        <v>0</v>
      </c>
      <c r="EA232">
        <v>1</v>
      </c>
      <c r="EB232">
        <v>0</v>
      </c>
      <c r="EC232">
        <v>0</v>
      </c>
      <c r="ED232">
        <v>0</v>
      </c>
      <c r="EE232">
        <v>0</v>
      </c>
      <c r="EF232">
        <v>0</v>
      </c>
      <c r="EI232" t="s">
        <v>1126</v>
      </c>
      <c r="EJ232">
        <v>1</v>
      </c>
      <c r="EK232">
        <v>1</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IG232">
        <v>0</v>
      </c>
      <c r="IH232">
        <v>0</v>
      </c>
      <c r="II232">
        <v>0</v>
      </c>
      <c r="IJ232">
        <v>0</v>
      </c>
      <c r="IK232">
        <v>0</v>
      </c>
      <c r="IL232">
        <v>0</v>
      </c>
      <c r="IM232">
        <v>0</v>
      </c>
      <c r="IN232">
        <v>0</v>
      </c>
      <c r="IO232">
        <v>0</v>
      </c>
      <c r="IP232">
        <v>0</v>
      </c>
      <c r="IQ232">
        <v>1</v>
      </c>
      <c r="IS232">
        <v>1</v>
      </c>
      <c r="IT232">
        <v>1</v>
      </c>
      <c r="IU232">
        <v>0</v>
      </c>
      <c r="IV232">
        <v>0</v>
      </c>
      <c r="IW232">
        <v>0</v>
      </c>
    </row>
    <row r="233" spans="1:258" x14ac:dyDescent="0.35">
      <c r="A233">
        <v>393104</v>
      </c>
      <c r="C233">
        <v>1</v>
      </c>
      <c r="D233" t="s">
        <v>1127</v>
      </c>
      <c r="E233" t="s">
        <v>1123</v>
      </c>
      <c r="F233" t="s">
        <v>1090</v>
      </c>
      <c r="G233">
        <v>3</v>
      </c>
      <c r="I233">
        <v>1</v>
      </c>
      <c r="J233">
        <v>1</v>
      </c>
      <c r="K233">
        <v>1</v>
      </c>
      <c r="L233">
        <v>0</v>
      </c>
      <c r="M233">
        <v>0</v>
      </c>
      <c r="N233">
        <v>0</v>
      </c>
      <c r="O233">
        <v>0</v>
      </c>
      <c r="P233">
        <v>1</v>
      </c>
      <c r="Q233">
        <v>0</v>
      </c>
      <c r="R233">
        <v>1</v>
      </c>
      <c r="T233">
        <v>1</v>
      </c>
      <c r="U233">
        <v>1</v>
      </c>
      <c r="V233">
        <v>0</v>
      </c>
      <c r="W233">
        <v>7</v>
      </c>
      <c r="X233">
        <v>45</v>
      </c>
      <c r="Z233">
        <v>7</v>
      </c>
      <c r="AA233">
        <v>45</v>
      </c>
      <c r="AC233">
        <v>1</v>
      </c>
      <c r="AD233">
        <v>1</v>
      </c>
      <c r="AE233">
        <v>0</v>
      </c>
      <c r="AF233">
        <v>0</v>
      </c>
      <c r="AG233">
        <v>0</v>
      </c>
      <c r="AH233">
        <v>0</v>
      </c>
      <c r="AJ233">
        <v>1</v>
      </c>
      <c r="AL233">
        <v>1</v>
      </c>
      <c r="AN233">
        <v>3</v>
      </c>
      <c r="AQ233">
        <v>2</v>
      </c>
      <c r="AS233">
        <v>2</v>
      </c>
      <c r="AT233">
        <v>1</v>
      </c>
      <c r="AU233">
        <v>2</v>
      </c>
      <c r="BC233">
        <v>0</v>
      </c>
      <c r="BD233">
        <v>0</v>
      </c>
      <c r="BE233">
        <v>0</v>
      </c>
      <c r="BF233">
        <v>0</v>
      </c>
      <c r="BG233">
        <v>0</v>
      </c>
      <c r="BH233">
        <v>0</v>
      </c>
      <c r="BI233">
        <v>0</v>
      </c>
      <c r="BJ233">
        <v>0</v>
      </c>
      <c r="BK233">
        <v>1</v>
      </c>
      <c r="BL233">
        <v>0</v>
      </c>
      <c r="BM233">
        <v>1</v>
      </c>
      <c r="BN233">
        <v>1</v>
      </c>
      <c r="BO233">
        <v>1</v>
      </c>
      <c r="BP233">
        <v>1</v>
      </c>
      <c r="BQ233">
        <v>0</v>
      </c>
      <c r="BR233">
        <v>0</v>
      </c>
      <c r="BS233">
        <v>0</v>
      </c>
      <c r="BU233">
        <v>9</v>
      </c>
      <c r="BV233">
        <v>3</v>
      </c>
      <c r="BW233" t="s">
        <v>1128</v>
      </c>
      <c r="BX233">
        <v>2</v>
      </c>
      <c r="BY233">
        <v>2</v>
      </c>
      <c r="DI233">
        <v>0</v>
      </c>
      <c r="DJ233">
        <v>1</v>
      </c>
      <c r="DK233">
        <v>1</v>
      </c>
      <c r="DL233">
        <v>0</v>
      </c>
      <c r="DM233">
        <v>0</v>
      </c>
      <c r="DN233">
        <v>0</v>
      </c>
      <c r="DO233">
        <v>1</v>
      </c>
      <c r="DP233">
        <v>0</v>
      </c>
      <c r="DQ233">
        <v>0</v>
      </c>
      <c r="DR233">
        <v>0</v>
      </c>
      <c r="DT233">
        <v>0</v>
      </c>
      <c r="DU233">
        <v>0</v>
      </c>
      <c r="DV233">
        <v>0</v>
      </c>
      <c r="DW233">
        <v>0</v>
      </c>
      <c r="DX233">
        <v>1</v>
      </c>
      <c r="DY233">
        <v>1</v>
      </c>
      <c r="DZ233">
        <v>0</v>
      </c>
      <c r="EA233">
        <v>0</v>
      </c>
      <c r="EB233">
        <v>1</v>
      </c>
      <c r="EC233">
        <v>0</v>
      </c>
      <c r="ED233">
        <v>1</v>
      </c>
      <c r="EE233">
        <v>0</v>
      </c>
      <c r="EF233">
        <v>0</v>
      </c>
      <c r="IG233">
        <v>1</v>
      </c>
      <c r="IH233">
        <v>0</v>
      </c>
      <c r="II233">
        <v>1</v>
      </c>
      <c r="IJ233">
        <v>0</v>
      </c>
      <c r="IK233">
        <v>0</v>
      </c>
      <c r="IL233">
        <v>0</v>
      </c>
      <c r="IM233">
        <v>1</v>
      </c>
      <c r="IN233">
        <v>0</v>
      </c>
      <c r="IO233">
        <v>0</v>
      </c>
      <c r="IP233">
        <v>0</v>
      </c>
      <c r="IQ233">
        <v>0</v>
      </c>
      <c r="IS233">
        <v>2</v>
      </c>
    </row>
    <row r="234" spans="1:258" x14ac:dyDescent="0.35">
      <c r="A234">
        <v>405534</v>
      </c>
      <c r="C234">
        <v>1</v>
      </c>
      <c r="D234" t="s">
        <v>1129</v>
      </c>
      <c r="E234" t="s">
        <v>1123</v>
      </c>
      <c r="F234" t="s">
        <v>1090</v>
      </c>
      <c r="G234">
        <v>3</v>
      </c>
      <c r="I234">
        <v>0</v>
      </c>
      <c r="J234">
        <v>1</v>
      </c>
      <c r="K234">
        <v>0</v>
      </c>
      <c r="L234">
        <v>0</v>
      </c>
      <c r="M234">
        <v>0</v>
      </c>
      <c r="N234">
        <v>0</v>
      </c>
      <c r="O234">
        <v>0</v>
      </c>
      <c r="P234">
        <v>0</v>
      </c>
      <c r="Q234">
        <v>0</v>
      </c>
      <c r="R234">
        <v>1</v>
      </c>
      <c r="T234">
        <v>1</v>
      </c>
      <c r="U234">
        <v>1</v>
      </c>
      <c r="V234">
        <v>0</v>
      </c>
      <c r="W234">
        <v>4</v>
      </c>
      <c r="X234">
        <v>80</v>
      </c>
      <c r="Z234">
        <v>4</v>
      </c>
      <c r="AA234">
        <v>80</v>
      </c>
      <c r="AC234">
        <v>1</v>
      </c>
      <c r="AD234">
        <v>1</v>
      </c>
      <c r="AE234">
        <v>0</v>
      </c>
      <c r="AF234">
        <v>1</v>
      </c>
      <c r="AG234">
        <v>0</v>
      </c>
      <c r="AH234">
        <v>0</v>
      </c>
      <c r="AJ234">
        <v>1</v>
      </c>
      <c r="AL234">
        <v>1</v>
      </c>
      <c r="AN234">
        <v>1</v>
      </c>
      <c r="AO234">
        <v>1</v>
      </c>
      <c r="AP234">
        <v>1</v>
      </c>
      <c r="AQ234">
        <v>1</v>
      </c>
      <c r="AR234">
        <v>5</v>
      </c>
      <c r="AS234">
        <v>2</v>
      </c>
      <c r="AT234">
        <v>1</v>
      </c>
      <c r="AU234">
        <v>2</v>
      </c>
      <c r="BC234">
        <v>0</v>
      </c>
      <c r="BD234">
        <v>0</v>
      </c>
      <c r="BE234">
        <v>0</v>
      </c>
      <c r="BF234">
        <v>0</v>
      </c>
      <c r="BG234">
        <v>0</v>
      </c>
      <c r="BH234">
        <v>0</v>
      </c>
      <c r="BI234">
        <v>0</v>
      </c>
      <c r="BJ234">
        <v>0</v>
      </c>
      <c r="BK234">
        <v>0</v>
      </c>
      <c r="BL234">
        <v>0</v>
      </c>
      <c r="BM234">
        <v>0</v>
      </c>
      <c r="BN234">
        <v>0</v>
      </c>
      <c r="BO234">
        <v>0</v>
      </c>
      <c r="BP234">
        <v>0</v>
      </c>
      <c r="BQ234">
        <v>0</v>
      </c>
      <c r="BR234">
        <v>0</v>
      </c>
      <c r="BS234">
        <v>1</v>
      </c>
      <c r="BT234" t="s">
        <v>1130</v>
      </c>
      <c r="BU234">
        <v>1</v>
      </c>
      <c r="BV234">
        <v>4</v>
      </c>
    </row>
    <row r="235" spans="1:258" x14ac:dyDescent="0.35">
      <c r="A235">
        <v>374823</v>
      </c>
      <c r="C235">
        <v>1</v>
      </c>
      <c r="D235" t="s">
        <v>1131</v>
      </c>
      <c r="E235" t="s">
        <v>1132</v>
      </c>
      <c r="F235" t="s">
        <v>1090</v>
      </c>
      <c r="G235">
        <v>3</v>
      </c>
      <c r="I235">
        <v>1</v>
      </c>
      <c r="J235">
        <v>0</v>
      </c>
      <c r="K235">
        <v>1</v>
      </c>
      <c r="L235">
        <v>0</v>
      </c>
      <c r="M235">
        <v>0</v>
      </c>
      <c r="N235">
        <v>0</v>
      </c>
      <c r="O235">
        <v>0</v>
      </c>
      <c r="P235">
        <v>0</v>
      </c>
      <c r="Q235">
        <v>0</v>
      </c>
      <c r="R235">
        <v>1</v>
      </c>
      <c r="T235">
        <v>1</v>
      </c>
      <c r="U235">
        <v>1</v>
      </c>
      <c r="V235">
        <v>0</v>
      </c>
      <c r="W235">
        <v>1</v>
      </c>
      <c r="X235">
        <v>16</v>
      </c>
      <c r="Z235">
        <v>1</v>
      </c>
      <c r="AA235">
        <v>16</v>
      </c>
      <c r="AC235">
        <v>1</v>
      </c>
      <c r="AD235">
        <v>1</v>
      </c>
      <c r="AE235">
        <v>0</v>
      </c>
      <c r="AF235">
        <v>0</v>
      </c>
      <c r="AG235">
        <v>0</v>
      </c>
      <c r="AH235">
        <v>0</v>
      </c>
      <c r="AJ235">
        <v>1</v>
      </c>
      <c r="AL235">
        <v>1</v>
      </c>
      <c r="AN235">
        <v>1</v>
      </c>
      <c r="AO235">
        <v>1</v>
      </c>
      <c r="AP235">
        <v>4</v>
      </c>
      <c r="AQ235">
        <v>2</v>
      </c>
      <c r="AS235">
        <v>2</v>
      </c>
      <c r="AT235">
        <v>1</v>
      </c>
      <c r="AU235">
        <v>1</v>
      </c>
      <c r="AV235">
        <v>0</v>
      </c>
      <c r="AW235">
        <v>0</v>
      </c>
      <c r="AX235">
        <v>1</v>
      </c>
      <c r="AY235">
        <v>1</v>
      </c>
      <c r="AZ235">
        <v>0</v>
      </c>
      <c r="BA235">
        <v>0</v>
      </c>
      <c r="BC235">
        <v>0</v>
      </c>
      <c r="BD235">
        <v>0</v>
      </c>
      <c r="BE235">
        <v>1</v>
      </c>
      <c r="BF235">
        <v>0</v>
      </c>
      <c r="BG235">
        <v>1</v>
      </c>
      <c r="BH235">
        <v>0</v>
      </c>
      <c r="BI235">
        <v>0</v>
      </c>
      <c r="BJ235">
        <v>0</v>
      </c>
      <c r="BK235">
        <v>1</v>
      </c>
      <c r="BL235">
        <v>1</v>
      </c>
      <c r="BM235">
        <v>1</v>
      </c>
      <c r="BN235">
        <v>1</v>
      </c>
      <c r="BO235">
        <v>0</v>
      </c>
      <c r="BP235">
        <v>1</v>
      </c>
      <c r="BQ235">
        <v>0</v>
      </c>
      <c r="BR235">
        <v>0</v>
      </c>
      <c r="BS235">
        <v>0</v>
      </c>
      <c r="BU235">
        <v>3</v>
      </c>
      <c r="BV235">
        <v>4</v>
      </c>
      <c r="BX235">
        <v>5</v>
      </c>
      <c r="BY235">
        <v>3</v>
      </c>
      <c r="DI235">
        <v>1</v>
      </c>
      <c r="DJ235">
        <v>1</v>
      </c>
      <c r="DK235">
        <v>1</v>
      </c>
      <c r="DL235">
        <v>0</v>
      </c>
      <c r="DM235">
        <v>0</v>
      </c>
      <c r="DN235">
        <v>1</v>
      </c>
      <c r="DO235">
        <v>0</v>
      </c>
      <c r="DP235">
        <v>0</v>
      </c>
      <c r="DQ235">
        <v>0</v>
      </c>
      <c r="DR235">
        <v>0</v>
      </c>
      <c r="DT235">
        <v>1</v>
      </c>
      <c r="DU235">
        <v>1</v>
      </c>
      <c r="DV235">
        <v>0</v>
      </c>
      <c r="DW235">
        <v>1</v>
      </c>
      <c r="DX235">
        <v>1</v>
      </c>
      <c r="DY235">
        <v>0</v>
      </c>
      <c r="DZ235">
        <v>0</v>
      </c>
      <c r="EA235">
        <v>0</v>
      </c>
      <c r="EB235">
        <v>0</v>
      </c>
      <c r="EC235">
        <v>0</v>
      </c>
      <c r="ED235">
        <v>0</v>
      </c>
      <c r="EE235">
        <v>0</v>
      </c>
      <c r="EF235">
        <v>0</v>
      </c>
      <c r="EG235" t="s">
        <v>1133</v>
      </c>
      <c r="EH235">
        <v>13</v>
      </c>
      <c r="EI235" t="s">
        <v>1134</v>
      </c>
      <c r="EJ235">
        <v>1</v>
      </c>
      <c r="EK235">
        <v>1</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IG235">
        <v>0</v>
      </c>
      <c r="IH235">
        <v>0</v>
      </c>
      <c r="II235">
        <v>1</v>
      </c>
      <c r="IJ235">
        <v>0</v>
      </c>
      <c r="IK235">
        <v>0</v>
      </c>
      <c r="IL235">
        <v>1</v>
      </c>
      <c r="IM235">
        <v>0</v>
      </c>
      <c r="IN235">
        <v>0</v>
      </c>
      <c r="IO235">
        <v>0</v>
      </c>
      <c r="IP235">
        <v>0</v>
      </c>
      <c r="IQ235">
        <v>0</v>
      </c>
      <c r="IS235">
        <v>2</v>
      </c>
    </row>
    <row r="236" spans="1:258" x14ac:dyDescent="0.35">
      <c r="A236">
        <v>405198</v>
      </c>
      <c r="C236">
        <v>1</v>
      </c>
      <c r="D236" t="s">
        <v>1135</v>
      </c>
      <c r="E236" t="s">
        <v>1136</v>
      </c>
      <c r="F236" t="s">
        <v>1090</v>
      </c>
      <c r="G236">
        <v>3</v>
      </c>
      <c r="I236">
        <v>1</v>
      </c>
      <c r="J236">
        <v>0</v>
      </c>
      <c r="K236">
        <v>1</v>
      </c>
      <c r="L236">
        <v>0</v>
      </c>
      <c r="M236">
        <v>0</v>
      </c>
      <c r="N236">
        <v>0</v>
      </c>
      <c r="O236">
        <v>0</v>
      </c>
      <c r="P236">
        <v>1</v>
      </c>
      <c r="Q236">
        <v>0</v>
      </c>
      <c r="R236">
        <v>1</v>
      </c>
      <c r="T236">
        <v>1</v>
      </c>
      <c r="U236">
        <v>1</v>
      </c>
      <c r="V236">
        <v>0</v>
      </c>
      <c r="W236">
        <v>2</v>
      </c>
      <c r="X236">
        <v>7</v>
      </c>
      <c r="Z236">
        <v>2</v>
      </c>
      <c r="AA236">
        <v>7</v>
      </c>
      <c r="AC236">
        <v>1</v>
      </c>
      <c r="AD236">
        <v>1</v>
      </c>
      <c r="AE236">
        <v>0</v>
      </c>
      <c r="AF236">
        <v>0</v>
      </c>
      <c r="AG236">
        <v>0</v>
      </c>
      <c r="AH236">
        <v>0</v>
      </c>
      <c r="AJ236">
        <v>1</v>
      </c>
      <c r="AL236">
        <v>1</v>
      </c>
      <c r="AN236">
        <v>1</v>
      </c>
      <c r="AO236">
        <v>1</v>
      </c>
      <c r="AP236">
        <v>5</v>
      </c>
      <c r="AQ236">
        <v>1</v>
      </c>
      <c r="AR236">
        <v>6</v>
      </c>
      <c r="AS236">
        <v>2</v>
      </c>
      <c r="AT236">
        <v>1</v>
      </c>
      <c r="AU236">
        <v>1</v>
      </c>
      <c r="AV236">
        <v>1</v>
      </c>
      <c r="AW236">
        <v>0</v>
      </c>
      <c r="AX236">
        <v>1</v>
      </c>
      <c r="AY236">
        <v>0</v>
      </c>
      <c r="AZ236">
        <v>0</v>
      </c>
      <c r="BA236">
        <v>1</v>
      </c>
      <c r="BB236" t="s">
        <v>1137</v>
      </c>
      <c r="BC236">
        <v>1</v>
      </c>
      <c r="BD236">
        <v>1</v>
      </c>
      <c r="BE236">
        <v>1</v>
      </c>
      <c r="BF236">
        <v>1</v>
      </c>
      <c r="BG236">
        <v>1</v>
      </c>
      <c r="BH236">
        <v>1</v>
      </c>
      <c r="BI236">
        <v>0</v>
      </c>
      <c r="BJ236">
        <v>1</v>
      </c>
      <c r="BK236">
        <v>1</v>
      </c>
      <c r="BL236">
        <v>0</v>
      </c>
      <c r="BM236">
        <v>1</v>
      </c>
      <c r="BN236">
        <v>1</v>
      </c>
      <c r="BO236">
        <v>0</v>
      </c>
      <c r="BP236">
        <v>1</v>
      </c>
      <c r="BQ236">
        <v>0</v>
      </c>
      <c r="BR236">
        <v>1</v>
      </c>
      <c r="BS236">
        <v>0</v>
      </c>
      <c r="BU236">
        <v>2</v>
      </c>
      <c r="BV236">
        <v>4</v>
      </c>
      <c r="BX236">
        <v>1</v>
      </c>
      <c r="BY236">
        <v>1</v>
      </c>
      <c r="DI236">
        <v>0</v>
      </c>
      <c r="DJ236">
        <v>1</v>
      </c>
      <c r="DK236">
        <v>1</v>
      </c>
      <c r="DL236">
        <v>0</v>
      </c>
      <c r="DM236">
        <v>0</v>
      </c>
      <c r="DN236">
        <v>0</v>
      </c>
      <c r="DO236">
        <v>0</v>
      </c>
      <c r="DP236">
        <v>0</v>
      </c>
      <c r="DQ236">
        <v>1</v>
      </c>
      <c r="DR236">
        <v>0</v>
      </c>
      <c r="DS236" t="s">
        <v>1138</v>
      </c>
      <c r="DT236">
        <v>0</v>
      </c>
      <c r="DU236">
        <v>1</v>
      </c>
      <c r="DV236">
        <v>0</v>
      </c>
      <c r="DW236">
        <v>1</v>
      </c>
      <c r="DX236">
        <v>0</v>
      </c>
      <c r="DY236">
        <v>0</v>
      </c>
      <c r="DZ236">
        <v>0</v>
      </c>
      <c r="EA236">
        <v>0</v>
      </c>
      <c r="EB236">
        <v>0</v>
      </c>
      <c r="EC236">
        <v>0</v>
      </c>
      <c r="ED236">
        <v>1</v>
      </c>
      <c r="EE236">
        <v>0</v>
      </c>
      <c r="EF236">
        <v>0</v>
      </c>
      <c r="EI236" t="s">
        <v>1139</v>
      </c>
      <c r="EJ236">
        <v>1</v>
      </c>
      <c r="EK236">
        <v>1</v>
      </c>
      <c r="EL236">
        <v>0</v>
      </c>
      <c r="EM236">
        <v>0</v>
      </c>
      <c r="EN236">
        <v>0</v>
      </c>
      <c r="EO236">
        <v>0</v>
      </c>
      <c r="EP236">
        <v>0</v>
      </c>
      <c r="EQ236">
        <v>0</v>
      </c>
      <c r="ER236">
        <v>0</v>
      </c>
      <c r="ES236">
        <v>0</v>
      </c>
      <c r="ET236">
        <v>0</v>
      </c>
      <c r="EU236">
        <v>0</v>
      </c>
      <c r="EV236">
        <v>0</v>
      </c>
      <c r="EW236">
        <v>0</v>
      </c>
      <c r="EX236">
        <v>0</v>
      </c>
      <c r="EY236">
        <v>0</v>
      </c>
      <c r="EZ236">
        <v>0</v>
      </c>
      <c r="FA236">
        <v>0</v>
      </c>
      <c r="FB236">
        <v>0</v>
      </c>
      <c r="FC236">
        <v>0</v>
      </c>
      <c r="FD236">
        <v>0</v>
      </c>
      <c r="FE236">
        <v>0</v>
      </c>
      <c r="IG236">
        <v>1</v>
      </c>
      <c r="IH236">
        <v>0</v>
      </c>
      <c r="II236">
        <v>1</v>
      </c>
      <c r="IJ236">
        <v>0</v>
      </c>
      <c r="IK236">
        <v>1</v>
      </c>
      <c r="IL236">
        <v>0</v>
      </c>
      <c r="IM236">
        <v>0</v>
      </c>
      <c r="IN236">
        <v>0</v>
      </c>
      <c r="IO236">
        <v>0</v>
      </c>
      <c r="IP236">
        <v>0</v>
      </c>
      <c r="IQ236">
        <v>0</v>
      </c>
      <c r="IS236">
        <v>2</v>
      </c>
    </row>
    <row r="237" spans="1:258" x14ac:dyDescent="0.35">
      <c r="A237">
        <v>392885</v>
      </c>
      <c r="C237">
        <v>1</v>
      </c>
      <c r="D237" t="s">
        <v>1140</v>
      </c>
      <c r="E237" t="s">
        <v>1141</v>
      </c>
      <c r="F237" t="s">
        <v>1142</v>
      </c>
      <c r="G237">
        <v>3</v>
      </c>
      <c r="I237">
        <v>0</v>
      </c>
      <c r="J237">
        <v>0</v>
      </c>
      <c r="K237">
        <v>1</v>
      </c>
      <c r="L237">
        <v>0</v>
      </c>
      <c r="M237">
        <v>0</v>
      </c>
      <c r="N237">
        <v>0</v>
      </c>
      <c r="O237">
        <v>0</v>
      </c>
      <c r="P237">
        <v>0</v>
      </c>
      <c r="Q237">
        <v>0</v>
      </c>
      <c r="R237">
        <v>1</v>
      </c>
    </row>
    <row r="238" spans="1:258" x14ac:dyDescent="0.35">
      <c r="A238">
        <v>405203</v>
      </c>
      <c r="C238">
        <v>1</v>
      </c>
      <c r="D238" t="s">
        <v>1143</v>
      </c>
      <c r="E238" t="s">
        <v>1144</v>
      </c>
      <c r="F238" t="s">
        <v>1142</v>
      </c>
      <c r="G238">
        <v>2</v>
      </c>
      <c r="I238">
        <v>1</v>
      </c>
      <c r="J238">
        <v>0</v>
      </c>
      <c r="K238">
        <v>0</v>
      </c>
      <c r="L238">
        <v>0</v>
      </c>
      <c r="M238">
        <v>0</v>
      </c>
      <c r="N238">
        <v>0</v>
      </c>
      <c r="O238">
        <v>0</v>
      </c>
      <c r="P238">
        <v>0</v>
      </c>
      <c r="Q238">
        <v>0</v>
      </c>
      <c r="R238">
        <v>1</v>
      </c>
      <c r="T238">
        <v>1</v>
      </c>
      <c r="U238">
        <v>1</v>
      </c>
      <c r="V238">
        <v>1</v>
      </c>
      <c r="W238">
        <v>15</v>
      </c>
      <c r="X238">
        <v>23</v>
      </c>
      <c r="Y238">
        <v>33</v>
      </c>
      <c r="Z238">
        <v>15</v>
      </c>
      <c r="AA238">
        <v>23</v>
      </c>
      <c r="AB238">
        <v>33</v>
      </c>
      <c r="AC238">
        <v>1</v>
      </c>
      <c r="AD238">
        <v>1</v>
      </c>
      <c r="AE238">
        <v>1</v>
      </c>
      <c r="AF238">
        <v>1</v>
      </c>
      <c r="AG238">
        <v>0</v>
      </c>
      <c r="AH238">
        <v>0</v>
      </c>
      <c r="AJ238">
        <v>1</v>
      </c>
      <c r="AL238">
        <v>1</v>
      </c>
      <c r="AN238">
        <v>1</v>
      </c>
      <c r="AO238">
        <v>3</v>
      </c>
      <c r="AP238">
        <v>5</v>
      </c>
      <c r="AQ238">
        <v>2</v>
      </c>
      <c r="AS238">
        <v>1</v>
      </c>
      <c r="AT238">
        <v>1</v>
      </c>
      <c r="AU238">
        <v>2</v>
      </c>
      <c r="BC238">
        <v>0</v>
      </c>
      <c r="BD238">
        <v>0</v>
      </c>
      <c r="BE238">
        <v>1</v>
      </c>
      <c r="BF238">
        <v>0</v>
      </c>
      <c r="BG238">
        <v>1</v>
      </c>
      <c r="BH238">
        <v>0</v>
      </c>
      <c r="BI238">
        <v>0</v>
      </c>
      <c r="BJ238">
        <v>0</v>
      </c>
      <c r="BK238">
        <v>1</v>
      </c>
      <c r="BL238">
        <v>0</v>
      </c>
      <c r="BM238">
        <v>0</v>
      </c>
      <c r="BN238">
        <v>0</v>
      </c>
      <c r="BO238">
        <v>0</v>
      </c>
      <c r="BP238">
        <v>0</v>
      </c>
      <c r="BQ238">
        <v>0</v>
      </c>
      <c r="BR238">
        <v>0</v>
      </c>
      <c r="BS238">
        <v>0</v>
      </c>
      <c r="BU238">
        <v>9</v>
      </c>
      <c r="BV238">
        <v>4</v>
      </c>
      <c r="BX238">
        <v>1</v>
      </c>
      <c r="BY238">
        <v>1</v>
      </c>
      <c r="DI238">
        <v>0</v>
      </c>
      <c r="DJ238">
        <v>0</v>
      </c>
      <c r="DK238">
        <v>0</v>
      </c>
      <c r="DL238">
        <v>0</v>
      </c>
      <c r="DM238">
        <v>1</v>
      </c>
      <c r="DN238">
        <v>1</v>
      </c>
      <c r="DO238">
        <v>0</v>
      </c>
      <c r="DP238">
        <v>0</v>
      </c>
      <c r="DQ238">
        <v>0</v>
      </c>
      <c r="DR238">
        <v>0</v>
      </c>
      <c r="DT238">
        <v>0</v>
      </c>
      <c r="DU238">
        <v>0</v>
      </c>
      <c r="DV238">
        <v>0</v>
      </c>
      <c r="DW238">
        <v>1</v>
      </c>
      <c r="DX238">
        <v>1</v>
      </c>
      <c r="DY238">
        <v>0</v>
      </c>
      <c r="DZ238">
        <v>0</v>
      </c>
      <c r="EA238">
        <v>0</v>
      </c>
      <c r="EB238">
        <v>0</v>
      </c>
      <c r="EC238">
        <v>0</v>
      </c>
      <c r="ED238">
        <v>0</v>
      </c>
      <c r="EE238">
        <v>0</v>
      </c>
      <c r="EF238">
        <v>0</v>
      </c>
      <c r="IG238">
        <v>1</v>
      </c>
      <c r="IH238">
        <v>0</v>
      </c>
      <c r="II238">
        <v>0</v>
      </c>
      <c r="IJ238">
        <v>0</v>
      </c>
      <c r="IK238">
        <v>0</v>
      </c>
      <c r="IL238">
        <v>1</v>
      </c>
      <c r="IM238">
        <v>1</v>
      </c>
      <c r="IN238">
        <v>0</v>
      </c>
      <c r="IO238">
        <v>0</v>
      </c>
      <c r="IP238">
        <v>0</v>
      </c>
      <c r="IQ238">
        <v>0</v>
      </c>
      <c r="IS238">
        <v>2</v>
      </c>
    </row>
    <row r="239" spans="1:258" x14ac:dyDescent="0.35">
      <c r="A239">
        <v>362533</v>
      </c>
      <c r="C239">
        <v>1</v>
      </c>
      <c r="D239" t="s">
        <v>1145</v>
      </c>
      <c r="E239" t="s">
        <v>1057</v>
      </c>
      <c r="F239" t="s">
        <v>1142</v>
      </c>
      <c r="G239">
        <v>3</v>
      </c>
      <c r="I239">
        <v>0</v>
      </c>
      <c r="J239">
        <v>0</v>
      </c>
      <c r="K239">
        <v>1</v>
      </c>
      <c r="L239">
        <v>0</v>
      </c>
      <c r="M239">
        <v>0</v>
      </c>
      <c r="N239">
        <v>0</v>
      </c>
      <c r="O239">
        <v>0</v>
      </c>
      <c r="P239">
        <v>0</v>
      </c>
      <c r="Q239">
        <v>0</v>
      </c>
      <c r="R239">
        <v>1</v>
      </c>
      <c r="T239">
        <v>0</v>
      </c>
      <c r="U239">
        <v>1</v>
      </c>
      <c r="V239">
        <v>1</v>
      </c>
      <c r="X239">
        <v>20</v>
      </c>
      <c r="Y239">
        <v>55</v>
      </c>
      <c r="AA239">
        <v>20</v>
      </c>
      <c r="AB239">
        <v>55</v>
      </c>
      <c r="AC239">
        <v>1</v>
      </c>
      <c r="AD239">
        <v>1</v>
      </c>
      <c r="AE239">
        <v>0</v>
      </c>
      <c r="AF239">
        <v>0</v>
      </c>
      <c r="AG239">
        <v>0</v>
      </c>
      <c r="AH239">
        <v>0</v>
      </c>
      <c r="AJ239">
        <v>2</v>
      </c>
      <c r="AL239">
        <v>1</v>
      </c>
      <c r="AN239">
        <v>1</v>
      </c>
      <c r="AO239">
        <v>1</v>
      </c>
      <c r="AP239">
        <v>4</v>
      </c>
      <c r="AQ239">
        <v>1</v>
      </c>
      <c r="AR239">
        <v>4</v>
      </c>
      <c r="AS239">
        <v>2</v>
      </c>
      <c r="AT239">
        <v>1</v>
      </c>
      <c r="AU239">
        <v>1</v>
      </c>
      <c r="AV239">
        <v>1</v>
      </c>
      <c r="AW239">
        <v>0</v>
      </c>
      <c r="AX239">
        <v>0</v>
      </c>
      <c r="AY239">
        <v>1</v>
      </c>
      <c r="AZ239">
        <v>0</v>
      </c>
      <c r="BA239">
        <v>0</v>
      </c>
      <c r="BC239">
        <v>0</v>
      </c>
      <c r="BD239">
        <v>0</v>
      </c>
      <c r="BE239">
        <v>0</v>
      </c>
      <c r="BF239">
        <v>0</v>
      </c>
      <c r="BG239">
        <v>0</v>
      </c>
      <c r="BH239">
        <v>0</v>
      </c>
      <c r="BI239">
        <v>0</v>
      </c>
      <c r="BJ239">
        <v>0</v>
      </c>
      <c r="BK239">
        <v>0</v>
      </c>
      <c r="BL239">
        <v>0</v>
      </c>
      <c r="BM239">
        <v>0</v>
      </c>
      <c r="BN239">
        <v>0</v>
      </c>
      <c r="BO239">
        <v>0</v>
      </c>
      <c r="BP239">
        <v>0</v>
      </c>
      <c r="BQ239">
        <v>0</v>
      </c>
      <c r="BR239">
        <v>0</v>
      </c>
      <c r="BS239">
        <v>1</v>
      </c>
      <c r="BT239" t="s">
        <v>1146</v>
      </c>
      <c r="BU239">
        <v>1</v>
      </c>
      <c r="BV239">
        <v>4</v>
      </c>
      <c r="BX239">
        <v>4</v>
      </c>
      <c r="BY239">
        <v>5</v>
      </c>
      <c r="DI239">
        <v>1</v>
      </c>
      <c r="DJ239">
        <v>0</v>
      </c>
      <c r="DK239">
        <v>0</v>
      </c>
      <c r="DL239">
        <v>0</v>
      </c>
      <c r="DM239">
        <v>1</v>
      </c>
      <c r="DN239">
        <v>0</v>
      </c>
      <c r="DO239">
        <v>0</v>
      </c>
      <c r="DP239">
        <v>0</v>
      </c>
      <c r="DQ239">
        <v>0</v>
      </c>
      <c r="DR239">
        <v>0</v>
      </c>
      <c r="DT239">
        <v>0</v>
      </c>
      <c r="DU239">
        <v>1</v>
      </c>
      <c r="DV239">
        <v>0</v>
      </c>
      <c r="DW239">
        <v>1</v>
      </c>
      <c r="DX239">
        <v>1</v>
      </c>
      <c r="DY239">
        <v>0</v>
      </c>
      <c r="DZ239">
        <v>0</v>
      </c>
      <c r="EA239">
        <v>0</v>
      </c>
      <c r="EB239">
        <v>0</v>
      </c>
      <c r="EC239">
        <v>0</v>
      </c>
      <c r="ED239">
        <v>1</v>
      </c>
      <c r="EE239">
        <v>0</v>
      </c>
      <c r="EF239">
        <v>0</v>
      </c>
      <c r="EI239" t="s">
        <v>274</v>
      </c>
      <c r="EJ239">
        <v>1</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0</v>
      </c>
      <c r="IG239">
        <v>1</v>
      </c>
      <c r="IH239">
        <v>0</v>
      </c>
      <c r="II239">
        <v>1</v>
      </c>
      <c r="IJ239">
        <v>0</v>
      </c>
      <c r="IK239">
        <v>0</v>
      </c>
      <c r="IL239">
        <v>0</v>
      </c>
      <c r="IM239">
        <v>0</v>
      </c>
      <c r="IN239">
        <v>0</v>
      </c>
      <c r="IO239">
        <v>0</v>
      </c>
      <c r="IP239">
        <v>0</v>
      </c>
      <c r="IQ239">
        <v>0</v>
      </c>
      <c r="IS239">
        <v>1</v>
      </c>
      <c r="IT239">
        <v>1</v>
      </c>
      <c r="IU239">
        <v>1</v>
      </c>
      <c r="IV239">
        <v>0</v>
      </c>
      <c r="IW239">
        <v>0</v>
      </c>
    </row>
    <row r="240" spans="1:258" x14ac:dyDescent="0.35">
      <c r="A240">
        <v>405458</v>
      </c>
      <c r="C240">
        <v>1</v>
      </c>
      <c r="D240" t="s">
        <v>1147</v>
      </c>
      <c r="E240" t="s">
        <v>1148</v>
      </c>
      <c r="F240" t="s">
        <v>1149</v>
      </c>
      <c r="G240">
        <v>3</v>
      </c>
      <c r="I240">
        <v>0</v>
      </c>
      <c r="J240">
        <v>1</v>
      </c>
      <c r="K240">
        <v>1</v>
      </c>
      <c r="L240">
        <v>0</v>
      </c>
      <c r="M240">
        <v>0</v>
      </c>
      <c r="N240">
        <v>0</v>
      </c>
      <c r="O240">
        <v>0</v>
      </c>
      <c r="P240">
        <v>0</v>
      </c>
      <c r="Q240">
        <v>0</v>
      </c>
      <c r="R240">
        <v>1</v>
      </c>
      <c r="T240">
        <v>1</v>
      </c>
      <c r="U240">
        <v>1</v>
      </c>
      <c r="V240">
        <v>0</v>
      </c>
      <c r="W240">
        <v>8</v>
      </c>
      <c r="X240">
        <v>320</v>
      </c>
      <c r="Z240">
        <v>8</v>
      </c>
      <c r="AA240">
        <v>320</v>
      </c>
      <c r="AC240">
        <v>1</v>
      </c>
      <c r="AD240">
        <v>0</v>
      </c>
      <c r="AE240">
        <v>0</v>
      </c>
      <c r="AF240">
        <v>1</v>
      </c>
      <c r="AG240">
        <v>0</v>
      </c>
      <c r="AH240">
        <v>0</v>
      </c>
      <c r="AJ240">
        <v>4</v>
      </c>
      <c r="AL240">
        <v>1</v>
      </c>
      <c r="AN240">
        <v>1</v>
      </c>
      <c r="AO240">
        <v>1</v>
      </c>
      <c r="AP240">
        <v>2</v>
      </c>
      <c r="AQ240">
        <v>2</v>
      </c>
      <c r="AS240">
        <v>2</v>
      </c>
      <c r="AT240">
        <v>1</v>
      </c>
      <c r="AU240">
        <v>1</v>
      </c>
      <c r="AV240">
        <v>0</v>
      </c>
      <c r="AW240">
        <v>0</v>
      </c>
      <c r="AX240">
        <v>0</v>
      </c>
      <c r="AY240">
        <v>0</v>
      </c>
      <c r="AZ240">
        <v>0</v>
      </c>
      <c r="BA240">
        <v>1</v>
      </c>
      <c r="BB240" t="s">
        <v>1150</v>
      </c>
      <c r="BC240">
        <v>0</v>
      </c>
      <c r="BD240">
        <v>0</v>
      </c>
      <c r="BE240">
        <v>1</v>
      </c>
      <c r="BF240">
        <v>0</v>
      </c>
      <c r="BG240">
        <v>1</v>
      </c>
      <c r="BH240">
        <v>0</v>
      </c>
      <c r="BI240">
        <v>0</v>
      </c>
      <c r="BJ240">
        <v>0</v>
      </c>
      <c r="BK240">
        <v>0</v>
      </c>
      <c r="BL240">
        <v>0</v>
      </c>
      <c r="BM240">
        <v>0</v>
      </c>
      <c r="BN240">
        <v>0</v>
      </c>
      <c r="BO240">
        <v>1</v>
      </c>
      <c r="BP240">
        <v>0</v>
      </c>
      <c r="BQ240">
        <v>0</v>
      </c>
      <c r="BR240">
        <v>0</v>
      </c>
      <c r="BS240">
        <v>0</v>
      </c>
      <c r="BU240">
        <v>13</v>
      </c>
      <c r="BV240">
        <v>4</v>
      </c>
      <c r="BX240">
        <v>3</v>
      </c>
      <c r="BY240">
        <v>2</v>
      </c>
      <c r="DI240">
        <v>0</v>
      </c>
      <c r="DJ240">
        <v>0</v>
      </c>
      <c r="DK240">
        <v>1</v>
      </c>
      <c r="DL240">
        <v>0</v>
      </c>
      <c r="DM240">
        <v>0</v>
      </c>
      <c r="DN240">
        <v>1</v>
      </c>
      <c r="DO240">
        <v>0</v>
      </c>
      <c r="DP240">
        <v>0</v>
      </c>
      <c r="DQ240">
        <v>1</v>
      </c>
      <c r="DR240">
        <v>0</v>
      </c>
      <c r="DS240" t="s">
        <v>1087</v>
      </c>
      <c r="DT240">
        <v>0</v>
      </c>
      <c r="DU240">
        <v>1</v>
      </c>
      <c r="DV240">
        <v>0</v>
      </c>
      <c r="DW240">
        <v>1</v>
      </c>
      <c r="DX240">
        <v>0</v>
      </c>
      <c r="DY240">
        <v>0</v>
      </c>
      <c r="DZ240">
        <v>0</v>
      </c>
      <c r="EA240">
        <v>0</v>
      </c>
      <c r="EB240">
        <v>0</v>
      </c>
      <c r="EC240">
        <v>0</v>
      </c>
      <c r="ED240">
        <v>1</v>
      </c>
      <c r="EE240">
        <v>0</v>
      </c>
      <c r="EF240">
        <v>0</v>
      </c>
      <c r="EI240" t="s">
        <v>400</v>
      </c>
      <c r="EJ240">
        <v>0</v>
      </c>
      <c r="EK240">
        <v>1</v>
      </c>
      <c r="EL240">
        <v>0</v>
      </c>
      <c r="EM240">
        <v>0</v>
      </c>
      <c r="EN240">
        <v>0</v>
      </c>
      <c r="EO240">
        <v>0</v>
      </c>
      <c r="EP240">
        <v>0</v>
      </c>
      <c r="EQ240">
        <v>0</v>
      </c>
      <c r="ER240">
        <v>0</v>
      </c>
      <c r="ES240">
        <v>0</v>
      </c>
      <c r="ET240">
        <v>0</v>
      </c>
      <c r="EU240">
        <v>0</v>
      </c>
      <c r="EV240">
        <v>0</v>
      </c>
      <c r="EW240">
        <v>0</v>
      </c>
      <c r="EX240">
        <v>0</v>
      </c>
      <c r="EY240">
        <v>0</v>
      </c>
      <c r="EZ240">
        <v>0</v>
      </c>
      <c r="FA240">
        <v>0</v>
      </c>
      <c r="FB240">
        <v>0</v>
      </c>
      <c r="FC240">
        <v>0</v>
      </c>
      <c r="FD240">
        <v>0</v>
      </c>
      <c r="FE240">
        <v>0</v>
      </c>
      <c r="IG240">
        <v>1</v>
      </c>
      <c r="IH240">
        <v>0</v>
      </c>
      <c r="II240">
        <v>1</v>
      </c>
      <c r="IJ240">
        <v>0</v>
      </c>
      <c r="IK240">
        <v>0</v>
      </c>
      <c r="IL240">
        <v>0</v>
      </c>
      <c r="IM240">
        <v>1</v>
      </c>
      <c r="IN240">
        <v>0</v>
      </c>
      <c r="IO240">
        <v>0</v>
      </c>
      <c r="IP240">
        <v>0</v>
      </c>
      <c r="IQ240">
        <v>0</v>
      </c>
      <c r="IS240">
        <v>1</v>
      </c>
      <c r="IT240">
        <v>1</v>
      </c>
      <c r="IU240">
        <v>1</v>
      </c>
      <c r="IV240">
        <v>0</v>
      </c>
      <c r="IW240">
        <v>1</v>
      </c>
      <c r="IX240" t="s">
        <v>1151</v>
      </c>
    </row>
    <row r="241" spans="1:257" x14ac:dyDescent="0.35">
      <c r="A241">
        <v>396997</v>
      </c>
      <c r="C241">
        <v>1</v>
      </c>
      <c r="D241" t="s">
        <v>1152</v>
      </c>
      <c r="E241" t="s">
        <v>1153</v>
      </c>
      <c r="F241" t="s">
        <v>1149</v>
      </c>
      <c r="G241">
        <v>3</v>
      </c>
      <c r="I241">
        <v>1</v>
      </c>
      <c r="J241">
        <v>0</v>
      </c>
      <c r="K241">
        <v>1</v>
      </c>
      <c r="L241">
        <v>0</v>
      </c>
      <c r="M241">
        <v>0</v>
      </c>
      <c r="N241">
        <v>1</v>
      </c>
      <c r="O241">
        <v>0</v>
      </c>
      <c r="P241">
        <v>1</v>
      </c>
      <c r="Q241">
        <v>0</v>
      </c>
      <c r="R241">
        <v>1</v>
      </c>
      <c r="T241">
        <v>1</v>
      </c>
      <c r="U241">
        <v>1</v>
      </c>
      <c r="V241">
        <v>0</v>
      </c>
      <c r="W241">
        <v>3</v>
      </c>
      <c r="X241">
        <v>30</v>
      </c>
      <c r="Z241">
        <v>3</v>
      </c>
      <c r="AA241">
        <v>30</v>
      </c>
      <c r="AC241">
        <v>1</v>
      </c>
      <c r="AD241">
        <v>1</v>
      </c>
      <c r="AE241">
        <v>0</v>
      </c>
      <c r="AF241">
        <v>0</v>
      </c>
      <c r="AG241">
        <v>0</v>
      </c>
      <c r="AH241">
        <v>0</v>
      </c>
      <c r="AJ241">
        <v>1</v>
      </c>
      <c r="AL241">
        <v>1</v>
      </c>
      <c r="AN241">
        <v>1</v>
      </c>
      <c r="AO241">
        <v>1</v>
      </c>
      <c r="AP241">
        <v>4</v>
      </c>
      <c r="AQ241">
        <v>2</v>
      </c>
      <c r="AS241">
        <v>2</v>
      </c>
      <c r="AT241">
        <v>1</v>
      </c>
      <c r="AU241">
        <v>1</v>
      </c>
      <c r="AV241">
        <v>0</v>
      </c>
      <c r="AW241">
        <v>0</v>
      </c>
      <c r="AX241">
        <v>0</v>
      </c>
      <c r="AY241">
        <v>0</v>
      </c>
      <c r="AZ241">
        <v>0</v>
      </c>
      <c r="BA241">
        <v>1</v>
      </c>
      <c r="BB241" t="s">
        <v>1154</v>
      </c>
      <c r="BC241">
        <v>1</v>
      </c>
      <c r="BD241">
        <v>0</v>
      </c>
      <c r="BE241">
        <v>0</v>
      </c>
      <c r="BF241">
        <v>0</v>
      </c>
      <c r="BG241">
        <v>0</v>
      </c>
      <c r="BH241">
        <v>0</v>
      </c>
      <c r="BI241">
        <v>0</v>
      </c>
      <c r="BJ241">
        <v>0</v>
      </c>
      <c r="BK241">
        <v>1</v>
      </c>
      <c r="BL241">
        <v>0</v>
      </c>
      <c r="BM241">
        <v>0</v>
      </c>
      <c r="BN241">
        <v>0</v>
      </c>
      <c r="BO241">
        <v>0</v>
      </c>
      <c r="BP241">
        <v>1</v>
      </c>
      <c r="BQ241">
        <v>0</v>
      </c>
      <c r="BR241">
        <v>1</v>
      </c>
      <c r="BS241">
        <v>0</v>
      </c>
      <c r="BU241">
        <v>16</v>
      </c>
      <c r="BV241">
        <v>4</v>
      </c>
      <c r="BX241">
        <v>4</v>
      </c>
      <c r="BY241">
        <v>4</v>
      </c>
      <c r="DI241">
        <v>0</v>
      </c>
      <c r="DJ241">
        <v>0</v>
      </c>
      <c r="DK241">
        <v>1</v>
      </c>
      <c r="DL241">
        <v>0</v>
      </c>
      <c r="DM241">
        <v>0</v>
      </c>
      <c r="DN241">
        <v>0</v>
      </c>
      <c r="DO241">
        <v>0</v>
      </c>
      <c r="DP241">
        <v>0</v>
      </c>
      <c r="DQ241">
        <v>0</v>
      </c>
      <c r="DR241">
        <v>0</v>
      </c>
      <c r="DT241">
        <v>0</v>
      </c>
      <c r="DU241">
        <v>1</v>
      </c>
      <c r="DV241">
        <v>0</v>
      </c>
      <c r="DW241">
        <v>0</v>
      </c>
      <c r="DX241">
        <v>0</v>
      </c>
      <c r="DY241">
        <v>0</v>
      </c>
      <c r="DZ241">
        <v>0</v>
      </c>
      <c r="EA241">
        <v>0</v>
      </c>
      <c r="EB241">
        <v>0</v>
      </c>
      <c r="EC241">
        <v>0</v>
      </c>
      <c r="ED241">
        <v>0</v>
      </c>
      <c r="EE241">
        <v>0</v>
      </c>
      <c r="EF241">
        <v>0</v>
      </c>
      <c r="EI241" t="s">
        <v>1155</v>
      </c>
      <c r="EJ241">
        <v>1</v>
      </c>
      <c r="EK241">
        <v>1</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IG241">
        <v>1</v>
      </c>
      <c r="IH241">
        <v>0</v>
      </c>
      <c r="II241">
        <v>1</v>
      </c>
      <c r="IJ241">
        <v>1</v>
      </c>
      <c r="IK241">
        <v>0</v>
      </c>
      <c r="IL241">
        <v>0</v>
      </c>
      <c r="IM241">
        <v>0</v>
      </c>
      <c r="IN241">
        <v>0</v>
      </c>
      <c r="IO241">
        <v>0</v>
      </c>
      <c r="IP241">
        <v>0</v>
      </c>
      <c r="IQ241">
        <v>0</v>
      </c>
      <c r="IS241">
        <v>1</v>
      </c>
      <c r="IT241">
        <v>1</v>
      </c>
      <c r="IU241">
        <v>0</v>
      </c>
      <c r="IV241">
        <v>0</v>
      </c>
      <c r="IW241">
        <v>0</v>
      </c>
    </row>
    <row r="242" spans="1:257" x14ac:dyDescent="0.35">
      <c r="A242">
        <v>405507</v>
      </c>
      <c r="C242">
        <v>1</v>
      </c>
      <c r="D242" t="s">
        <v>1156</v>
      </c>
      <c r="E242" t="s">
        <v>1157</v>
      </c>
      <c r="F242" t="s">
        <v>1149</v>
      </c>
      <c r="G242">
        <v>2</v>
      </c>
      <c r="I242">
        <v>0</v>
      </c>
      <c r="J242">
        <v>1</v>
      </c>
      <c r="K242">
        <v>0</v>
      </c>
      <c r="L242">
        <v>0</v>
      </c>
      <c r="M242">
        <v>0</v>
      </c>
      <c r="N242">
        <v>0</v>
      </c>
      <c r="O242">
        <v>0</v>
      </c>
      <c r="P242">
        <v>0</v>
      </c>
      <c r="Q242">
        <v>0</v>
      </c>
      <c r="R242">
        <v>1</v>
      </c>
      <c r="T242">
        <v>1</v>
      </c>
      <c r="U242">
        <v>1</v>
      </c>
      <c r="V242">
        <v>1</v>
      </c>
      <c r="W242">
        <v>6</v>
      </c>
      <c r="X242">
        <v>27</v>
      </c>
      <c r="Y242">
        <v>2</v>
      </c>
      <c r="Z242">
        <v>6</v>
      </c>
      <c r="AA242">
        <v>27</v>
      </c>
      <c r="AB242">
        <v>2</v>
      </c>
      <c r="AC242">
        <v>1</v>
      </c>
      <c r="AD242">
        <v>0</v>
      </c>
      <c r="AE242">
        <v>0</v>
      </c>
      <c r="AF242">
        <v>0</v>
      </c>
      <c r="AG242">
        <v>0</v>
      </c>
      <c r="AH242">
        <v>0</v>
      </c>
      <c r="AJ242">
        <v>1</v>
      </c>
      <c r="AL242">
        <v>1</v>
      </c>
      <c r="AN242">
        <v>1</v>
      </c>
      <c r="AO242">
        <v>1</v>
      </c>
      <c r="AP242">
        <v>1</v>
      </c>
      <c r="AQ242">
        <v>1</v>
      </c>
      <c r="AR242">
        <v>3</v>
      </c>
      <c r="AS242">
        <v>1</v>
      </c>
      <c r="AT242">
        <v>1</v>
      </c>
      <c r="AU242">
        <v>1</v>
      </c>
      <c r="AV242">
        <v>1</v>
      </c>
      <c r="AW242">
        <v>0</v>
      </c>
      <c r="AX242">
        <v>0</v>
      </c>
      <c r="AY242">
        <v>1</v>
      </c>
      <c r="AZ242">
        <v>0</v>
      </c>
      <c r="BA242">
        <v>0</v>
      </c>
      <c r="BC242">
        <v>1</v>
      </c>
      <c r="BD242">
        <v>0</v>
      </c>
      <c r="BE242">
        <v>0</v>
      </c>
      <c r="BF242">
        <v>0</v>
      </c>
      <c r="BG242">
        <v>1</v>
      </c>
      <c r="BH242">
        <v>0</v>
      </c>
      <c r="BI242">
        <v>0</v>
      </c>
      <c r="BJ242">
        <v>0</v>
      </c>
      <c r="BK242">
        <v>0</v>
      </c>
      <c r="BL242">
        <v>0</v>
      </c>
      <c r="BM242">
        <v>0</v>
      </c>
      <c r="BN242">
        <v>0</v>
      </c>
      <c r="BO242">
        <v>0</v>
      </c>
      <c r="BP242">
        <v>0</v>
      </c>
      <c r="BQ242">
        <v>0</v>
      </c>
      <c r="BR242">
        <v>0</v>
      </c>
      <c r="BS242">
        <v>0</v>
      </c>
      <c r="BU242">
        <v>1</v>
      </c>
      <c r="BV242">
        <v>4</v>
      </c>
      <c r="BX242">
        <v>3</v>
      </c>
      <c r="BY242">
        <v>3</v>
      </c>
      <c r="DI242">
        <v>0</v>
      </c>
      <c r="DJ242">
        <v>0</v>
      </c>
      <c r="DK242">
        <v>0</v>
      </c>
      <c r="DL242">
        <v>0</v>
      </c>
      <c r="DM242">
        <v>0</v>
      </c>
      <c r="DN242">
        <v>1</v>
      </c>
      <c r="DO242">
        <v>0</v>
      </c>
      <c r="DP242">
        <v>0</v>
      </c>
      <c r="DQ242">
        <v>0</v>
      </c>
      <c r="DR242">
        <v>0</v>
      </c>
      <c r="DT242">
        <v>0</v>
      </c>
      <c r="DU242">
        <v>0</v>
      </c>
      <c r="DV242">
        <v>0</v>
      </c>
      <c r="DW242">
        <v>1</v>
      </c>
      <c r="DX242">
        <v>0</v>
      </c>
      <c r="DY242">
        <v>0</v>
      </c>
      <c r="DZ242">
        <v>0</v>
      </c>
      <c r="EA242">
        <v>0</v>
      </c>
      <c r="EB242">
        <v>0</v>
      </c>
      <c r="EC242">
        <v>0</v>
      </c>
      <c r="ED242">
        <v>0</v>
      </c>
      <c r="EE242">
        <v>0</v>
      </c>
      <c r="EF242">
        <v>0</v>
      </c>
      <c r="IG242">
        <v>1</v>
      </c>
      <c r="IH242">
        <v>1</v>
      </c>
      <c r="II242">
        <v>0</v>
      </c>
      <c r="IJ242">
        <v>1</v>
      </c>
      <c r="IK242">
        <v>0</v>
      </c>
      <c r="IL242">
        <v>0</v>
      </c>
      <c r="IM242">
        <v>0</v>
      </c>
      <c r="IN242">
        <v>0</v>
      </c>
      <c r="IO242">
        <v>0</v>
      </c>
      <c r="IP242">
        <v>0</v>
      </c>
      <c r="IQ242">
        <v>0</v>
      </c>
      <c r="IS242">
        <v>2</v>
      </c>
    </row>
    <row r="243" spans="1:257" x14ac:dyDescent="0.35">
      <c r="A243">
        <v>405339</v>
      </c>
      <c r="C243">
        <v>1</v>
      </c>
      <c r="D243" t="s">
        <v>1158</v>
      </c>
      <c r="E243" t="s">
        <v>1159</v>
      </c>
      <c r="F243" t="s">
        <v>1160</v>
      </c>
      <c r="G243">
        <v>3</v>
      </c>
      <c r="I243">
        <v>0</v>
      </c>
      <c r="J243">
        <v>0</v>
      </c>
      <c r="K243">
        <v>1</v>
      </c>
      <c r="L243">
        <v>0</v>
      </c>
      <c r="M243">
        <v>0</v>
      </c>
      <c r="N243">
        <v>0</v>
      </c>
      <c r="O243">
        <v>0</v>
      </c>
      <c r="P243">
        <v>0</v>
      </c>
      <c r="Q243">
        <v>0</v>
      </c>
      <c r="R243">
        <v>1</v>
      </c>
      <c r="T243">
        <v>0</v>
      </c>
      <c r="U243">
        <v>0</v>
      </c>
      <c r="V243">
        <v>1</v>
      </c>
      <c r="Y243">
        <v>67</v>
      </c>
      <c r="AB243">
        <v>67</v>
      </c>
      <c r="AC243">
        <v>1</v>
      </c>
      <c r="AD243">
        <v>0</v>
      </c>
      <c r="AE243">
        <v>0</v>
      </c>
      <c r="AF243">
        <v>0</v>
      </c>
      <c r="AG243">
        <v>0</v>
      </c>
      <c r="AH243">
        <v>0</v>
      </c>
      <c r="AJ243">
        <v>1</v>
      </c>
      <c r="AL243">
        <v>1</v>
      </c>
      <c r="AN243">
        <v>1</v>
      </c>
      <c r="AO243">
        <v>1</v>
      </c>
      <c r="AP243">
        <v>4</v>
      </c>
      <c r="AQ243">
        <v>1</v>
      </c>
      <c r="AR243">
        <v>4</v>
      </c>
      <c r="AS243">
        <v>2</v>
      </c>
      <c r="AT243">
        <v>1</v>
      </c>
      <c r="AU243">
        <v>1</v>
      </c>
      <c r="AV243">
        <v>0</v>
      </c>
      <c r="AW243">
        <v>0</v>
      </c>
      <c r="AX243">
        <v>1</v>
      </c>
      <c r="AY243">
        <v>0</v>
      </c>
      <c r="AZ243">
        <v>0</v>
      </c>
      <c r="BA243">
        <v>0</v>
      </c>
      <c r="BC243">
        <v>0</v>
      </c>
      <c r="BD243">
        <v>0</v>
      </c>
      <c r="BE243">
        <v>1</v>
      </c>
      <c r="BF243">
        <v>1</v>
      </c>
      <c r="BG243">
        <v>1</v>
      </c>
      <c r="BH243">
        <v>0</v>
      </c>
      <c r="BI243">
        <v>0</v>
      </c>
      <c r="BJ243">
        <v>0</v>
      </c>
      <c r="BK243">
        <v>0</v>
      </c>
      <c r="BL243">
        <v>0</v>
      </c>
      <c r="BM243">
        <v>0</v>
      </c>
      <c r="BN243">
        <v>0</v>
      </c>
      <c r="BO243">
        <v>0</v>
      </c>
      <c r="BP243">
        <v>0</v>
      </c>
      <c r="BQ243">
        <v>0</v>
      </c>
      <c r="BR243">
        <v>0</v>
      </c>
      <c r="BS243">
        <v>0</v>
      </c>
      <c r="BU243">
        <v>5</v>
      </c>
      <c r="BV243">
        <v>2</v>
      </c>
      <c r="BW243" t="s">
        <v>1161</v>
      </c>
      <c r="BX243">
        <v>3</v>
      </c>
      <c r="BY243">
        <v>3</v>
      </c>
      <c r="DI243">
        <v>0</v>
      </c>
      <c r="DJ243">
        <v>0</v>
      </c>
      <c r="DK243">
        <v>1</v>
      </c>
      <c r="DL243">
        <v>0</v>
      </c>
      <c r="DM243">
        <v>0</v>
      </c>
      <c r="DN243">
        <v>0</v>
      </c>
      <c r="DO243">
        <v>0</v>
      </c>
      <c r="DP243">
        <v>0</v>
      </c>
      <c r="DQ243">
        <v>0</v>
      </c>
      <c r="DR243">
        <v>0</v>
      </c>
      <c r="DT243">
        <v>0</v>
      </c>
      <c r="DU243">
        <v>1</v>
      </c>
      <c r="DV243">
        <v>0</v>
      </c>
      <c r="DW243">
        <v>0</v>
      </c>
      <c r="DX243">
        <v>0</v>
      </c>
      <c r="DY243">
        <v>0</v>
      </c>
      <c r="DZ243">
        <v>0</v>
      </c>
      <c r="EA243">
        <v>0</v>
      </c>
      <c r="EB243">
        <v>0</v>
      </c>
      <c r="EC243">
        <v>0</v>
      </c>
      <c r="ED243">
        <v>0</v>
      </c>
      <c r="EE243">
        <v>0</v>
      </c>
      <c r="EF243">
        <v>0</v>
      </c>
      <c r="EI243" t="s">
        <v>274</v>
      </c>
      <c r="EJ243">
        <v>1</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0</v>
      </c>
      <c r="FE243">
        <v>0</v>
      </c>
      <c r="IG243">
        <v>1</v>
      </c>
      <c r="IH243">
        <v>1</v>
      </c>
      <c r="II243">
        <v>1</v>
      </c>
      <c r="IJ243">
        <v>0</v>
      </c>
      <c r="IK243">
        <v>0</v>
      </c>
      <c r="IL243">
        <v>0</v>
      </c>
      <c r="IM243">
        <v>0</v>
      </c>
      <c r="IN243">
        <v>0</v>
      </c>
      <c r="IO243">
        <v>0</v>
      </c>
      <c r="IP243">
        <v>0</v>
      </c>
      <c r="IQ243">
        <v>0</v>
      </c>
      <c r="IS243">
        <v>2</v>
      </c>
    </row>
    <row r="244" spans="1:257" x14ac:dyDescent="0.35">
      <c r="A244">
        <v>358512</v>
      </c>
      <c r="C244">
        <v>1</v>
      </c>
      <c r="D244" t="s">
        <v>1162</v>
      </c>
      <c r="E244" t="s">
        <v>1163</v>
      </c>
      <c r="F244" t="s">
        <v>1164</v>
      </c>
      <c r="G244">
        <v>3</v>
      </c>
    </row>
    <row r="245" spans="1:257" x14ac:dyDescent="0.35">
      <c r="A245">
        <v>405509</v>
      </c>
      <c r="C245">
        <v>1</v>
      </c>
      <c r="D245" t="s">
        <v>1165</v>
      </c>
      <c r="E245" t="s">
        <v>1166</v>
      </c>
      <c r="F245" t="s">
        <v>1167</v>
      </c>
      <c r="G245">
        <v>2</v>
      </c>
      <c r="I245">
        <v>0</v>
      </c>
      <c r="J245">
        <v>1</v>
      </c>
      <c r="K245">
        <v>0</v>
      </c>
      <c r="L245">
        <v>0</v>
      </c>
      <c r="M245">
        <v>0</v>
      </c>
      <c r="N245">
        <v>0</v>
      </c>
      <c r="O245">
        <v>0</v>
      </c>
      <c r="P245">
        <v>0</v>
      </c>
      <c r="Q245">
        <v>0</v>
      </c>
      <c r="R245">
        <v>1</v>
      </c>
      <c r="T245">
        <v>1</v>
      </c>
      <c r="U245">
        <v>0</v>
      </c>
      <c r="V245">
        <v>0</v>
      </c>
      <c r="W245">
        <v>0</v>
      </c>
      <c r="AC245">
        <v>1</v>
      </c>
      <c r="AD245">
        <v>0</v>
      </c>
      <c r="AE245">
        <v>0</v>
      </c>
      <c r="AF245">
        <v>0</v>
      </c>
      <c r="AG245">
        <v>0</v>
      </c>
      <c r="AH245">
        <v>0</v>
      </c>
      <c r="AJ245">
        <v>1</v>
      </c>
      <c r="AL245">
        <v>1</v>
      </c>
      <c r="AN245">
        <v>1</v>
      </c>
      <c r="AO245">
        <v>1</v>
      </c>
      <c r="AP245">
        <v>4</v>
      </c>
      <c r="AQ245">
        <v>1</v>
      </c>
      <c r="AR245">
        <v>4</v>
      </c>
      <c r="AS245">
        <v>2</v>
      </c>
      <c r="AT245">
        <v>1</v>
      </c>
      <c r="AU245">
        <v>1</v>
      </c>
      <c r="AV245">
        <v>0</v>
      </c>
      <c r="AW245">
        <v>0</v>
      </c>
      <c r="AX245">
        <v>1</v>
      </c>
      <c r="AY245">
        <v>0</v>
      </c>
      <c r="AZ245">
        <v>0</v>
      </c>
      <c r="BA245">
        <v>0</v>
      </c>
      <c r="BC245">
        <v>0</v>
      </c>
      <c r="BD245">
        <v>0</v>
      </c>
      <c r="BE245">
        <v>1</v>
      </c>
      <c r="BF245">
        <v>0</v>
      </c>
      <c r="BG245">
        <v>1</v>
      </c>
      <c r="BH245">
        <v>0</v>
      </c>
      <c r="BI245">
        <v>1</v>
      </c>
      <c r="BJ245">
        <v>0</v>
      </c>
      <c r="BK245">
        <v>0</v>
      </c>
      <c r="BL245">
        <v>0</v>
      </c>
      <c r="BM245">
        <v>0</v>
      </c>
      <c r="BN245">
        <v>0</v>
      </c>
      <c r="BO245">
        <v>0</v>
      </c>
      <c r="BP245">
        <v>0</v>
      </c>
      <c r="BQ245">
        <v>0</v>
      </c>
      <c r="BR245">
        <v>0</v>
      </c>
      <c r="BS245">
        <v>0</v>
      </c>
      <c r="BU245">
        <v>5</v>
      </c>
      <c r="BV245">
        <v>4</v>
      </c>
      <c r="BX245">
        <v>3</v>
      </c>
      <c r="BY245">
        <v>4</v>
      </c>
      <c r="DI245">
        <v>0</v>
      </c>
      <c r="DJ245">
        <v>0</v>
      </c>
      <c r="DK245">
        <v>1</v>
      </c>
      <c r="DL245">
        <v>0</v>
      </c>
      <c r="DM245">
        <v>0</v>
      </c>
      <c r="DN245">
        <v>0</v>
      </c>
      <c r="DO245">
        <v>0</v>
      </c>
      <c r="DP245">
        <v>0</v>
      </c>
      <c r="DQ245">
        <v>0</v>
      </c>
      <c r="DR245">
        <v>0</v>
      </c>
      <c r="DT245">
        <v>0</v>
      </c>
      <c r="DU245">
        <v>1</v>
      </c>
      <c r="DV245">
        <v>0</v>
      </c>
      <c r="DW245">
        <v>1</v>
      </c>
      <c r="DX245">
        <v>1</v>
      </c>
      <c r="DY245">
        <v>0</v>
      </c>
      <c r="DZ245">
        <v>0</v>
      </c>
      <c r="EA245">
        <v>0</v>
      </c>
      <c r="EB245">
        <v>0</v>
      </c>
      <c r="EC245">
        <v>0</v>
      </c>
      <c r="ED245">
        <v>1</v>
      </c>
      <c r="EE245">
        <v>0</v>
      </c>
      <c r="EF245">
        <v>0</v>
      </c>
      <c r="IG245">
        <v>0</v>
      </c>
      <c r="IH245">
        <v>0</v>
      </c>
      <c r="II245">
        <v>0</v>
      </c>
      <c r="IJ245">
        <v>0</v>
      </c>
      <c r="IK245">
        <v>0</v>
      </c>
      <c r="IL245">
        <v>0</v>
      </c>
      <c r="IM245">
        <v>0</v>
      </c>
      <c r="IN245">
        <v>0</v>
      </c>
      <c r="IO245">
        <v>0</v>
      </c>
      <c r="IP245">
        <v>0</v>
      </c>
      <c r="IQ245">
        <v>1</v>
      </c>
      <c r="IS245">
        <v>1</v>
      </c>
      <c r="IT245">
        <v>1</v>
      </c>
      <c r="IU245">
        <v>0</v>
      </c>
      <c r="IV245">
        <v>0</v>
      </c>
      <c r="IW245">
        <v>0</v>
      </c>
    </row>
    <row r="246" spans="1:257" x14ac:dyDescent="0.35">
      <c r="A246">
        <v>405237</v>
      </c>
      <c r="C246">
        <v>1</v>
      </c>
      <c r="D246" t="s">
        <v>1168</v>
      </c>
      <c r="E246" t="s">
        <v>1169</v>
      </c>
      <c r="F246" t="s">
        <v>1167</v>
      </c>
      <c r="G246">
        <v>7</v>
      </c>
      <c r="I246">
        <v>0</v>
      </c>
      <c r="J246">
        <v>0</v>
      </c>
      <c r="K246">
        <v>1</v>
      </c>
      <c r="L246">
        <v>0</v>
      </c>
      <c r="M246">
        <v>0</v>
      </c>
      <c r="N246">
        <v>0</v>
      </c>
      <c r="O246">
        <v>0</v>
      </c>
      <c r="P246">
        <v>0</v>
      </c>
      <c r="Q246">
        <v>0</v>
      </c>
      <c r="R246">
        <v>1</v>
      </c>
    </row>
    <row r="247" spans="1:257" x14ac:dyDescent="0.35">
      <c r="A247">
        <v>393115</v>
      </c>
      <c r="C247">
        <v>1</v>
      </c>
      <c r="D247" t="s">
        <v>1170</v>
      </c>
      <c r="E247" t="s">
        <v>1171</v>
      </c>
      <c r="F247" t="s">
        <v>1172</v>
      </c>
      <c r="G247">
        <v>4</v>
      </c>
      <c r="I247">
        <v>0</v>
      </c>
      <c r="J247">
        <v>0</v>
      </c>
      <c r="K247">
        <v>1</v>
      </c>
      <c r="L247">
        <v>0</v>
      </c>
      <c r="M247">
        <v>0</v>
      </c>
      <c r="N247">
        <v>0</v>
      </c>
      <c r="O247">
        <v>0</v>
      </c>
      <c r="P247">
        <v>0</v>
      </c>
      <c r="Q247">
        <v>0</v>
      </c>
      <c r="R247">
        <v>1</v>
      </c>
      <c r="T247">
        <v>0</v>
      </c>
      <c r="U247">
        <v>1</v>
      </c>
      <c r="V247">
        <v>0</v>
      </c>
      <c r="X247">
        <v>77</v>
      </c>
      <c r="AA247">
        <v>77</v>
      </c>
      <c r="AC247">
        <v>1</v>
      </c>
      <c r="AD247">
        <v>1</v>
      </c>
      <c r="AE247">
        <v>0</v>
      </c>
      <c r="AF247">
        <v>0</v>
      </c>
      <c r="AG247">
        <v>0</v>
      </c>
      <c r="AH247">
        <v>0</v>
      </c>
      <c r="AJ247">
        <v>1</v>
      </c>
      <c r="AL247">
        <v>1</v>
      </c>
      <c r="AN247">
        <v>1</v>
      </c>
      <c r="AO247">
        <v>1</v>
      </c>
      <c r="AP247">
        <v>5</v>
      </c>
      <c r="AQ247">
        <v>1</v>
      </c>
      <c r="AR247">
        <v>6</v>
      </c>
      <c r="AS247">
        <v>2</v>
      </c>
      <c r="AT247">
        <v>1</v>
      </c>
      <c r="AU247">
        <v>1</v>
      </c>
      <c r="AV247">
        <v>0</v>
      </c>
      <c r="AW247">
        <v>0</v>
      </c>
      <c r="AX247">
        <v>0</v>
      </c>
      <c r="AY247">
        <v>0</v>
      </c>
      <c r="AZ247">
        <v>0</v>
      </c>
      <c r="BA247">
        <v>1</v>
      </c>
      <c r="BB247" t="s">
        <v>1173</v>
      </c>
      <c r="BC247">
        <v>0</v>
      </c>
      <c r="BD247">
        <v>0</v>
      </c>
      <c r="BE247">
        <v>0</v>
      </c>
      <c r="BF247">
        <v>0</v>
      </c>
      <c r="BG247">
        <v>0</v>
      </c>
      <c r="BH247">
        <v>0</v>
      </c>
      <c r="BI247">
        <v>0</v>
      </c>
      <c r="BJ247">
        <v>0</v>
      </c>
      <c r="BK247">
        <v>0</v>
      </c>
      <c r="BL247">
        <v>0</v>
      </c>
      <c r="BM247">
        <v>0</v>
      </c>
      <c r="BN247">
        <v>0</v>
      </c>
      <c r="BO247">
        <v>0</v>
      </c>
      <c r="BP247">
        <v>1</v>
      </c>
      <c r="BQ247">
        <v>0</v>
      </c>
      <c r="BR247">
        <v>0</v>
      </c>
      <c r="BS247">
        <v>1</v>
      </c>
      <c r="BT247" t="s">
        <v>1174</v>
      </c>
      <c r="BU247">
        <v>9</v>
      </c>
    </row>
    <row r="248" spans="1:257" x14ac:dyDescent="0.35">
      <c r="A248">
        <v>363451</v>
      </c>
      <c r="C248">
        <v>1</v>
      </c>
      <c r="D248" t="s">
        <v>1175</v>
      </c>
      <c r="E248" t="s">
        <v>1176</v>
      </c>
      <c r="F248" t="s">
        <v>1177</v>
      </c>
      <c r="G248">
        <v>15</v>
      </c>
      <c r="H248" t="s">
        <v>1178</v>
      </c>
      <c r="I248">
        <v>0</v>
      </c>
      <c r="J248">
        <v>0</v>
      </c>
      <c r="K248">
        <v>0</v>
      </c>
      <c r="L248">
        <v>1</v>
      </c>
      <c r="M248">
        <v>0</v>
      </c>
      <c r="N248">
        <v>0</v>
      </c>
      <c r="O248">
        <v>0</v>
      </c>
      <c r="P248">
        <v>0</v>
      </c>
      <c r="Q248">
        <v>0</v>
      </c>
      <c r="R248">
        <v>1</v>
      </c>
      <c r="T248">
        <v>0</v>
      </c>
      <c r="U248">
        <v>1</v>
      </c>
      <c r="V248">
        <v>0</v>
      </c>
      <c r="X248">
        <v>2</v>
      </c>
      <c r="AA248">
        <v>2</v>
      </c>
      <c r="AC248">
        <v>1</v>
      </c>
      <c r="AD248">
        <v>0</v>
      </c>
      <c r="AE248">
        <v>0</v>
      </c>
      <c r="AF248">
        <v>0</v>
      </c>
      <c r="AG248">
        <v>0</v>
      </c>
      <c r="AH248">
        <v>0</v>
      </c>
      <c r="AJ248">
        <v>1</v>
      </c>
      <c r="AL248">
        <v>3</v>
      </c>
      <c r="AN248">
        <v>1</v>
      </c>
      <c r="AO248">
        <v>2</v>
      </c>
      <c r="AP248">
        <v>3</v>
      </c>
      <c r="AQ248">
        <v>2</v>
      </c>
      <c r="AS248">
        <v>2</v>
      </c>
      <c r="AT248">
        <v>2</v>
      </c>
      <c r="AU248">
        <v>2</v>
      </c>
      <c r="BC248">
        <v>0</v>
      </c>
      <c r="BD248">
        <v>0</v>
      </c>
      <c r="BE248">
        <v>0</v>
      </c>
      <c r="BF248">
        <v>1</v>
      </c>
      <c r="BG248">
        <v>1</v>
      </c>
      <c r="BH248">
        <v>0</v>
      </c>
      <c r="BI248">
        <v>0</v>
      </c>
      <c r="BJ248">
        <v>0</v>
      </c>
      <c r="BK248">
        <v>0</v>
      </c>
      <c r="BL248">
        <v>1</v>
      </c>
      <c r="BM248">
        <v>0</v>
      </c>
      <c r="BN248">
        <v>0</v>
      </c>
      <c r="BO248">
        <v>0</v>
      </c>
      <c r="BP248">
        <v>0</v>
      </c>
      <c r="BQ248">
        <v>0</v>
      </c>
      <c r="BR248">
        <v>0</v>
      </c>
      <c r="BS248">
        <v>0</v>
      </c>
      <c r="BU248">
        <v>4</v>
      </c>
      <c r="BV248">
        <v>4</v>
      </c>
      <c r="BX248">
        <v>3</v>
      </c>
      <c r="BY248">
        <v>3</v>
      </c>
      <c r="DI248">
        <v>0</v>
      </c>
      <c r="DJ248">
        <v>0</v>
      </c>
      <c r="DK248">
        <v>0</v>
      </c>
      <c r="DL248">
        <v>0</v>
      </c>
      <c r="DM248">
        <v>1</v>
      </c>
      <c r="DN248">
        <v>0</v>
      </c>
      <c r="DO248">
        <v>0</v>
      </c>
      <c r="DP248">
        <v>0</v>
      </c>
      <c r="DQ248">
        <v>0</v>
      </c>
      <c r="DR248">
        <v>0</v>
      </c>
    </row>
    <row r="249" spans="1:257" x14ac:dyDescent="0.35">
      <c r="A249">
        <v>374922</v>
      </c>
      <c r="C249">
        <v>1</v>
      </c>
      <c r="D249" t="s">
        <v>1179</v>
      </c>
      <c r="E249" t="s">
        <v>1180</v>
      </c>
      <c r="F249" t="s">
        <v>1177</v>
      </c>
      <c r="G249">
        <v>4</v>
      </c>
      <c r="I249">
        <v>0</v>
      </c>
      <c r="J249">
        <v>0</v>
      </c>
      <c r="K249">
        <v>0</v>
      </c>
      <c r="L249">
        <v>1</v>
      </c>
      <c r="M249">
        <v>0</v>
      </c>
      <c r="N249">
        <v>0</v>
      </c>
      <c r="O249">
        <v>0</v>
      </c>
      <c r="P249">
        <v>0</v>
      </c>
      <c r="Q249">
        <v>0</v>
      </c>
      <c r="R249">
        <v>1</v>
      </c>
      <c r="T249">
        <v>1</v>
      </c>
      <c r="U249">
        <v>1</v>
      </c>
      <c r="V249">
        <v>0</v>
      </c>
      <c r="W249">
        <v>1</v>
      </c>
      <c r="X249">
        <v>31</v>
      </c>
      <c r="Z249">
        <v>1</v>
      </c>
      <c r="AA249">
        <v>31</v>
      </c>
      <c r="AC249">
        <v>1</v>
      </c>
      <c r="AD249">
        <v>0</v>
      </c>
      <c r="AE249">
        <v>0</v>
      </c>
      <c r="AF249">
        <v>0</v>
      </c>
      <c r="AG249">
        <v>0</v>
      </c>
      <c r="AH249">
        <v>0</v>
      </c>
      <c r="AJ249">
        <v>1</v>
      </c>
      <c r="AL249">
        <v>1</v>
      </c>
      <c r="AN249">
        <v>1</v>
      </c>
      <c r="AO249">
        <v>1</v>
      </c>
      <c r="AP249">
        <v>1</v>
      </c>
      <c r="AQ249">
        <v>1</v>
      </c>
      <c r="AR249">
        <v>4</v>
      </c>
      <c r="AS249">
        <v>1</v>
      </c>
      <c r="AT249">
        <v>1</v>
      </c>
      <c r="AU249">
        <v>1</v>
      </c>
      <c r="AV249">
        <v>1</v>
      </c>
      <c r="AW249">
        <v>0</v>
      </c>
      <c r="AX249">
        <v>0</v>
      </c>
      <c r="AY249">
        <v>0</v>
      </c>
      <c r="AZ249">
        <v>1</v>
      </c>
      <c r="BA249">
        <v>0</v>
      </c>
      <c r="BC249">
        <v>1</v>
      </c>
      <c r="BD249">
        <v>0</v>
      </c>
      <c r="BE249">
        <v>0</v>
      </c>
      <c r="BF249">
        <v>0</v>
      </c>
      <c r="BG249">
        <v>1</v>
      </c>
      <c r="BH249">
        <v>0</v>
      </c>
      <c r="BI249">
        <v>0</v>
      </c>
      <c r="BJ249">
        <v>0</v>
      </c>
      <c r="BK249">
        <v>1</v>
      </c>
      <c r="BL249">
        <v>0</v>
      </c>
      <c r="BM249">
        <v>0</v>
      </c>
      <c r="BN249">
        <v>0</v>
      </c>
      <c r="BO249">
        <v>0</v>
      </c>
      <c r="BP249">
        <v>0</v>
      </c>
      <c r="BQ249">
        <v>0</v>
      </c>
      <c r="BR249">
        <v>0</v>
      </c>
      <c r="BS249">
        <v>0</v>
      </c>
      <c r="BU249">
        <v>15</v>
      </c>
      <c r="BV249">
        <v>1</v>
      </c>
      <c r="BW249" t="s">
        <v>1181</v>
      </c>
      <c r="BX249">
        <v>5</v>
      </c>
      <c r="BY249">
        <v>5</v>
      </c>
      <c r="DI249">
        <v>1</v>
      </c>
      <c r="DJ249">
        <v>0</v>
      </c>
      <c r="DK249">
        <v>0</v>
      </c>
      <c r="DL249">
        <v>0</v>
      </c>
      <c r="DM249">
        <v>0</v>
      </c>
      <c r="DN249">
        <v>0</v>
      </c>
      <c r="DO249">
        <v>0</v>
      </c>
      <c r="DP249">
        <v>0</v>
      </c>
      <c r="DQ249">
        <v>0</v>
      </c>
      <c r="DR249">
        <v>0</v>
      </c>
      <c r="DT249">
        <v>0</v>
      </c>
      <c r="DU249">
        <v>1</v>
      </c>
      <c r="DV249">
        <v>0</v>
      </c>
      <c r="DW249">
        <v>0</v>
      </c>
      <c r="DX249">
        <v>0</v>
      </c>
      <c r="DY249">
        <v>0</v>
      </c>
      <c r="DZ249">
        <v>0</v>
      </c>
      <c r="EA249">
        <v>0</v>
      </c>
      <c r="EB249">
        <v>0</v>
      </c>
      <c r="EC249">
        <v>0</v>
      </c>
      <c r="ED249">
        <v>0</v>
      </c>
      <c r="EE249">
        <v>0</v>
      </c>
      <c r="EF249">
        <v>0</v>
      </c>
      <c r="EI249" t="s">
        <v>274</v>
      </c>
      <c r="EJ249">
        <v>1</v>
      </c>
      <c r="EK249">
        <v>0</v>
      </c>
      <c r="EL249">
        <v>0</v>
      </c>
      <c r="EM249">
        <v>0</v>
      </c>
      <c r="EN249">
        <v>0</v>
      </c>
      <c r="EO249">
        <v>0</v>
      </c>
      <c r="EP249">
        <v>0</v>
      </c>
      <c r="EQ249">
        <v>0</v>
      </c>
      <c r="ER249">
        <v>0</v>
      </c>
      <c r="ES249">
        <v>0</v>
      </c>
      <c r="ET249">
        <v>0</v>
      </c>
      <c r="EU249">
        <v>0</v>
      </c>
      <c r="EV249">
        <v>0</v>
      </c>
      <c r="EW249">
        <v>0</v>
      </c>
      <c r="EX249">
        <v>0</v>
      </c>
      <c r="EY249">
        <v>0</v>
      </c>
      <c r="EZ249">
        <v>0</v>
      </c>
      <c r="FA249">
        <v>0</v>
      </c>
      <c r="FB249">
        <v>0</v>
      </c>
      <c r="FC249">
        <v>0</v>
      </c>
      <c r="FD249">
        <v>0</v>
      </c>
      <c r="FE249">
        <v>0</v>
      </c>
      <c r="IG249">
        <v>1</v>
      </c>
      <c r="IH249">
        <v>0</v>
      </c>
      <c r="II249">
        <v>1</v>
      </c>
      <c r="IJ249">
        <v>0</v>
      </c>
      <c r="IK249">
        <v>0</v>
      </c>
      <c r="IL249">
        <v>0</v>
      </c>
      <c r="IM249">
        <v>0</v>
      </c>
      <c r="IN249">
        <v>0</v>
      </c>
      <c r="IO249">
        <v>1</v>
      </c>
      <c r="IP249">
        <v>0</v>
      </c>
      <c r="IQ249">
        <v>0</v>
      </c>
      <c r="IS249">
        <v>1</v>
      </c>
      <c r="IT249">
        <v>1</v>
      </c>
      <c r="IU249">
        <v>0</v>
      </c>
      <c r="IV249">
        <v>0</v>
      </c>
      <c r="IW249">
        <v>0</v>
      </c>
    </row>
    <row r="250" spans="1:257" x14ac:dyDescent="0.35">
      <c r="A250">
        <v>405443</v>
      </c>
      <c r="C250">
        <v>1</v>
      </c>
      <c r="D250" t="s">
        <v>1179</v>
      </c>
      <c r="E250" t="s">
        <v>1180</v>
      </c>
      <c r="F250" t="s">
        <v>1177</v>
      </c>
      <c r="G250">
        <v>4</v>
      </c>
      <c r="I250">
        <v>0</v>
      </c>
      <c r="J250">
        <v>0</v>
      </c>
      <c r="K250">
        <v>0</v>
      </c>
      <c r="L250">
        <v>1</v>
      </c>
      <c r="M250">
        <v>0</v>
      </c>
      <c r="N250">
        <v>0</v>
      </c>
      <c r="O250">
        <v>0</v>
      </c>
      <c r="P250">
        <v>0</v>
      </c>
      <c r="Q250">
        <v>0</v>
      </c>
      <c r="R250">
        <v>1</v>
      </c>
      <c r="T250">
        <v>1</v>
      </c>
      <c r="U250">
        <v>1</v>
      </c>
      <c r="V250">
        <v>0</v>
      </c>
      <c r="W250">
        <v>1</v>
      </c>
      <c r="X250">
        <v>31</v>
      </c>
      <c r="Z250">
        <v>1</v>
      </c>
      <c r="AA250">
        <v>31</v>
      </c>
      <c r="AC250">
        <v>1</v>
      </c>
      <c r="AD250">
        <v>0</v>
      </c>
      <c r="AE250">
        <v>0</v>
      </c>
      <c r="AF250">
        <v>0</v>
      </c>
      <c r="AG250">
        <v>0</v>
      </c>
      <c r="AH250">
        <v>0</v>
      </c>
      <c r="AJ250">
        <v>1</v>
      </c>
      <c r="AL250">
        <v>1</v>
      </c>
      <c r="AN250">
        <v>1</v>
      </c>
      <c r="AO250">
        <v>1</v>
      </c>
      <c r="AP250">
        <v>1</v>
      </c>
      <c r="AQ250">
        <v>1</v>
      </c>
      <c r="AR250">
        <v>4</v>
      </c>
      <c r="AS250">
        <v>2</v>
      </c>
      <c r="AT250">
        <v>1</v>
      </c>
      <c r="AU250">
        <v>1</v>
      </c>
      <c r="AV250">
        <v>1</v>
      </c>
      <c r="AW250">
        <v>0</v>
      </c>
      <c r="AX250">
        <v>0</v>
      </c>
      <c r="AY250">
        <v>0</v>
      </c>
      <c r="AZ250">
        <v>1</v>
      </c>
      <c r="BA250">
        <v>0</v>
      </c>
      <c r="BC250">
        <v>0</v>
      </c>
      <c r="BD250">
        <v>0</v>
      </c>
      <c r="BE250">
        <v>0</v>
      </c>
      <c r="BF250">
        <v>0</v>
      </c>
      <c r="BG250">
        <v>0</v>
      </c>
      <c r="BH250">
        <v>0</v>
      </c>
      <c r="BI250">
        <v>0</v>
      </c>
      <c r="BJ250">
        <v>0</v>
      </c>
      <c r="BK250">
        <v>0</v>
      </c>
      <c r="BL250">
        <v>0</v>
      </c>
      <c r="BM250">
        <v>0</v>
      </c>
      <c r="BN250">
        <v>0</v>
      </c>
      <c r="BO250">
        <v>0</v>
      </c>
      <c r="BP250">
        <v>0</v>
      </c>
      <c r="BQ250">
        <v>1</v>
      </c>
      <c r="BR250">
        <v>0</v>
      </c>
      <c r="BS250">
        <v>0</v>
      </c>
      <c r="BU250">
        <v>15</v>
      </c>
      <c r="BV250">
        <v>1</v>
      </c>
      <c r="BW250" t="s">
        <v>1181</v>
      </c>
      <c r="BX250">
        <v>4</v>
      </c>
      <c r="BY250">
        <v>4</v>
      </c>
      <c r="DI250">
        <v>0</v>
      </c>
      <c r="DJ250">
        <v>0</v>
      </c>
      <c r="DK250">
        <v>1</v>
      </c>
      <c r="DL250">
        <v>1</v>
      </c>
      <c r="DM250">
        <v>0</v>
      </c>
      <c r="DN250">
        <v>1</v>
      </c>
      <c r="DO250">
        <v>1</v>
      </c>
      <c r="DP250">
        <v>0</v>
      </c>
      <c r="DQ250">
        <v>0</v>
      </c>
      <c r="DR250">
        <v>0</v>
      </c>
      <c r="DT250">
        <v>0</v>
      </c>
      <c r="DU250">
        <v>1</v>
      </c>
      <c r="DV250">
        <v>0</v>
      </c>
      <c r="DW250">
        <v>1</v>
      </c>
      <c r="DX250">
        <v>0</v>
      </c>
      <c r="DY250">
        <v>1</v>
      </c>
      <c r="DZ250">
        <v>0</v>
      </c>
      <c r="EA250">
        <v>1</v>
      </c>
      <c r="EB250">
        <v>1</v>
      </c>
      <c r="EC250">
        <v>0</v>
      </c>
      <c r="ED250">
        <v>1</v>
      </c>
      <c r="EE250">
        <v>0</v>
      </c>
      <c r="EF250">
        <v>0</v>
      </c>
      <c r="EI250" t="s">
        <v>274</v>
      </c>
      <c r="EJ250">
        <v>1</v>
      </c>
      <c r="EK250">
        <v>0</v>
      </c>
      <c r="EL250">
        <v>0</v>
      </c>
      <c r="EM250">
        <v>0</v>
      </c>
      <c r="EN250">
        <v>0</v>
      </c>
      <c r="EO250">
        <v>0</v>
      </c>
      <c r="EP250">
        <v>0</v>
      </c>
      <c r="EQ250">
        <v>0</v>
      </c>
      <c r="ER250">
        <v>0</v>
      </c>
      <c r="ES250">
        <v>0</v>
      </c>
      <c r="ET250">
        <v>0</v>
      </c>
      <c r="EU250">
        <v>0</v>
      </c>
      <c r="EV250">
        <v>0</v>
      </c>
      <c r="EW250">
        <v>0</v>
      </c>
      <c r="EX250">
        <v>0</v>
      </c>
      <c r="EY250">
        <v>0</v>
      </c>
      <c r="EZ250">
        <v>0</v>
      </c>
      <c r="FA250">
        <v>0</v>
      </c>
      <c r="FB250">
        <v>0</v>
      </c>
      <c r="FC250">
        <v>0</v>
      </c>
      <c r="FD250">
        <v>0</v>
      </c>
      <c r="FE250">
        <v>0</v>
      </c>
      <c r="IG250">
        <v>1</v>
      </c>
      <c r="IH250">
        <v>1</v>
      </c>
      <c r="II250">
        <v>0</v>
      </c>
      <c r="IJ250">
        <v>1</v>
      </c>
      <c r="IK250">
        <v>0</v>
      </c>
      <c r="IL250">
        <v>0</v>
      </c>
      <c r="IM250">
        <v>0</v>
      </c>
      <c r="IN250">
        <v>0</v>
      </c>
      <c r="IO250">
        <v>0</v>
      </c>
      <c r="IP250">
        <v>0</v>
      </c>
      <c r="IQ250">
        <v>0</v>
      </c>
      <c r="IS250">
        <v>1</v>
      </c>
      <c r="IT250">
        <v>1</v>
      </c>
      <c r="IU250">
        <v>0</v>
      </c>
      <c r="IV250">
        <v>0</v>
      </c>
      <c r="IW250">
        <v>0</v>
      </c>
    </row>
    <row r="251" spans="1:257" x14ac:dyDescent="0.35">
      <c r="A251">
        <v>405218</v>
      </c>
      <c r="C251">
        <v>1</v>
      </c>
      <c r="D251" t="s">
        <v>1182</v>
      </c>
      <c r="E251" t="s">
        <v>1183</v>
      </c>
      <c r="F251" t="s">
        <v>1184</v>
      </c>
      <c r="G251">
        <v>3</v>
      </c>
      <c r="I251">
        <v>1</v>
      </c>
      <c r="J251">
        <v>0</v>
      </c>
      <c r="K251">
        <v>1</v>
      </c>
      <c r="L251">
        <v>0</v>
      </c>
      <c r="M251">
        <v>0</v>
      </c>
      <c r="N251">
        <v>0</v>
      </c>
      <c r="O251">
        <v>1</v>
      </c>
      <c r="P251">
        <v>0</v>
      </c>
      <c r="Q251">
        <v>0</v>
      </c>
      <c r="R251">
        <v>1</v>
      </c>
      <c r="T251">
        <v>0</v>
      </c>
      <c r="U251">
        <v>1</v>
      </c>
      <c r="V251">
        <v>0</v>
      </c>
      <c r="X251">
        <v>138</v>
      </c>
      <c r="AA251">
        <v>138</v>
      </c>
      <c r="AC251">
        <v>1</v>
      </c>
      <c r="AD251">
        <v>1</v>
      </c>
      <c r="AE251">
        <v>0</v>
      </c>
      <c r="AF251">
        <v>0</v>
      </c>
      <c r="AG251">
        <v>1</v>
      </c>
      <c r="AH251">
        <v>0</v>
      </c>
      <c r="AJ251">
        <v>1</v>
      </c>
      <c r="AL251">
        <v>1</v>
      </c>
      <c r="AN251">
        <v>2</v>
      </c>
      <c r="AQ251">
        <v>2</v>
      </c>
      <c r="AS251">
        <v>2</v>
      </c>
      <c r="AT251">
        <v>1</v>
      </c>
      <c r="BX251">
        <v>3</v>
      </c>
      <c r="BY251">
        <v>4</v>
      </c>
      <c r="BZ251">
        <v>0</v>
      </c>
      <c r="CA251">
        <v>1</v>
      </c>
      <c r="CB251">
        <v>0</v>
      </c>
      <c r="CC251">
        <v>0</v>
      </c>
      <c r="CD251">
        <v>0</v>
      </c>
      <c r="CE251">
        <v>0</v>
      </c>
      <c r="CF251">
        <v>0</v>
      </c>
      <c r="CG251">
        <v>0</v>
      </c>
      <c r="CH251">
        <v>0</v>
      </c>
      <c r="CI251">
        <v>1</v>
      </c>
      <c r="CJ251">
        <v>0</v>
      </c>
      <c r="CK251">
        <v>1</v>
      </c>
      <c r="CL251">
        <v>1</v>
      </c>
      <c r="CM251">
        <v>0</v>
      </c>
      <c r="CN251">
        <v>0</v>
      </c>
      <c r="CO251">
        <v>0</v>
      </c>
      <c r="CQ251" t="s">
        <v>1185</v>
      </c>
      <c r="CR251">
        <v>2</v>
      </c>
      <c r="CS251">
        <v>1</v>
      </c>
      <c r="CU251">
        <v>1</v>
      </c>
      <c r="CW251">
        <v>1</v>
      </c>
      <c r="CY251" t="s">
        <v>1186</v>
      </c>
      <c r="CZ251">
        <v>2</v>
      </c>
      <c r="DD251" t="s">
        <v>1187</v>
      </c>
      <c r="DE251">
        <v>2</v>
      </c>
      <c r="DG251">
        <v>4</v>
      </c>
      <c r="DI251">
        <v>0</v>
      </c>
      <c r="DJ251">
        <v>1</v>
      </c>
      <c r="DK251">
        <v>1</v>
      </c>
      <c r="DL251">
        <v>0</v>
      </c>
      <c r="DM251">
        <v>1</v>
      </c>
      <c r="DN251">
        <v>1</v>
      </c>
      <c r="DO251">
        <v>0</v>
      </c>
      <c r="DP251">
        <v>0</v>
      </c>
      <c r="DQ251">
        <v>0</v>
      </c>
      <c r="DR251">
        <v>0</v>
      </c>
      <c r="DT251">
        <v>0</v>
      </c>
      <c r="DU251">
        <v>1</v>
      </c>
      <c r="DV251">
        <v>0</v>
      </c>
      <c r="DW251">
        <v>1</v>
      </c>
      <c r="DX251">
        <v>1</v>
      </c>
      <c r="DY251">
        <v>0</v>
      </c>
      <c r="DZ251">
        <v>0</v>
      </c>
      <c r="EA251">
        <v>0</v>
      </c>
      <c r="EB251">
        <v>0</v>
      </c>
      <c r="EC251">
        <v>1</v>
      </c>
      <c r="ED251">
        <v>1</v>
      </c>
      <c r="EE251">
        <v>0</v>
      </c>
      <c r="EF251">
        <v>0</v>
      </c>
      <c r="EI251" t="s">
        <v>1188</v>
      </c>
      <c r="EJ251">
        <v>1</v>
      </c>
      <c r="EK251">
        <v>1</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0</v>
      </c>
      <c r="GJ251" t="s">
        <v>1189</v>
      </c>
      <c r="GK251">
        <v>0</v>
      </c>
      <c r="GL251">
        <v>0</v>
      </c>
      <c r="GM251">
        <v>0</v>
      </c>
      <c r="GN251">
        <v>0</v>
      </c>
      <c r="GO251">
        <v>0</v>
      </c>
      <c r="GP251">
        <v>0</v>
      </c>
      <c r="GQ251">
        <v>0</v>
      </c>
      <c r="GR251">
        <v>0</v>
      </c>
      <c r="GS251">
        <v>0</v>
      </c>
      <c r="GT251">
        <v>0</v>
      </c>
      <c r="GU251">
        <v>0</v>
      </c>
      <c r="GV251">
        <v>0</v>
      </c>
      <c r="GW251">
        <v>0</v>
      </c>
      <c r="GX251">
        <v>0</v>
      </c>
      <c r="GY251">
        <v>0</v>
      </c>
      <c r="GZ251">
        <v>0</v>
      </c>
      <c r="HA251">
        <v>0</v>
      </c>
      <c r="HB251">
        <v>0</v>
      </c>
      <c r="HC251">
        <v>0</v>
      </c>
      <c r="HD251">
        <v>0</v>
      </c>
      <c r="HE251">
        <v>0</v>
      </c>
      <c r="HF251">
        <v>0</v>
      </c>
      <c r="HG251">
        <v>0</v>
      </c>
      <c r="HH251">
        <v>0</v>
      </c>
      <c r="HI251">
        <v>0</v>
      </c>
      <c r="HJ251">
        <v>0</v>
      </c>
      <c r="HK251">
        <v>0</v>
      </c>
      <c r="HL251">
        <v>0</v>
      </c>
      <c r="HM251">
        <v>0</v>
      </c>
      <c r="HN251">
        <v>0</v>
      </c>
      <c r="HO251">
        <v>0</v>
      </c>
      <c r="HP251">
        <v>0</v>
      </c>
      <c r="HQ251">
        <v>0</v>
      </c>
      <c r="HR251">
        <v>0</v>
      </c>
      <c r="HS251">
        <v>0</v>
      </c>
      <c r="HT251">
        <v>0</v>
      </c>
      <c r="HU251">
        <v>0</v>
      </c>
      <c r="HV251">
        <v>0</v>
      </c>
      <c r="HW251">
        <v>0</v>
      </c>
      <c r="HX251">
        <v>0</v>
      </c>
      <c r="HY251">
        <v>0</v>
      </c>
      <c r="HZ251">
        <v>0</v>
      </c>
      <c r="IA251">
        <v>1</v>
      </c>
      <c r="IB251">
        <v>0</v>
      </c>
      <c r="IC251">
        <v>0</v>
      </c>
      <c r="ID251">
        <v>0</v>
      </c>
      <c r="IG251">
        <v>1</v>
      </c>
      <c r="IH251">
        <v>0</v>
      </c>
      <c r="II251">
        <v>1</v>
      </c>
      <c r="IJ251">
        <v>0</v>
      </c>
      <c r="IK251">
        <v>0</v>
      </c>
      <c r="IL251">
        <v>0</v>
      </c>
      <c r="IM251">
        <v>0</v>
      </c>
      <c r="IN251">
        <v>0</v>
      </c>
      <c r="IO251">
        <v>0</v>
      </c>
      <c r="IP251">
        <v>0</v>
      </c>
      <c r="IQ251">
        <v>0</v>
      </c>
      <c r="IS251">
        <v>2</v>
      </c>
    </row>
    <row r="252" spans="1:257" x14ac:dyDescent="0.35">
      <c r="A252">
        <v>405538</v>
      </c>
      <c r="C252">
        <v>1</v>
      </c>
      <c r="D252" t="s">
        <v>1190</v>
      </c>
      <c r="E252" t="s">
        <v>1191</v>
      </c>
      <c r="F252" t="s">
        <v>1192</v>
      </c>
      <c r="G252">
        <v>5</v>
      </c>
      <c r="I252">
        <v>1</v>
      </c>
      <c r="J252">
        <v>0</v>
      </c>
      <c r="K252">
        <v>1</v>
      </c>
      <c r="L252">
        <v>0</v>
      </c>
      <c r="M252">
        <v>1</v>
      </c>
      <c r="N252">
        <v>0</v>
      </c>
      <c r="O252">
        <v>0</v>
      </c>
      <c r="P252">
        <v>1</v>
      </c>
      <c r="Q252">
        <v>0</v>
      </c>
      <c r="R252">
        <v>1</v>
      </c>
      <c r="T252">
        <v>1</v>
      </c>
      <c r="U252">
        <v>1</v>
      </c>
      <c r="V252">
        <v>1</v>
      </c>
      <c r="W252">
        <v>4</v>
      </c>
      <c r="X252">
        <v>224</v>
      </c>
      <c r="Y252">
        <v>3</v>
      </c>
      <c r="Z252">
        <v>4</v>
      </c>
      <c r="AA252">
        <v>224</v>
      </c>
      <c r="AB252">
        <v>3</v>
      </c>
      <c r="AC252">
        <v>1</v>
      </c>
      <c r="AD252">
        <v>0</v>
      </c>
      <c r="AE252">
        <v>0</v>
      </c>
      <c r="AF252">
        <v>0</v>
      </c>
      <c r="AG252">
        <v>1</v>
      </c>
      <c r="AH252">
        <v>0</v>
      </c>
      <c r="AJ252">
        <v>1</v>
      </c>
      <c r="AL252">
        <v>1</v>
      </c>
      <c r="AN252">
        <v>1</v>
      </c>
      <c r="AO252">
        <v>1</v>
      </c>
      <c r="AP252">
        <v>2</v>
      </c>
      <c r="AQ252">
        <v>1</v>
      </c>
      <c r="AR252">
        <v>1</v>
      </c>
      <c r="AS252">
        <v>2</v>
      </c>
      <c r="AT252">
        <v>1</v>
      </c>
      <c r="BX252">
        <v>4</v>
      </c>
      <c r="BY252">
        <v>3</v>
      </c>
      <c r="BZ252">
        <v>1</v>
      </c>
      <c r="CA252">
        <v>1</v>
      </c>
      <c r="CB252">
        <v>1</v>
      </c>
      <c r="CC252">
        <v>0</v>
      </c>
      <c r="CD252">
        <v>1</v>
      </c>
      <c r="CE252">
        <v>0</v>
      </c>
      <c r="CF252">
        <v>0</v>
      </c>
      <c r="CG252">
        <v>0</v>
      </c>
      <c r="CH252">
        <v>0</v>
      </c>
      <c r="CI252">
        <v>1</v>
      </c>
      <c r="CJ252">
        <v>0</v>
      </c>
      <c r="CK252">
        <v>1</v>
      </c>
      <c r="CL252">
        <v>1</v>
      </c>
      <c r="CM252">
        <v>0</v>
      </c>
      <c r="CN252">
        <v>0</v>
      </c>
      <c r="CO252">
        <v>0</v>
      </c>
      <c r="CQ252" t="s">
        <v>1193</v>
      </c>
      <c r="CR252">
        <v>1</v>
      </c>
      <c r="CS252">
        <v>1</v>
      </c>
      <c r="CU252">
        <v>1</v>
      </c>
      <c r="CW252">
        <v>1</v>
      </c>
      <c r="CY252" t="s">
        <v>1194</v>
      </c>
      <c r="CZ252">
        <v>1</v>
      </c>
      <c r="DB252">
        <v>5</v>
      </c>
      <c r="DD252" t="s">
        <v>1195</v>
      </c>
      <c r="DE252">
        <v>1</v>
      </c>
      <c r="DF252" t="s">
        <v>1196</v>
      </c>
      <c r="DG252">
        <v>1</v>
      </c>
      <c r="DH252" t="s">
        <v>1197</v>
      </c>
      <c r="DI252">
        <v>0</v>
      </c>
      <c r="DJ252">
        <v>0</v>
      </c>
      <c r="DK252">
        <v>1</v>
      </c>
      <c r="DL252">
        <v>0</v>
      </c>
      <c r="DM252">
        <v>0</v>
      </c>
      <c r="DN252">
        <v>1</v>
      </c>
      <c r="DO252">
        <v>0</v>
      </c>
      <c r="DP252">
        <v>0</v>
      </c>
      <c r="DQ252">
        <v>1</v>
      </c>
      <c r="DR252">
        <v>0</v>
      </c>
      <c r="DS252" t="s">
        <v>1198</v>
      </c>
      <c r="DT252">
        <v>0</v>
      </c>
      <c r="DU252">
        <v>1</v>
      </c>
      <c r="DV252">
        <v>0</v>
      </c>
      <c r="DW252">
        <v>1</v>
      </c>
      <c r="DX252">
        <v>1</v>
      </c>
      <c r="DY252">
        <v>0</v>
      </c>
      <c r="DZ252">
        <v>0</v>
      </c>
      <c r="EA252">
        <v>0</v>
      </c>
      <c r="EB252">
        <v>0</v>
      </c>
      <c r="EC252">
        <v>0</v>
      </c>
      <c r="ED252">
        <v>1</v>
      </c>
      <c r="EE252">
        <v>0</v>
      </c>
      <c r="EF252">
        <v>0</v>
      </c>
      <c r="EI252" t="s">
        <v>1199</v>
      </c>
      <c r="EJ252">
        <v>1</v>
      </c>
      <c r="EK252">
        <v>0</v>
      </c>
      <c r="EL252">
        <v>0</v>
      </c>
      <c r="EM252">
        <v>0</v>
      </c>
      <c r="EN252">
        <v>0</v>
      </c>
      <c r="EO252">
        <v>0</v>
      </c>
      <c r="EP252">
        <v>0</v>
      </c>
      <c r="EQ252">
        <v>0</v>
      </c>
      <c r="ER252">
        <v>0</v>
      </c>
      <c r="ES252">
        <v>0</v>
      </c>
      <c r="ET252">
        <v>0</v>
      </c>
      <c r="EU252">
        <v>0</v>
      </c>
      <c r="EV252">
        <v>0</v>
      </c>
      <c r="EW252">
        <v>0</v>
      </c>
      <c r="EX252">
        <v>0</v>
      </c>
      <c r="EY252">
        <v>0</v>
      </c>
      <c r="EZ252">
        <v>0</v>
      </c>
      <c r="FA252">
        <v>0</v>
      </c>
      <c r="FB252">
        <v>0</v>
      </c>
      <c r="FC252">
        <v>0</v>
      </c>
      <c r="FD252">
        <v>0</v>
      </c>
      <c r="FE252">
        <v>0</v>
      </c>
      <c r="IG252">
        <v>1</v>
      </c>
      <c r="IH252">
        <v>1</v>
      </c>
      <c r="II252">
        <v>1</v>
      </c>
      <c r="IJ252">
        <v>0</v>
      </c>
      <c r="IK252">
        <v>0</v>
      </c>
      <c r="IL252">
        <v>0</v>
      </c>
      <c r="IM252">
        <v>0</v>
      </c>
      <c r="IN252">
        <v>0</v>
      </c>
      <c r="IO252">
        <v>0</v>
      </c>
      <c r="IP252">
        <v>0</v>
      </c>
      <c r="IQ252">
        <v>0</v>
      </c>
      <c r="IS252">
        <v>2</v>
      </c>
    </row>
    <row r="253" spans="1:257" x14ac:dyDescent="0.35">
      <c r="A253">
        <v>396932</v>
      </c>
      <c r="C253">
        <v>1</v>
      </c>
      <c r="D253" t="s">
        <v>1200</v>
      </c>
      <c r="E253" t="s">
        <v>1201</v>
      </c>
      <c r="F253" t="s">
        <v>1192</v>
      </c>
      <c r="G253">
        <v>3</v>
      </c>
      <c r="I253">
        <v>1</v>
      </c>
      <c r="J253">
        <v>1</v>
      </c>
      <c r="K253">
        <v>1</v>
      </c>
      <c r="L253">
        <v>0</v>
      </c>
      <c r="M253">
        <v>0</v>
      </c>
      <c r="N253">
        <v>0</v>
      </c>
      <c r="O253">
        <v>0</v>
      </c>
      <c r="P253">
        <v>0</v>
      </c>
      <c r="Q253">
        <v>0</v>
      </c>
      <c r="R253">
        <v>1</v>
      </c>
      <c r="T253">
        <v>0</v>
      </c>
      <c r="U253">
        <v>1</v>
      </c>
      <c r="V253">
        <v>0</v>
      </c>
      <c r="X253">
        <v>24</v>
      </c>
      <c r="AA253">
        <v>24</v>
      </c>
      <c r="AC253">
        <v>1</v>
      </c>
      <c r="AD253">
        <v>0</v>
      </c>
      <c r="AE253">
        <v>0</v>
      </c>
      <c r="AF253">
        <v>0</v>
      </c>
      <c r="AG253">
        <v>1</v>
      </c>
      <c r="AH253">
        <v>0</v>
      </c>
      <c r="AJ253">
        <v>4</v>
      </c>
      <c r="AL253">
        <v>1</v>
      </c>
      <c r="AN253">
        <v>1</v>
      </c>
      <c r="AO253">
        <v>1</v>
      </c>
      <c r="AP253">
        <v>2</v>
      </c>
      <c r="AQ253">
        <v>1</v>
      </c>
      <c r="AR253">
        <v>3</v>
      </c>
      <c r="AS253">
        <v>2</v>
      </c>
      <c r="AT253">
        <v>1</v>
      </c>
      <c r="BX253">
        <v>5</v>
      </c>
      <c r="BY253">
        <v>5</v>
      </c>
      <c r="BZ253">
        <v>0</v>
      </c>
      <c r="CA253">
        <v>1</v>
      </c>
      <c r="CB253">
        <v>0</v>
      </c>
      <c r="CC253">
        <v>0</v>
      </c>
      <c r="CD253">
        <v>0</v>
      </c>
      <c r="CE253">
        <v>0</v>
      </c>
      <c r="CF253">
        <v>0</v>
      </c>
      <c r="CG253">
        <v>0</v>
      </c>
      <c r="CH253">
        <v>0</v>
      </c>
      <c r="CI253">
        <v>1</v>
      </c>
      <c r="CJ253">
        <v>1</v>
      </c>
      <c r="CK253">
        <v>1</v>
      </c>
      <c r="CL253">
        <v>1</v>
      </c>
      <c r="CM253">
        <v>1</v>
      </c>
      <c r="CN253">
        <v>0</v>
      </c>
      <c r="CO253">
        <v>0</v>
      </c>
      <c r="CQ253" t="s">
        <v>1202</v>
      </c>
      <c r="CR253">
        <v>1</v>
      </c>
      <c r="CS253">
        <v>1</v>
      </c>
      <c r="CU253">
        <v>2</v>
      </c>
      <c r="CW253">
        <v>3</v>
      </c>
      <c r="CX253" t="s">
        <v>1203</v>
      </c>
      <c r="CZ253">
        <v>4</v>
      </c>
      <c r="DD253" t="s">
        <v>1204</v>
      </c>
      <c r="DE253">
        <v>3</v>
      </c>
      <c r="DF253" t="s">
        <v>1205</v>
      </c>
      <c r="DG253">
        <v>1</v>
      </c>
      <c r="DH253" t="s">
        <v>1206</v>
      </c>
      <c r="DI253">
        <v>1</v>
      </c>
      <c r="DJ253">
        <v>0</v>
      </c>
      <c r="DK253">
        <v>0</v>
      </c>
      <c r="DL253">
        <v>0</v>
      </c>
      <c r="DM253">
        <v>1</v>
      </c>
      <c r="DN253">
        <v>1</v>
      </c>
      <c r="DO253">
        <v>0</v>
      </c>
      <c r="DP253">
        <v>1</v>
      </c>
      <c r="DQ253">
        <v>0</v>
      </c>
      <c r="DR253">
        <v>0</v>
      </c>
      <c r="DT253">
        <v>0</v>
      </c>
      <c r="DU253">
        <v>1</v>
      </c>
      <c r="DV253">
        <v>0</v>
      </c>
      <c r="DW253">
        <v>1</v>
      </c>
      <c r="DX253">
        <v>0</v>
      </c>
      <c r="DY253">
        <v>0</v>
      </c>
      <c r="DZ253">
        <v>1</v>
      </c>
      <c r="EA253">
        <v>1</v>
      </c>
      <c r="EB253">
        <v>1</v>
      </c>
      <c r="EC253">
        <v>1</v>
      </c>
      <c r="ED253">
        <v>1</v>
      </c>
      <c r="EE253">
        <v>0</v>
      </c>
      <c r="EF253">
        <v>0</v>
      </c>
      <c r="EI253" t="s">
        <v>1207</v>
      </c>
      <c r="EJ253">
        <v>0</v>
      </c>
      <c r="EK253">
        <v>0</v>
      </c>
      <c r="EL253">
        <v>0</v>
      </c>
      <c r="EM253">
        <v>0</v>
      </c>
      <c r="EN253">
        <v>0</v>
      </c>
      <c r="EO253">
        <v>0</v>
      </c>
      <c r="EP253">
        <v>0</v>
      </c>
      <c r="EQ253">
        <v>0</v>
      </c>
      <c r="ER253">
        <v>0</v>
      </c>
      <c r="ES253">
        <v>0</v>
      </c>
      <c r="ET253">
        <v>0</v>
      </c>
      <c r="EU253">
        <v>0</v>
      </c>
      <c r="EV253">
        <v>0</v>
      </c>
      <c r="EW253">
        <v>0</v>
      </c>
      <c r="EX253">
        <v>0</v>
      </c>
      <c r="EY253">
        <v>1</v>
      </c>
      <c r="EZ253">
        <v>0</v>
      </c>
      <c r="FA253">
        <v>0</v>
      </c>
      <c r="FB253">
        <v>0</v>
      </c>
      <c r="FC253">
        <v>0</v>
      </c>
      <c r="FD253">
        <v>0</v>
      </c>
      <c r="FE253">
        <v>0</v>
      </c>
      <c r="FZ253" t="s">
        <v>1207</v>
      </c>
      <c r="GA253">
        <v>0</v>
      </c>
      <c r="GB253">
        <v>0</v>
      </c>
      <c r="GC253">
        <v>0</v>
      </c>
      <c r="GD253">
        <v>0</v>
      </c>
      <c r="GE253">
        <v>0</v>
      </c>
      <c r="GF253">
        <v>0</v>
      </c>
      <c r="GG253">
        <v>0</v>
      </c>
      <c r="GH253">
        <v>1</v>
      </c>
      <c r="GI253">
        <v>0</v>
      </c>
      <c r="GJ253" t="s">
        <v>1207</v>
      </c>
      <c r="GK253">
        <v>0</v>
      </c>
      <c r="GL253">
        <v>0</v>
      </c>
      <c r="GM253">
        <v>0</v>
      </c>
      <c r="GN253">
        <v>0</v>
      </c>
      <c r="GO253">
        <v>0</v>
      </c>
      <c r="GP253">
        <v>0</v>
      </c>
      <c r="GQ253">
        <v>0</v>
      </c>
      <c r="GR253">
        <v>0</v>
      </c>
      <c r="GS253">
        <v>0</v>
      </c>
      <c r="GT253">
        <v>0</v>
      </c>
      <c r="GU253">
        <v>0</v>
      </c>
      <c r="GV253">
        <v>0</v>
      </c>
      <c r="GW253">
        <v>0</v>
      </c>
      <c r="GX253">
        <v>0</v>
      </c>
      <c r="GY253">
        <v>0</v>
      </c>
      <c r="GZ253">
        <v>0</v>
      </c>
      <c r="HA253">
        <v>0</v>
      </c>
      <c r="HB253">
        <v>0</v>
      </c>
      <c r="HC253">
        <v>0</v>
      </c>
      <c r="HD253">
        <v>0</v>
      </c>
      <c r="HE253">
        <v>0</v>
      </c>
      <c r="HF253">
        <v>0</v>
      </c>
      <c r="HG253">
        <v>0</v>
      </c>
      <c r="HH253">
        <v>0</v>
      </c>
      <c r="HI253">
        <v>0</v>
      </c>
      <c r="HJ253">
        <v>0</v>
      </c>
      <c r="HK253">
        <v>0</v>
      </c>
      <c r="HL253">
        <v>0</v>
      </c>
      <c r="HM253">
        <v>0</v>
      </c>
      <c r="HN253">
        <v>0</v>
      </c>
      <c r="HO253">
        <v>0</v>
      </c>
      <c r="HP253">
        <v>0</v>
      </c>
      <c r="HQ253">
        <v>0</v>
      </c>
      <c r="HR253">
        <v>0</v>
      </c>
      <c r="HS253">
        <v>0</v>
      </c>
      <c r="HT253">
        <v>0</v>
      </c>
      <c r="HU253">
        <v>0</v>
      </c>
      <c r="HV253">
        <v>0</v>
      </c>
      <c r="HW253">
        <v>0</v>
      </c>
      <c r="HX253">
        <v>0</v>
      </c>
      <c r="HY253">
        <v>0</v>
      </c>
      <c r="HZ253">
        <v>0</v>
      </c>
      <c r="IA253">
        <v>0</v>
      </c>
      <c r="IB253">
        <v>0</v>
      </c>
      <c r="IC253">
        <v>0</v>
      </c>
      <c r="ID253">
        <v>1</v>
      </c>
      <c r="IG253">
        <v>1</v>
      </c>
      <c r="IH253">
        <v>1</v>
      </c>
      <c r="II253">
        <v>0</v>
      </c>
      <c r="IJ253">
        <v>0</v>
      </c>
      <c r="IK253">
        <v>0</v>
      </c>
      <c r="IL253">
        <v>0</v>
      </c>
      <c r="IM253">
        <v>1</v>
      </c>
      <c r="IN253">
        <v>0</v>
      </c>
      <c r="IO253">
        <v>0</v>
      </c>
      <c r="IP253">
        <v>0</v>
      </c>
      <c r="IQ253">
        <v>0</v>
      </c>
      <c r="IS253">
        <v>1</v>
      </c>
      <c r="IT253">
        <v>1</v>
      </c>
      <c r="IU253">
        <v>1</v>
      </c>
      <c r="IV253">
        <v>0</v>
      </c>
      <c r="IW253">
        <v>0</v>
      </c>
    </row>
    <row r="254" spans="1:257" x14ac:dyDescent="0.35">
      <c r="A254">
        <v>405478</v>
      </c>
      <c r="C254">
        <v>1</v>
      </c>
      <c r="D254" t="s">
        <v>1208</v>
      </c>
      <c r="E254" t="s">
        <v>1209</v>
      </c>
      <c r="F254" t="s">
        <v>1192</v>
      </c>
      <c r="G254">
        <v>1</v>
      </c>
      <c r="I254">
        <v>1</v>
      </c>
      <c r="J254">
        <v>1</v>
      </c>
      <c r="K254">
        <v>1</v>
      </c>
      <c r="L254">
        <v>0</v>
      </c>
      <c r="M254">
        <v>0</v>
      </c>
      <c r="N254">
        <v>0</v>
      </c>
      <c r="O254">
        <v>0</v>
      </c>
      <c r="P254">
        <v>1</v>
      </c>
      <c r="Q254">
        <v>0</v>
      </c>
      <c r="R254">
        <v>1</v>
      </c>
      <c r="T254">
        <v>1</v>
      </c>
      <c r="U254">
        <v>1</v>
      </c>
      <c r="V254">
        <v>0</v>
      </c>
      <c r="W254">
        <v>7</v>
      </c>
      <c r="X254">
        <v>60</v>
      </c>
      <c r="Z254">
        <v>7</v>
      </c>
      <c r="AA254">
        <v>60</v>
      </c>
      <c r="AC254">
        <v>1</v>
      </c>
      <c r="AD254">
        <v>0</v>
      </c>
      <c r="AE254">
        <v>0</v>
      </c>
      <c r="AF254">
        <v>0</v>
      </c>
      <c r="AG254">
        <v>1</v>
      </c>
      <c r="AH254">
        <v>0</v>
      </c>
      <c r="AJ254">
        <v>1</v>
      </c>
      <c r="AL254">
        <v>1</v>
      </c>
      <c r="AN254">
        <v>1</v>
      </c>
      <c r="AO254">
        <v>1</v>
      </c>
      <c r="AP254">
        <v>2</v>
      </c>
      <c r="AQ254">
        <v>2</v>
      </c>
      <c r="AS254">
        <v>2</v>
      </c>
      <c r="AT254">
        <v>1</v>
      </c>
      <c r="BX254">
        <v>3</v>
      </c>
      <c r="BY254">
        <v>3</v>
      </c>
      <c r="BZ254">
        <v>0</v>
      </c>
      <c r="CA254">
        <v>0</v>
      </c>
      <c r="CB254">
        <v>1</v>
      </c>
      <c r="CC254">
        <v>0</v>
      </c>
      <c r="CD254">
        <v>0</v>
      </c>
      <c r="CE254">
        <v>0</v>
      </c>
      <c r="CF254">
        <v>1</v>
      </c>
      <c r="CG254">
        <v>0</v>
      </c>
      <c r="CH254">
        <v>0</v>
      </c>
      <c r="CI254">
        <v>0</v>
      </c>
      <c r="CJ254">
        <v>0</v>
      </c>
      <c r="CK254">
        <v>1</v>
      </c>
      <c r="CL254">
        <v>1</v>
      </c>
      <c r="CM254">
        <v>0</v>
      </c>
      <c r="CN254">
        <v>0</v>
      </c>
      <c r="CO254">
        <v>0</v>
      </c>
      <c r="CQ254" t="s">
        <v>1210</v>
      </c>
      <c r="CR254">
        <v>1</v>
      </c>
      <c r="CS254">
        <v>1</v>
      </c>
      <c r="CU254">
        <v>1</v>
      </c>
      <c r="CW254">
        <v>2</v>
      </c>
      <c r="CZ254">
        <v>2</v>
      </c>
      <c r="DD254" t="s">
        <v>1211</v>
      </c>
      <c r="DE254">
        <v>2</v>
      </c>
      <c r="DG254">
        <v>4</v>
      </c>
      <c r="DI254">
        <v>1</v>
      </c>
      <c r="DJ254">
        <v>0</v>
      </c>
      <c r="DK254">
        <v>0</v>
      </c>
      <c r="DL254">
        <v>0</v>
      </c>
      <c r="DM254">
        <v>1</v>
      </c>
      <c r="DN254">
        <v>1</v>
      </c>
      <c r="DO254">
        <v>0</v>
      </c>
      <c r="DP254">
        <v>0</v>
      </c>
      <c r="DQ254">
        <v>0</v>
      </c>
      <c r="DR254">
        <v>0</v>
      </c>
      <c r="DT254">
        <v>0</v>
      </c>
      <c r="DU254">
        <v>0</v>
      </c>
      <c r="DV254">
        <v>0</v>
      </c>
      <c r="DW254">
        <v>1</v>
      </c>
      <c r="DX254">
        <v>0</v>
      </c>
      <c r="DY254">
        <v>0</v>
      </c>
      <c r="DZ254">
        <v>0</v>
      </c>
      <c r="EA254">
        <v>1</v>
      </c>
      <c r="EB254">
        <v>0</v>
      </c>
      <c r="EC254">
        <v>0</v>
      </c>
      <c r="ED254">
        <v>1</v>
      </c>
      <c r="EE254">
        <v>0</v>
      </c>
      <c r="EF254">
        <v>0</v>
      </c>
      <c r="IG254">
        <v>0</v>
      </c>
      <c r="IH254">
        <v>0</v>
      </c>
      <c r="II254">
        <v>0</v>
      </c>
      <c r="IJ254">
        <v>0</v>
      </c>
      <c r="IK254">
        <v>0</v>
      </c>
      <c r="IL254">
        <v>0</v>
      </c>
      <c r="IM254">
        <v>0</v>
      </c>
      <c r="IN254">
        <v>0</v>
      </c>
      <c r="IO254">
        <v>0</v>
      </c>
      <c r="IP254">
        <v>0</v>
      </c>
      <c r="IQ254">
        <v>1</v>
      </c>
      <c r="IS254">
        <v>1</v>
      </c>
      <c r="IT254">
        <v>1</v>
      </c>
      <c r="IU254">
        <v>0</v>
      </c>
      <c r="IV254">
        <v>0</v>
      </c>
      <c r="IW254">
        <v>0</v>
      </c>
    </row>
    <row r="255" spans="1:257" x14ac:dyDescent="0.35">
      <c r="A255">
        <v>405206</v>
      </c>
      <c r="C255">
        <v>1</v>
      </c>
      <c r="D255" t="s">
        <v>1212</v>
      </c>
      <c r="E255" t="s">
        <v>1213</v>
      </c>
      <c r="F255" t="s">
        <v>1192</v>
      </c>
      <c r="G255">
        <v>3</v>
      </c>
      <c r="I255">
        <v>0</v>
      </c>
      <c r="J255">
        <v>0</v>
      </c>
      <c r="K255">
        <v>0</v>
      </c>
      <c r="L255">
        <v>0</v>
      </c>
      <c r="M255">
        <v>0</v>
      </c>
      <c r="N255">
        <v>0</v>
      </c>
      <c r="O255">
        <v>0</v>
      </c>
      <c r="P255">
        <v>1</v>
      </c>
      <c r="Q255">
        <v>0</v>
      </c>
      <c r="R255">
        <v>1</v>
      </c>
      <c r="T255">
        <v>0</v>
      </c>
      <c r="U255">
        <v>1</v>
      </c>
      <c r="V255">
        <v>0</v>
      </c>
      <c r="X255">
        <v>30</v>
      </c>
      <c r="AA255">
        <v>30</v>
      </c>
      <c r="AC255">
        <v>1</v>
      </c>
      <c r="AD255">
        <v>0</v>
      </c>
      <c r="AE255">
        <v>0</v>
      </c>
      <c r="AF255">
        <v>0</v>
      </c>
      <c r="AG255">
        <v>1</v>
      </c>
      <c r="AH255">
        <v>0</v>
      </c>
      <c r="AJ255">
        <v>1</v>
      </c>
      <c r="AL255">
        <v>1</v>
      </c>
      <c r="AN255">
        <v>1</v>
      </c>
      <c r="AO255">
        <v>1</v>
      </c>
      <c r="AP255">
        <v>2</v>
      </c>
      <c r="AQ255">
        <v>1</v>
      </c>
      <c r="AR255">
        <v>1</v>
      </c>
      <c r="AS255">
        <v>1</v>
      </c>
      <c r="AT255">
        <v>1</v>
      </c>
      <c r="BX255">
        <v>5</v>
      </c>
      <c r="BY255">
        <v>5</v>
      </c>
      <c r="BZ255">
        <v>0</v>
      </c>
      <c r="CA255">
        <v>1</v>
      </c>
      <c r="CB255">
        <v>1</v>
      </c>
      <c r="CC255">
        <v>0</v>
      </c>
      <c r="CD255">
        <v>0</v>
      </c>
      <c r="CE255">
        <v>0</v>
      </c>
      <c r="CF255">
        <v>0</v>
      </c>
      <c r="CG255">
        <v>0</v>
      </c>
      <c r="CH255">
        <v>0</v>
      </c>
      <c r="CI255">
        <v>0</v>
      </c>
      <c r="CJ255">
        <v>0</v>
      </c>
      <c r="CK255">
        <v>0</v>
      </c>
      <c r="CL255">
        <v>1</v>
      </c>
      <c r="CM255">
        <v>0</v>
      </c>
      <c r="CN255">
        <v>0</v>
      </c>
      <c r="CO255">
        <v>0</v>
      </c>
      <c r="CQ255" t="s">
        <v>1214</v>
      </c>
      <c r="CR255">
        <v>1</v>
      </c>
      <c r="CS255">
        <v>1</v>
      </c>
      <c r="CU255">
        <v>1</v>
      </c>
      <c r="CW255">
        <v>1</v>
      </c>
      <c r="CY255" t="s">
        <v>1215</v>
      </c>
      <c r="CZ255">
        <v>4</v>
      </c>
      <c r="DD255" t="s">
        <v>1216</v>
      </c>
      <c r="DE255">
        <v>3</v>
      </c>
      <c r="DF255" t="s">
        <v>1217</v>
      </c>
      <c r="DG255">
        <v>1</v>
      </c>
    </row>
    <row r="256" spans="1:257" x14ac:dyDescent="0.35">
      <c r="A256">
        <v>376650</v>
      </c>
      <c r="C256">
        <v>1</v>
      </c>
      <c r="D256" t="s">
        <v>1218</v>
      </c>
      <c r="E256" t="s">
        <v>1219</v>
      </c>
      <c r="F256" t="s">
        <v>1220</v>
      </c>
      <c r="G256">
        <v>3</v>
      </c>
      <c r="I256">
        <v>0</v>
      </c>
      <c r="J256">
        <v>0</v>
      </c>
      <c r="K256">
        <v>1</v>
      </c>
      <c r="L256">
        <v>0</v>
      </c>
      <c r="M256">
        <v>0</v>
      </c>
      <c r="N256">
        <v>0</v>
      </c>
      <c r="O256">
        <v>0</v>
      </c>
      <c r="P256">
        <v>0</v>
      </c>
      <c r="Q256">
        <v>0</v>
      </c>
      <c r="R256">
        <v>1</v>
      </c>
      <c r="T256">
        <v>1</v>
      </c>
      <c r="U256">
        <v>1</v>
      </c>
      <c r="V256">
        <v>1</v>
      </c>
      <c r="W256">
        <v>1</v>
      </c>
      <c r="X256">
        <v>69</v>
      </c>
      <c r="Y256">
        <v>0</v>
      </c>
      <c r="Z256">
        <v>1</v>
      </c>
      <c r="AA256">
        <v>69</v>
      </c>
      <c r="AC256">
        <v>1</v>
      </c>
      <c r="AD256">
        <v>1</v>
      </c>
      <c r="AE256">
        <v>0</v>
      </c>
      <c r="AF256">
        <v>0</v>
      </c>
      <c r="AG256">
        <v>0</v>
      </c>
      <c r="AH256">
        <v>0</v>
      </c>
      <c r="AJ256">
        <v>1</v>
      </c>
      <c r="AL256">
        <v>1</v>
      </c>
      <c r="AN256">
        <v>1</v>
      </c>
      <c r="AO256">
        <v>1</v>
      </c>
      <c r="AP256">
        <v>1</v>
      </c>
      <c r="AQ256">
        <v>2</v>
      </c>
      <c r="AS256">
        <v>2</v>
      </c>
      <c r="AT256">
        <v>1</v>
      </c>
      <c r="AU256">
        <v>1</v>
      </c>
      <c r="AV256">
        <v>1</v>
      </c>
      <c r="AW256">
        <v>1</v>
      </c>
      <c r="AX256">
        <v>1</v>
      </c>
      <c r="AY256">
        <v>1</v>
      </c>
      <c r="AZ256">
        <v>0</v>
      </c>
      <c r="BA256">
        <v>0</v>
      </c>
      <c r="BC256">
        <v>0</v>
      </c>
      <c r="BD256">
        <v>1</v>
      </c>
      <c r="BE256">
        <v>0</v>
      </c>
      <c r="BF256">
        <v>0</v>
      </c>
      <c r="BG256">
        <v>0</v>
      </c>
      <c r="BH256">
        <v>0</v>
      </c>
      <c r="BI256">
        <v>0</v>
      </c>
      <c r="BJ256">
        <v>0</v>
      </c>
      <c r="BK256">
        <v>0</v>
      </c>
      <c r="BL256">
        <v>0</v>
      </c>
      <c r="BM256">
        <v>0</v>
      </c>
      <c r="BN256">
        <v>0</v>
      </c>
      <c r="BO256">
        <v>0</v>
      </c>
      <c r="BP256">
        <v>0</v>
      </c>
      <c r="BQ256">
        <v>0</v>
      </c>
      <c r="BR256">
        <v>0</v>
      </c>
      <c r="BS256">
        <v>0</v>
      </c>
      <c r="BU256">
        <v>2</v>
      </c>
      <c r="BV256">
        <v>3</v>
      </c>
      <c r="BW256" t="s">
        <v>310</v>
      </c>
      <c r="BX256">
        <v>3</v>
      </c>
      <c r="BY256">
        <v>3</v>
      </c>
      <c r="DI256">
        <v>1</v>
      </c>
      <c r="DJ256">
        <v>1</v>
      </c>
      <c r="DK256">
        <v>0</v>
      </c>
      <c r="DL256">
        <v>1</v>
      </c>
      <c r="DM256">
        <v>0</v>
      </c>
      <c r="DN256">
        <v>1</v>
      </c>
      <c r="DO256">
        <v>0</v>
      </c>
      <c r="DP256">
        <v>1</v>
      </c>
      <c r="DQ256">
        <v>0</v>
      </c>
      <c r="DR256">
        <v>0</v>
      </c>
      <c r="DT256">
        <v>0</v>
      </c>
      <c r="DU256">
        <v>1</v>
      </c>
      <c r="DV256">
        <v>1</v>
      </c>
      <c r="DW256">
        <v>1</v>
      </c>
      <c r="DX256">
        <v>0</v>
      </c>
      <c r="DY256">
        <v>0</v>
      </c>
      <c r="DZ256">
        <v>0</v>
      </c>
      <c r="EA256">
        <v>0</v>
      </c>
      <c r="EB256">
        <v>0</v>
      </c>
      <c r="EC256">
        <v>0</v>
      </c>
      <c r="ED256">
        <v>0</v>
      </c>
      <c r="EE256">
        <v>0</v>
      </c>
      <c r="EF256">
        <v>0</v>
      </c>
      <c r="EI256" t="s">
        <v>274</v>
      </c>
      <c r="EJ256">
        <v>1</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t="s">
        <v>1221</v>
      </c>
      <c r="FG256">
        <v>0</v>
      </c>
      <c r="FH256">
        <v>0</v>
      </c>
      <c r="FI256">
        <v>0</v>
      </c>
      <c r="FJ256">
        <v>0</v>
      </c>
      <c r="FK256">
        <v>0</v>
      </c>
      <c r="FL256">
        <v>0</v>
      </c>
      <c r="FM256">
        <v>0</v>
      </c>
      <c r="FN256">
        <v>0</v>
      </c>
      <c r="FO256">
        <v>0</v>
      </c>
      <c r="FP256">
        <v>0</v>
      </c>
      <c r="FQ256">
        <v>0</v>
      </c>
      <c r="FR256">
        <v>0</v>
      </c>
      <c r="FS256">
        <v>0</v>
      </c>
      <c r="FT256">
        <v>0</v>
      </c>
      <c r="FU256">
        <v>0</v>
      </c>
      <c r="FV256">
        <v>0</v>
      </c>
      <c r="FW256">
        <v>0</v>
      </c>
      <c r="FX256">
        <v>1</v>
      </c>
      <c r="FY256">
        <v>0</v>
      </c>
      <c r="IG256">
        <v>1</v>
      </c>
      <c r="IH256">
        <v>0</v>
      </c>
      <c r="II256">
        <v>0</v>
      </c>
      <c r="IJ256">
        <v>0</v>
      </c>
      <c r="IK256">
        <v>0</v>
      </c>
      <c r="IL256">
        <v>0</v>
      </c>
      <c r="IM256">
        <v>0</v>
      </c>
      <c r="IN256">
        <v>0</v>
      </c>
      <c r="IO256">
        <v>0</v>
      </c>
      <c r="IP256">
        <v>0</v>
      </c>
      <c r="IQ256">
        <v>0</v>
      </c>
      <c r="IS256">
        <v>1</v>
      </c>
      <c r="IT256">
        <v>1</v>
      </c>
      <c r="IU256">
        <v>1</v>
      </c>
      <c r="IV256">
        <v>0</v>
      </c>
      <c r="IW256">
        <v>0</v>
      </c>
    </row>
    <row r="257" spans="1:258" x14ac:dyDescent="0.35">
      <c r="A257">
        <v>396936</v>
      </c>
      <c r="C257">
        <v>1</v>
      </c>
      <c r="D257" t="s">
        <v>1222</v>
      </c>
      <c r="E257" t="s">
        <v>1223</v>
      </c>
      <c r="F257" t="s">
        <v>1192</v>
      </c>
      <c r="G257">
        <v>10</v>
      </c>
      <c r="I257">
        <v>1</v>
      </c>
      <c r="J257">
        <v>0</v>
      </c>
      <c r="K257">
        <v>1</v>
      </c>
      <c r="L257">
        <v>0</v>
      </c>
      <c r="M257">
        <v>0</v>
      </c>
      <c r="N257">
        <v>0</v>
      </c>
      <c r="O257">
        <v>0</v>
      </c>
      <c r="P257">
        <v>1</v>
      </c>
      <c r="Q257">
        <v>0</v>
      </c>
      <c r="R257">
        <v>1</v>
      </c>
      <c r="T257">
        <v>0</v>
      </c>
      <c r="U257">
        <v>1</v>
      </c>
      <c r="V257">
        <v>0</v>
      </c>
      <c r="X257">
        <v>950</v>
      </c>
      <c r="AA257">
        <v>950</v>
      </c>
      <c r="AC257">
        <v>1</v>
      </c>
      <c r="AD257">
        <v>0</v>
      </c>
      <c r="AE257">
        <v>0</v>
      </c>
      <c r="AF257">
        <v>0</v>
      </c>
      <c r="AG257">
        <v>0</v>
      </c>
      <c r="AH257">
        <v>0</v>
      </c>
      <c r="AJ257">
        <v>1</v>
      </c>
      <c r="AL257">
        <v>1</v>
      </c>
      <c r="AN257">
        <v>1</v>
      </c>
      <c r="AO257">
        <v>2</v>
      </c>
      <c r="AP257">
        <v>5</v>
      </c>
      <c r="AQ257">
        <v>2</v>
      </c>
      <c r="AS257">
        <v>2</v>
      </c>
      <c r="AT257">
        <v>3</v>
      </c>
      <c r="AU257">
        <v>1</v>
      </c>
      <c r="AV257">
        <v>0</v>
      </c>
      <c r="AW257">
        <v>1</v>
      </c>
      <c r="AX257">
        <v>0</v>
      </c>
      <c r="AY257">
        <v>0</v>
      </c>
      <c r="AZ257">
        <v>1</v>
      </c>
      <c r="BA257">
        <v>0</v>
      </c>
      <c r="BC257">
        <v>0</v>
      </c>
      <c r="BD257">
        <v>0</v>
      </c>
      <c r="BE257">
        <v>0</v>
      </c>
      <c r="BF257">
        <v>0</v>
      </c>
      <c r="BG257">
        <v>0</v>
      </c>
      <c r="BH257">
        <v>0</v>
      </c>
      <c r="BI257">
        <v>0</v>
      </c>
      <c r="BJ257">
        <v>0</v>
      </c>
      <c r="BK257">
        <v>1</v>
      </c>
      <c r="BL257">
        <v>0</v>
      </c>
      <c r="BM257">
        <v>0</v>
      </c>
      <c r="BN257">
        <v>1</v>
      </c>
      <c r="BO257">
        <v>0</v>
      </c>
      <c r="BP257">
        <v>1</v>
      </c>
      <c r="BQ257">
        <v>0</v>
      </c>
      <c r="BR257">
        <v>0</v>
      </c>
      <c r="BS257">
        <v>0</v>
      </c>
      <c r="BU257">
        <v>11</v>
      </c>
      <c r="BV257">
        <v>4</v>
      </c>
      <c r="BX257">
        <v>6</v>
      </c>
      <c r="BY257">
        <v>6</v>
      </c>
      <c r="DI257">
        <v>0</v>
      </c>
      <c r="DJ257">
        <v>0</v>
      </c>
      <c r="DK257">
        <v>1</v>
      </c>
      <c r="DL257">
        <v>0</v>
      </c>
      <c r="DM257">
        <v>0</v>
      </c>
      <c r="DN257">
        <v>0</v>
      </c>
      <c r="DO257">
        <v>0</v>
      </c>
      <c r="DP257">
        <v>0</v>
      </c>
      <c r="DQ257">
        <v>0</v>
      </c>
      <c r="DR257">
        <v>0</v>
      </c>
      <c r="DT257">
        <v>0</v>
      </c>
      <c r="DU257">
        <v>0</v>
      </c>
      <c r="DV257">
        <v>0</v>
      </c>
      <c r="DW257">
        <v>1</v>
      </c>
      <c r="DX257">
        <v>0</v>
      </c>
      <c r="DY257">
        <v>0</v>
      </c>
      <c r="DZ257">
        <v>0</v>
      </c>
      <c r="EA257">
        <v>0</v>
      </c>
      <c r="EB257">
        <v>0</v>
      </c>
      <c r="EC257">
        <v>0</v>
      </c>
      <c r="ED257">
        <v>0</v>
      </c>
      <c r="EE257">
        <v>0</v>
      </c>
      <c r="EF257">
        <v>0</v>
      </c>
      <c r="IG257">
        <v>1</v>
      </c>
      <c r="IH257">
        <v>1</v>
      </c>
      <c r="II257">
        <v>1</v>
      </c>
      <c r="IJ257">
        <v>0</v>
      </c>
      <c r="IK257">
        <v>0</v>
      </c>
      <c r="IL257">
        <v>0</v>
      </c>
      <c r="IM257">
        <v>0</v>
      </c>
      <c r="IN257">
        <v>0</v>
      </c>
      <c r="IO257">
        <v>0</v>
      </c>
      <c r="IP257">
        <v>0</v>
      </c>
      <c r="IQ257">
        <v>0</v>
      </c>
      <c r="IS257">
        <v>2</v>
      </c>
    </row>
    <row r="258" spans="1:258" x14ac:dyDescent="0.35">
      <c r="A258">
        <v>385298</v>
      </c>
      <c r="C258">
        <v>1</v>
      </c>
      <c r="D258" t="s">
        <v>1224</v>
      </c>
      <c r="E258" t="s">
        <v>1225</v>
      </c>
      <c r="F258" t="s">
        <v>1226</v>
      </c>
      <c r="G258">
        <v>13</v>
      </c>
      <c r="I258">
        <v>0</v>
      </c>
      <c r="J258">
        <v>0</v>
      </c>
      <c r="K258">
        <v>1</v>
      </c>
      <c r="L258">
        <v>0</v>
      </c>
      <c r="M258">
        <v>0</v>
      </c>
      <c r="N258">
        <v>0</v>
      </c>
      <c r="O258">
        <v>0</v>
      </c>
      <c r="P258">
        <v>0</v>
      </c>
      <c r="Q258">
        <v>0</v>
      </c>
      <c r="R258">
        <v>1</v>
      </c>
      <c r="T258">
        <v>1</v>
      </c>
      <c r="U258">
        <v>1</v>
      </c>
      <c r="V258">
        <v>1</v>
      </c>
      <c r="W258">
        <v>3</v>
      </c>
      <c r="X258">
        <v>8</v>
      </c>
      <c r="Y258">
        <v>16</v>
      </c>
      <c r="Z258">
        <v>3</v>
      </c>
      <c r="AA258">
        <v>8</v>
      </c>
      <c r="AB258">
        <v>16</v>
      </c>
      <c r="AC258">
        <v>1</v>
      </c>
      <c r="AD258">
        <v>1</v>
      </c>
      <c r="AE258">
        <v>0</v>
      </c>
      <c r="AF258">
        <v>1</v>
      </c>
      <c r="AG258">
        <v>0</v>
      </c>
      <c r="AH258">
        <v>0</v>
      </c>
      <c r="AJ258">
        <v>1</v>
      </c>
      <c r="AL258">
        <v>1</v>
      </c>
      <c r="AN258">
        <v>1</v>
      </c>
      <c r="AO258">
        <v>1</v>
      </c>
      <c r="AP258">
        <v>2</v>
      </c>
      <c r="AQ258">
        <v>1</v>
      </c>
      <c r="AR258">
        <v>4</v>
      </c>
      <c r="AS258">
        <v>2</v>
      </c>
      <c r="AT258">
        <v>1</v>
      </c>
      <c r="AU258">
        <v>1</v>
      </c>
      <c r="AV258">
        <v>1</v>
      </c>
      <c r="AW258">
        <v>1</v>
      </c>
      <c r="AX258">
        <v>1</v>
      </c>
      <c r="AY258">
        <v>1</v>
      </c>
      <c r="AZ258">
        <v>1</v>
      </c>
      <c r="BA258">
        <v>0</v>
      </c>
      <c r="BC258">
        <v>1</v>
      </c>
      <c r="BD258">
        <v>0</v>
      </c>
      <c r="BE258">
        <v>1</v>
      </c>
      <c r="BF258">
        <v>1</v>
      </c>
      <c r="BG258">
        <v>1</v>
      </c>
      <c r="BH258">
        <v>0</v>
      </c>
      <c r="BI258">
        <v>0</v>
      </c>
      <c r="BJ258">
        <v>0</v>
      </c>
      <c r="BK258">
        <v>1</v>
      </c>
      <c r="BL258">
        <v>0</v>
      </c>
      <c r="BM258">
        <v>1</v>
      </c>
      <c r="BN258">
        <v>1</v>
      </c>
      <c r="BO258">
        <v>0</v>
      </c>
      <c r="BP258">
        <v>1</v>
      </c>
      <c r="BQ258">
        <v>0</v>
      </c>
      <c r="BR258">
        <v>0</v>
      </c>
      <c r="BS258">
        <v>0</v>
      </c>
      <c r="BU258">
        <v>9</v>
      </c>
      <c r="BV258">
        <v>3</v>
      </c>
      <c r="BW258" t="s">
        <v>1227</v>
      </c>
      <c r="BX258">
        <v>4</v>
      </c>
      <c r="BY258">
        <v>4</v>
      </c>
      <c r="DI258">
        <v>0</v>
      </c>
      <c r="DJ258">
        <v>0</v>
      </c>
      <c r="DK258">
        <v>1</v>
      </c>
      <c r="DL258">
        <v>1</v>
      </c>
      <c r="DM258">
        <v>0</v>
      </c>
      <c r="DN258">
        <v>1</v>
      </c>
      <c r="DO258">
        <v>1</v>
      </c>
      <c r="DP258">
        <v>0</v>
      </c>
      <c r="DQ258">
        <v>0</v>
      </c>
      <c r="DR258">
        <v>0</v>
      </c>
      <c r="DT258">
        <v>0</v>
      </c>
      <c r="DU258">
        <v>1</v>
      </c>
      <c r="DV258">
        <v>1</v>
      </c>
      <c r="DW258">
        <v>0</v>
      </c>
      <c r="DX258">
        <v>0</v>
      </c>
      <c r="DY258">
        <v>0</v>
      </c>
      <c r="DZ258">
        <v>0</v>
      </c>
      <c r="EA258">
        <v>1</v>
      </c>
      <c r="EB258">
        <v>1</v>
      </c>
      <c r="EC258">
        <v>1</v>
      </c>
      <c r="ED258">
        <v>1</v>
      </c>
      <c r="EE258">
        <v>0</v>
      </c>
      <c r="EF258">
        <v>0</v>
      </c>
      <c r="EI258" t="s">
        <v>1188</v>
      </c>
      <c r="EJ258">
        <v>1</v>
      </c>
      <c r="EK258">
        <v>1</v>
      </c>
      <c r="EL258">
        <v>0</v>
      </c>
      <c r="EM258">
        <v>0</v>
      </c>
      <c r="EN258">
        <v>0</v>
      </c>
      <c r="EO258">
        <v>0</v>
      </c>
      <c r="EP258">
        <v>0</v>
      </c>
      <c r="EQ258">
        <v>0</v>
      </c>
      <c r="ER258">
        <v>0</v>
      </c>
      <c r="ES258">
        <v>0</v>
      </c>
      <c r="ET258">
        <v>0</v>
      </c>
      <c r="EU258">
        <v>0</v>
      </c>
      <c r="EV258">
        <v>0</v>
      </c>
      <c r="EW258">
        <v>0</v>
      </c>
      <c r="EX258">
        <v>0</v>
      </c>
      <c r="EY258">
        <v>0</v>
      </c>
      <c r="EZ258">
        <v>0</v>
      </c>
      <c r="FA258">
        <v>0</v>
      </c>
      <c r="FB258">
        <v>0</v>
      </c>
      <c r="FC258">
        <v>0</v>
      </c>
      <c r="FD258">
        <v>0</v>
      </c>
      <c r="FE258">
        <v>0</v>
      </c>
      <c r="FF258" t="s">
        <v>1228</v>
      </c>
      <c r="FG258">
        <v>1</v>
      </c>
      <c r="FH258">
        <v>0</v>
      </c>
      <c r="FI258">
        <v>0</v>
      </c>
      <c r="FJ258">
        <v>0</v>
      </c>
      <c r="FK258">
        <v>0</v>
      </c>
      <c r="FL258">
        <v>0</v>
      </c>
      <c r="FM258">
        <v>0</v>
      </c>
      <c r="FN258">
        <v>0</v>
      </c>
      <c r="FO258">
        <v>0</v>
      </c>
      <c r="FP258">
        <v>0</v>
      </c>
      <c r="FQ258">
        <v>0</v>
      </c>
      <c r="FR258">
        <v>0</v>
      </c>
      <c r="FS258">
        <v>0</v>
      </c>
      <c r="FT258">
        <v>0</v>
      </c>
      <c r="FU258">
        <v>0</v>
      </c>
      <c r="FV258">
        <v>0</v>
      </c>
      <c r="FW258">
        <v>0</v>
      </c>
      <c r="FX258">
        <v>0</v>
      </c>
      <c r="FY258">
        <v>0</v>
      </c>
      <c r="GJ258" t="s">
        <v>1229</v>
      </c>
      <c r="GK258">
        <v>0</v>
      </c>
      <c r="GL258">
        <v>0</v>
      </c>
      <c r="GM258">
        <v>0</v>
      </c>
      <c r="GN258">
        <v>0</v>
      </c>
      <c r="GO258">
        <v>0</v>
      </c>
      <c r="GP258">
        <v>0</v>
      </c>
      <c r="GQ258">
        <v>0</v>
      </c>
      <c r="GR258">
        <v>0</v>
      </c>
      <c r="GS258">
        <v>0</v>
      </c>
      <c r="GT258">
        <v>0</v>
      </c>
      <c r="GU258">
        <v>0</v>
      </c>
      <c r="GV258">
        <v>0</v>
      </c>
      <c r="GW258">
        <v>0</v>
      </c>
      <c r="GX258">
        <v>0</v>
      </c>
      <c r="GY258">
        <v>0</v>
      </c>
      <c r="GZ258">
        <v>0</v>
      </c>
      <c r="HA258">
        <v>0</v>
      </c>
      <c r="HB258">
        <v>0</v>
      </c>
      <c r="HC258">
        <v>0</v>
      </c>
      <c r="HD258">
        <v>0</v>
      </c>
      <c r="HE258">
        <v>0</v>
      </c>
      <c r="HF258">
        <v>0</v>
      </c>
      <c r="HG258">
        <v>0</v>
      </c>
      <c r="HH258">
        <v>0</v>
      </c>
      <c r="HI258">
        <v>0</v>
      </c>
      <c r="HJ258">
        <v>0</v>
      </c>
      <c r="HK258">
        <v>0</v>
      </c>
      <c r="HL258">
        <v>0</v>
      </c>
      <c r="HM258">
        <v>0</v>
      </c>
      <c r="HN258">
        <v>0</v>
      </c>
      <c r="HO258">
        <v>0</v>
      </c>
      <c r="HP258">
        <v>0</v>
      </c>
      <c r="HQ258">
        <v>0</v>
      </c>
      <c r="HR258">
        <v>0</v>
      </c>
      <c r="HS258">
        <v>0</v>
      </c>
      <c r="HT258">
        <v>0</v>
      </c>
      <c r="HU258">
        <v>0</v>
      </c>
      <c r="HV258">
        <v>0</v>
      </c>
      <c r="HW258">
        <v>0</v>
      </c>
      <c r="HX258">
        <v>0</v>
      </c>
      <c r="HY258">
        <v>0</v>
      </c>
      <c r="HZ258">
        <v>0</v>
      </c>
      <c r="IA258">
        <v>0</v>
      </c>
      <c r="IB258">
        <v>0</v>
      </c>
      <c r="IC258">
        <v>1</v>
      </c>
      <c r="ID258">
        <v>0</v>
      </c>
      <c r="IG258">
        <v>1</v>
      </c>
      <c r="IH258">
        <v>0</v>
      </c>
      <c r="II258">
        <v>1</v>
      </c>
      <c r="IJ258">
        <v>0</v>
      </c>
      <c r="IK258">
        <v>0</v>
      </c>
      <c r="IL258">
        <v>0</v>
      </c>
      <c r="IM258">
        <v>1</v>
      </c>
      <c r="IN258">
        <v>0</v>
      </c>
      <c r="IO258">
        <v>0</v>
      </c>
      <c r="IP258">
        <v>0</v>
      </c>
      <c r="IQ258">
        <v>0</v>
      </c>
      <c r="IS258">
        <v>1</v>
      </c>
      <c r="IT258">
        <v>1</v>
      </c>
      <c r="IU258">
        <v>1</v>
      </c>
      <c r="IV258">
        <v>1</v>
      </c>
      <c r="IW258">
        <v>1</v>
      </c>
      <c r="IX258" t="s">
        <v>1230</v>
      </c>
    </row>
    <row r="259" spans="1:258" x14ac:dyDescent="0.35">
      <c r="A259">
        <v>345987</v>
      </c>
      <c r="C259">
        <v>1</v>
      </c>
      <c r="D259" t="s">
        <v>1231</v>
      </c>
      <c r="E259" t="s">
        <v>1232</v>
      </c>
      <c r="F259" t="s">
        <v>1233</v>
      </c>
      <c r="G259">
        <v>3</v>
      </c>
      <c r="I259">
        <v>0</v>
      </c>
      <c r="J259">
        <v>0</v>
      </c>
      <c r="K259">
        <v>1</v>
      </c>
      <c r="L259">
        <v>1</v>
      </c>
      <c r="M259">
        <v>1</v>
      </c>
      <c r="N259">
        <v>1</v>
      </c>
      <c r="O259">
        <v>0</v>
      </c>
      <c r="P259">
        <v>0</v>
      </c>
      <c r="Q259">
        <v>0</v>
      </c>
      <c r="R259">
        <v>1</v>
      </c>
      <c r="T259">
        <v>1</v>
      </c>
      <c r="U259">
        <v>1</v>
      </c>
      <c r="V259">
        <v>1</v>
      </c>
      <c r="W259">
        <v>1</v>
      </c>
      <c r="X259">
        <v>18</v>
      </c>
      <c r="Y259">
        <v>90</v>
      </c>
      <c r="Z259">
        <v>1</v>
      </c>
      <c r="AA259">
        <v>18</v>
      </c>
      <c r="AB259">
        <v>90</v>
      </c>
      <c r="AC259">
        <v>1</v>
      </c>
      <c r="AD259">
        <v>1</v>
      </c>
      <c r="AE259">
        <v>0</v>
      </c>
      <c r="AF259">
        <v>0</v>
      </c>
      <c r="AG259">
        <v>0</v>
      </c>
      <c r="AH259">
        <v>0</v>
      </c>
      <c r="AJ259">
        <v>1</v>
      </c>
      <c r="AL259">
        <v>1</v>
      </c>
      <c r="AN259">
        <v>1</v>
      </c>
      <c r="AO259">
        <v>1</v>
      </c>
      <c r="AP259">
        <v>1</v>
      </c>
      <c r="AQ259">
        <v>2</v>
      </c>
      <c r="AS259">
        <v>1</v>
      </c>
      <c r="AT259">
        <v>1</v>
      </c>
      <c r="AU259">
        <v>2</v>
      </c>
      <c r="BC259">
        <v>0</v>
      </c>
      <c r="BD259">
        <v>0</v>
      </c>
      <c r="BE259">
        <v>0</v>
      </c>
      <c r="BF259">
        <v>0</v>
      </c>
      <c r="BG259">
        <v>0</v>
      </c>
      <c r="BH259">
        <v>0</v>
      </c>
      <c r="BI259">
        <v>0</v>
      </c>
      <c r="BJ259">
        <v>0</v>
      </c>
      <c r="BK259">
        <v>1</v>
      </c>
      <c r="BL259">
        <v>0</v>
      </c>
      <c r="BM259">
        <v>1</v>
      </c>
      <c r="BN259">
        <v>1</v>
      </c>
      <c r="BO259">
        <v>0</v>
      </c>
      <c r="BP259">
        <v>0</v>
      </c>
      <c r="BQ259">
        <v>0</v>
      </c>
      <c r="BR259">
        <v>0</v>
      </c>
      <c r="BS259">
        <v>0</v>
      </c>
      <c r="BU259">
        <v>9</v>
      </c>
      <c r="BV259">
        <v>3</v>
      </c>
      <c r="BW259" t="s">
        <v>1234</v>
      </c>
      <c r="BX259">
        <v>4</v>
      </c>
      <c r="BY259">
        <v>3</v>
      </c>
      <c r="DI259">
        <v>0</v>
      </c>
      <c r="DJ259">
        <v>1</v>
      </c>
      <c r="DK259">
        <v>1</v>
      </c>
      <c r="DL259">
        <v>0</v>
      </c>
      <c r="DM259">
        <v>0</v>
      </c>
      <c r="DN259">
        <v>1</v>
      </c>
      <c r="DO259">
        <v>0</v>
      </c>
      <c r="DP259">
        <v>0</v>
      </c>
      <c r="DQ259">
        <v>0</v>
      </c>
      <c r="DR259">
        <v>0</v>
      </c>
      <c r="DT259">
        <v>0</v>
      </c>
      <c r="DU259">
        <v>1</v>
      </c>
      <c r="DV259">
        <v>0</v>
      </c>
      <c r="DW259">
        <v>0</v>
      </c>
      <c r="DX259">
        <v>0</v>
      </c>
      <c r="DY259">
        <v>0</v>
      </c>
      <c r="DZ259">
        <v>0</v>
      </c>
      <c r="EA259">
        <v>0</v>
      </c>
      <c r="EB259">
        <v>0</v>
      </c>
      <c r="EC259">
        <v>0</v>
      </c>
      <c r="ED259">
        <v>1</v>
      </c>
      <c r="EE259">
        <v>0</v>
      </c>
      <c r="EF259">
        <v>0</v>
      </c>
      <c r="EI259" t="s">
        <v>1235</v>
      </c>
      <c r="EJ259">
        <v>1</v>
      </c>
      <c r="EK259">
        <v>1</v>
      </c>
      <c r="EL259">
        <v>0</v>
      </c>
      <c r="EM259">
        <v>0</v>
      </c>
      <c r="EN259">
        <v>0</v>
      </c>
      <c r="EO259">
        <v>0</v>
      </c>
      <c r="EP259">
        <v>0</v>
      </c>
      <c r="EQ259">
        <v>0</v>
      </c>
      <c r="ER259">
        <v>0</v>
      </c>
      <c r="ES259">
        <v>0</v>
      </c>
      <c r="ET259">
        <v>0</v>
      </c>
      <c r="EU259">
        <v>0</v>
      </c>
      <c r="EV259">
        <v>0</v>
      </c>
      <c r="EW259">
        <v>0</v>
      </c>
      <c r="EX259">
        <v>0</v>
      </c>
      <c r="EY259">
        <v>0</v>
      </c>
      <c r="EZ259">
        <v>0</v>
      </c>
      <c r="FA259">
        <v>0</v>
      </c>
      <c r="FB259">
        <v>0</v>
      </c>
      <c r="FC259">
        <v>0</v>
      </c>
      <c r="FD259">
        <v>0</v>
      </c>
      <c r="FE259">
        <v>0</v>
      </c>
      <c r="IG259">
        <v>1</v>
      </c>
      <c r="IH259">
        <v>0</v>
      </c>
      <c r="II259">
        <v>1</v>
      </c>
      <c r="IJ259">
        <v>0</v>
      </c>
      <c r="IK259">
        <v>0</v>
      </c>
      <c r="IL259">
        <v>0</v>
      </c>
      <c r="IM259">
        <v>0</v>
      </c>
      <c r="IN259">
        <v>0</v>
      </c>
      <c r="IO259">
        <v>0</v>
      </c>
      <c r="IP259">
        <v>0</v>
      </c>
      <c r="IQ259">
        <v>0</v>
      </c>
      <c r="IS259">
        <v>1</v>
      </c>
      <c r="IT259">
        <v>1</v>
      </c>
      <c r="IU259">
        <v>1</v>
      </c>
      <c r="IV259">
        <v>0</v>
      </c>
      <c r="IW259">
        <v>0</v>
      </c>
    </row>
    <row r="260" spans="1:258" x14ac:dyDescent="0.35">
      <c r="A260">
        <v>405354</v>
      </c>
      <c r="C260">
        <v>1</v>
      </c>
      <c r="D260" t="s">
        <v>1236</v>
      </c>
      <c r="E260" t="s">
        <v>1237</v>
      </c>
      <c r="F260" t="s">
        <v>1233</v>
      </c>
      <c r="G260">
        <v>10</v>
      </c>
      <c r="I260">
        <v>0</v>
      </c>
      <c r="J260">
        <v>0</v>
      </c>
      <c r="K260">
        <v>0</v>
      </c>
      <c r="L260">
        <v>1</v>
      </c>
      <c r="M260">
        <v>0</v>
      </c>
      <c r="N260">
        <v>0</v>
      </c>
      <c r="O260">
        <v>0</v>
      </c>
      <c r="P260">
        <v>1</v>
      </c>
      <c r="Q260">
        <v>0</v>
      </c>
      <c r="R260">
        <v>1</v>
      </c>
      <c r="T260">
        <v>1</v>
      </c>
      <c r="U260">
        <v>1</v>
      </c>
      <c r="V260">
        <v>1</v>
      </c>
      <c r="W260">
        <v>20</v>
      </c>
      <c r="X260">
        <v>111</v>
      </c>
      <c r="Y260">
        <v>0</v>
      </c>
      <c r="Z260">
        <v>20</v>
      </c>
      <c r="AA260">
        <v>111</v>
      </c>
      <c r="AC260">
        <v>1</v>
      </c>
      <c r="AD260">
        <v>0</v>
      </c>
      <c r="AE260">
        <v>0</v>
      </c>
      <c r="AF260">
        <v>0</v>
      </c>
      <c r="AG260">
        <v>0</v>
      </c>
      <c r="AH260">
        <v>0</v>
      </c>
      <c r="AJ260">
        <v>5</v>
      </c>
      <c r="AL260">
        <v>1</v>
      </c>
      <c r="AN260">
        <v>1</v>
      </c>
      <c r="AO260">
        <v>2</v>
      </c>
      <c r="AP260">
        <v>5</v>
      </c>
      <c r="AQ260">
        <v>2</v>
      </c>
      <c r="AS260">
        <v>2</v>
      </c>
      <c r="AT260">
        <v>2</v>
      </c>
      <c r="AU260">
        <v>1</v>
      </c>
      <c r="AV260">
        <v>0</v>
      </c>
      <c r="AW260">
        <v>0</v>
      </c>
      <c r="AX260">
        <v>1</v>
      </c>
      <c r="AY260">
        <v>1</v>
      </c>
      <c r="AZ260">
        <v>0</v>
      </c>
      <c r="BA260">
        <v>0</v>
      </c>
      <c r="BC260">
        <v>0</v>
      </c>
      <c r="BD260">
        <v>0</v>
      </c>
      <c r="BE260">
        <v>0</v>
      </c>
      <c r="BF260">
        <v>0</v>
      </c>
      <c r="BG260">
        <v>0</v>
      </c>
      <c r="BH260">
        <v>1</v>
      </c>
      <c r="BI260">
        <v>0</v>
      </c>
      <c r="BJ260">
        <v>1</v>
      </c>
      <c r="BK260">
        <v>0</v>
      </c>
      <c r="BL260">
        <v>0</v>
      </c>
      <c r="BM260">
        <v>0</v>
      </c>
      <c r="BN260">
        <v>0</v>
      </c>
      <c r="BO260">
        <v>0</v>
      </c>
      <c r="BP260">
        <v>0</v>
      </c>
      <c r="BQ260">
        <v>0</v>
      </c>
      <c r="BR260">
        <v>0</v>
      </c>
      <c r="BS260">
        <v>0</v>
      </c>
      <c r="BU260">
        <v>6</v>
      </c>
      <c r="BV260">
        <v>3</v>
      </c>
      <c r="BW260" t="s">
        <v>1238</v>
      </c>
      <c r="BX260">
        <v>3</v>
      </c>
      <c r="BY260">
        <v>4</v>
      </c>
      <c r="DI260">
        <v>0</v>
      </c>
      <c r="DJ260">
        <v>1</v>
      </c>
      <c r="DK260">
        <v>1</v>
      </c>
      <c r="DL260">
        <v>0</v>
      </c>
      <c r="DM260">
        <v>0</v>
      </c>
      <c r="DN260">
        <v>1</v>
      </c>
      <c r="DO260">
        <v>0</v>
      </c>
      <c r="DP260">
        <v>0</v>
      </c>
      <c r="DQ260">
        <v>0</v>
      </c>
      <c r="DR260">
        <v>0</v>
      </c>
      <c r="DT260">
        <v>1</v>
      </c>
      <c r="DU260">
        <v>0</v>
      </c>
      <c r="DV260">
        <v>0</v>
      </c>
      <c r="DW260">
        <v>0</v>
      </c>
      <c r="DX260">
        <v>0</v>
      </c>
      <c r="DY260">
        <v>0</v>
      </c>
      <c r="DZ260">
        <v>0</v>
      </c>
      <c r="EA260">
        <v>0</v>
      </c>
      <c r="EB260">
        <v>0</v>
      </c>
      <c r="EC260">
        <v>0</v>
      </c>
      <c r="ED260">
        <v>0</v>
      </c>
      <c r="EE260">
        <v>0</v>
      </c>
      <c r="EF260">
        <v>0</v>
      </c>
      <c r="EG260" t="s">
        <v>1239</v>
      </c>
      <c r="EH260">
        <v>9</v>
      </c>
      <c r="IG260">
        <v>0</v>
      </c>
      <c r="IH260">
        <v>1</v>
      </c>
      <c r="II260">
        <v>1</v>
      </c>
      <c r="IJ260">
        <v>0</v>
      </c>
      <c r="IK260">
        <v>0</v>
      </c>
      <c r="IL260">
        <v>0</v>
      </c>
      <c r="IM260">
        <v>0</v>
      </c>
      <c r="IN260">
        <v>0</v>
      </c>
      <c r="IO260">
        <v>0</v>
      </c>
      <c r="IP260">
        <v>0</v>
      </c>
      <c r="IQ260">
        <v>0</v>
      </c>
      <c r="IS260">
        <v>2</v>
      </c>
    </row>
    <row r="261" spans="1:258" x14ac:dyDescent="0.35">
      <c r="A261">
        <v>405226</v>
      </c>
      <c r="C261">
        <v>1</v>
      </c>
      <c r="D261" t="s">
        <v>1240</v>
      </c>
      <c r="E261" t="s">
        <v>1241</v>
      </c>
      <c r="F261" t="s">
        <v>1233</v>
      </c>
      <c r="G261">
        <v>3</v>
      </c>
      <c r="I261">
        <v>0</v>
      </c>
      <c r="J261">
        <v>0</v>
      </c>
      <c r="K261">
        <v>1</v>
      </c>
      <c r="L261">
        <v>0</v>
      </c>
      <c r="M261">
        <v>0</v>
      </c>
      <c r="N261">
        <v>1</v>
      </c>
      <c r="O261">
        <v>0</v>
      </c>
      <c r="P261">
        <v>0</v>
      </c>
      <c r="Q261">
        <v>0</v>
      </c>
      <c r="R261">
        <v>1</v>
      </c>
      <c r="T261">
        <v>1</v>
      </c>
      <c r="U261">
        <v>0</v>
      </c>
      <c r="V261">
        <v>1</v>
      </c>
      <c r="W261">
        <v>15</v>
      </c>
      <c r="Y261">
        <v>26</v>
      </c>
      <c r="Z261">
        <v>15</v>
      </c>
      <c r="AB261">
        <v>26</v>
      </c>
      <c r="AC261">
        <v>1</v>
      </c>
      <c r="AD261">
        <v>1</v>
      </c>
      <c r="AE261">
        <v>0</v>
      </c>
      <c r="AF261">
        <v>0</v>
      </c>
      <c r="AG261">
        <v>1</v>
      </c>
      <c r="AH261">
        <v>0</v>
      </c>
      <c r="AJ261">
        <v>5</v>
      </c>
      <c r="AL261">
        <v>1</v>
      </c>
      <c r="AN261">
        <v>1</v>
      </c>
      <c r="AO261">
        <v>1</v>
      </c>
      <c r="AP261">
        <v>1</v>
      </c>
      <c r="AQ261">
        <v>1</v>
      </c>
      <c r="AR261">
        <v>2</v>
      </c>
      <c r="AS261">
        <v>2</v>
      </c>
      <c r="AT261">
        <v>1</v>
      </c>
      <c r="BX261">
        <v>2</v>
      </c>
      <c r="BY261">
        <v>4</v>
      </c>
      <c r="BZ261">
        <v>0</v>
      </c>
      <c r="CA261">
        <v>0</v>
      </c>
      <c r="CB261">
        <v>0</v>
      </c>
      <c r="CC261">
        <v>0</v>
      </c>
      <c r="CD261">
        <v>0</v>
      </c>
      <c r="CE261">
        <v>0</v>
      </c>
      <c r="CF261">
        <v>0</v>
      </c>
      <c r="CG261">
        <v>0</v>
      </c>
      <c r="CH261">
        <v>1</v>
      </c>
      <c r="CI261">
        <v>0</v>
      </c>
      <c r="CJ261">
        <v>0</v>
      </c>
      <c r="CK261">
        <v>0</v>
      </c>
      <c r="CL261">
        <v>0</v>
      </c>
      <c r="CM261">
        <v>0</v>
      </c>
      <c r="CN261">
        <v>0</v>
      </c>
      <c r="CO261">
        <v>1</v>
      </c>
      <c r="CS261">
        <v>1</v>
      </c>
      <c r="CU261">
        <v>1</v>
      </c>
      <c r="CW261">
        <v>2</v>
      </c>
      <c r="CZ261">
        <v>2</v>
      </c>
      <c r="DD261" t="s">
        <v>1242</v>
      </c>
      <c r="DE261">
        <v>3</v>
      </c>
      <c r="DF261" t="s">
        <v>1243</v>
      </c>
      <c r="DG261">
        <v>4</v>
      </c>
      <c r="DI261">
        <v>1</v>
      </c>
      <c r="DJ261">
        <v>1</v>
      </c>
      <c r="DK261">
        <v>0</v>
      </c>
      <c r="DL261">
        <v>0</v>
      </c>
      <c r="DM261">
        <v>1</v>
      </c>
      <c r="DN261">
        <v>0</v>
      </c>
      <c r="DO261">
        <v>0</v>
      </c>
      <c r="DP261">
        <v>0</v>
      </c>
      <c r="DQ261">
        <v>0</v>
      </c>
      <c r="DR261">
        <v>0</v>
      </c>
      <c r="DT261">
        <v>0</v>
      </c>
      <c r="DU261">
        <v>1</v>
      </c>
      <c r="DV261">
        <v>0</v>
      </c>
      <c r="DW261">
        <v>0</v>
      </c>
      <c r="DX261">
        <v>1</v>
      </c>
      <c r="DY261">
        <v>0</v>
      </c>
      <c r="DZ261">
        <v>0</v>
      </c>
      <c r="EA261">
        <v>0</v>
      </c>
      <c r="EB261">
        <v>0</v>
      </c>
      <c r="EC261">
        <v>0</v>
      </c>
      <c r="ED261">
        <v>1</v>
      </c>
      <c r="EE261">
        <v>0</v>
      </c>
      <c r="EF261">
        <v>0</v>
      </c>
      <c r="EI261" t="s">
        <v>274</v>
      </c>
      <c r="EJ261">
        <v>1</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0</v>
      </c>
      <c r="FE261">
        <v>0</v>
      </c>
      <c r="IG261">
        <v>0</v>
      </c>
      <c r="IH261">
        <v>0</v>
      </c>
      <c r="II261">
        <v>0</v>
      </c>
      <c r="IJ261">
        <v>0</v>
      </c>
      <c r="IK261">
        <v>0</v>
      </c>
      <c r="IL261">
        <v>0</v>
      </c>
      <c r="IM261">
        <v>0</v>
      </c>
      <c r="IN261">
        <v>0</v>
      </c>
      <c r="IO261">
        <v>0</v>
      </c>
      <c r="IP261">
        <v>0</v>
      </c>
      <c r="IQ261">
        <v>1</v>
      </c>
      <c r="IS261">
        <v>2</v>
      </c>
    </row>
    <row r="262" spans="1:258" x14ac:dyDescent="0.35">
      <c r="A262">
        <v>405323</v>
      </c>
      <c r="C262">
        <v>1</v>
      </c>
      <c r="D262" t="s">
        <v>1244</v>
      </c>
      <c r="E262" t="s">
        <v>1245</v>
      </c>
      <c r="F262" t="s">
        <v>1233</v>
      </c>
      <c r="G262">
        <v>3</v>
      </c>
      <c r="I262">
        <v>1</v>
      </c>
      <c r="J262">
        <v>0</v>
      </c>
      <c r="K262">
        <v>1</v>
      </c>
      <c r="L262">
        <v>0</v>
      </c>
      <c r="M262">
        <v>0</v>
      </c>
      <c r="N262">
        <v>1</v>
      </c>
      <c r="O262">
        <v>0</v>
      </c>
      <c r="P262">
        <v>0</v>
      </c>
      <c r="Q262">
        <v>0</v>
      </c>
      <c r="R262">
        <v>1</v>
      </c>
      <c r="T262">
        <v>1</v>
      </c>
      <c r="U262">
        <v>1</v>
      </c>
      <c r="V262">
        <v>1</v>
      </c>
      <c r="W262">
        <v>1</v>
      </c>
      <c r="X262">
        <v>28</v>
      </c>
      <c r="Y262">
        <v>15</v>
      </c>
      <c r="Z262">
        <v>1</v>
      </c>
      <c r="AA262">
        <v>28</v>
      </c>
      <c r="AB262">
        <v>15</v>
      </c>
      <c r="AC262">
        <v>1</v>
      </c>
      <c r="AD262">
        <v>0</v>
      </c>
      <c r="AE262">
        <v>0</v>
      </c>
      <c r="AF262">
        <v>0</v>
      </c>
      <c r="AG262">
        <v>1</v>
      </c>
      <c r="AH262">
        <v>0</v>
      </c>
      <c r="AJ262">
        <v>5</v>
      </c>
      <c r="AL262">
        <v>1</v>
      </c>
      <c r="AN262">
        <v>1</v>
      </c>
      <c r="AO262">
        <v>1</v>
      </c>
      <c r="AP262">
        <v>2</v>
      </c>
      <c r="AQ262">
        <v>1</v>
      </c>
      <c r="AR262">
        <v>1</v>
      </c>
      <c r="AS262">
        <v>2</v>
      </c>
      <c r="AT262">
        <v>1</v>
      </c>
      <c r="BX262">
        <v>5</v>
      </c>
      <c r="BY262">
        <v>4</v>
      </c>
      <c r="BZ262">
        <v>0</v>
      </c>
      <c r="CA262">
        <v>1</v>
      </c>
      <c r="CB262">
        <v>0</v>
      </c>
      <c r="CC262">
        <v>0</v>
      </c>
      <c r="CD262">
        <v>0</v>
      </c>
      <c r="CE262">
        <v>1</v>
      </c>
      <c r="CF262">
        <v>1</v>
      </c>
      <c r="CG262">
        <v>0</v>
      </c>
      <c r="CH262">
        <v>0</v>
      </c>
      <c r="CI262">
        <v>0</v>
      </c>
      <c r="CJ262">
        <v>0</v>
      </c>
      <c r="CK262">
        <v>0</v>
      </c>
      <c r="CL262">
        <v>1</v>
      </c>
      <c r="CM262">
        <v>0</v>
      </c>
      <c r="CN262">
        <v>0</v>
      </c>
      <c r="CO262">
        <v>0</v>
      </c>
      <c r="CQ262" t="s">
        <v>1246</v>
      </c>
      <c r="CR262">
        <v>1</v>
      </c>
      <c r="CS262">
        <v>1</v>
      </c>
      <c r="CU262">
        <v>1</v>
      </c>
      <c r="CW262">
        <v>2</v>
      </c>
      <c r="CZ262">
        <v>1</v>
      </c>
      <c r="DB262">
        <v>12</v>
      </c>
      <c r="DC262" t="s">
        <v>1247</v>
      </c>
      <c r="DD262" t="s">
        <v>1248</v>
      </c>
      <c r="DE262">
        <v>1</v>
      </c>
      <c r="DF262" t="s">
        <v>1249</v>
      </c>
      <c r="DG262">
        <v>1</v>
      </c>
      <c r="DH262" t="s">
        <v>1250</v>
      </c>
      <c r="DI262">
        <v>1</v>
      </c>
      <c r="DJ262">
        <v>0</v>
      </c>
      <c r="DK262">
        <v>0</v>
      </c>
      <c r="DL262">
        <v>0</v>
      </c>
      <c r="DM262">
        <v>1</v>
      </c>
      <c r="DN262">
        <v>1</v>
      </c>
      <c r="DO262">
        <v>0</v>
      </c>
      <c r="DP262">
        <v>0</v>
      </c>
      <c r="DQ262">
        <v>0</v>
      </c>
      <c r="DR262">
        <v>0</v>
      </c>
      <c r="DT262">
        <v>0</v>
      </c>
      <c r="DU262">
        <v>0</v>
      </c>
      <c r="DV262">
        <v>0</v>
      </c>
      <c r="DW262">
        <v>0</v>
      </c>
      <c r="DX262">
        <v>0</v>
      </c>
      <c r="DY262">
        <v>0</v>
      </c>
      <c r="DZ262">
        <v>0</v>
      </c>
      <c r="EA262">
        <v>0</v>
      </c>
      <c r="EB262">
        <v>0</v>
      </c>
      <c r="EC262">
        <v>0</v>
      </c>
      <c r="ED262">
        <v>0</v>
      </c>
      <c r="EE262">
        <v>0</v>
      </c>
      <c r="EF262">
        <v>1</v>
      </c>
      <c r="IG262">
        <v>1</v>
      </c>
      <c r="IH262">
        <v>0</v>
      </c>
      <c r="II262">
        <v>1</v>
      </c>
      <c r="IJ262">
        <v>0</v>
      </c>
      <c r="IK262">
        <v>0</v>
      </c>
      <c r="IL262">
        <v>0</v>
      </c>
      <c r="IM262">
        <v>0</v>
      </c>
      <c r="IN262">
        <v>0</v>
      </c>
      <c r="IO262">
        <v>0</v>
      </c>
      <c r="IP262">
        <v>0</v>
      </c>
      <c r="IQ262">
        <v>0</v>
      </c>
      <c r="IS262">
        <v>1</v>
      </c>
      <c r="IT262">
        <v>1</v>
      </c>
      <c r="IU262">
        <v>1</v>
      </c>
      <c r="IV262">
        <v>1</v>
      </c>
      <c r="IW262">
        <v>0</v>
      </c>
    </row>
    <row r="263" spans="1:258" x14ac:dyDescent="0.35">
      <c r="A263">
        <v>393619</v>
      </c>
      <c r="C263">
        <v>1</v>
      </c>
      <c r="D263" t="s">
        <v>1251</v>
      </c>
      <c r="E263" t="s">
        <v>1252</v>
      </c>
      <c r="F263" t="s">
        <v>427</v>
      </c>
      <c r="G263">
        <v>3</v>
      </c>
      <c r="I263">
        <v>1</v>
      </c>
      <c r="J263">
        <v>0</v>
      </c>
      <c r="K263">
        <v>1</v>
      </c>
      <c r="L263">
        <v>0</v>
      </c>
      <c r="M263">
        <v>0</v>
      </c>
      <c r="N263">
        <v>1</v>
      </c>
      <c r="O263">
        <v>0</v>
      </c>
      <c r="P263">
        <v>1</v>
      </c>
      <c r="Q263">
        <v>0</v>
      </c>
      <c r="R263">
        <v>1</v>
      </c>
      <c r="T263">
        <v>0</v>
      </c>
      <c r="U263">
        <v>1</v>
      </c>
      <c r="V263">
        <v>1</v>
      </c>
      <c r="X263">
        <v>4</v>
      </c>
      <c r="Y263">
        <v>13</v>
      </c>
      <c r="AA263">
        <v>4</v>
      </c>
      <c r="AB263">
        <v>13</v>
      </c>
      <c r="AC263">
        <v>1</v>
      </c>
      <c r="AD263">
        <v>0</v>
      </c>
      <c r="AE263">
        <v>0</v>
      </c>
      <c r="AF263">
        <v>0</v>
      </c>
      <c r="AG263">
        <v>0</v>
      </c>
      <c r="AH263">
        <v>0</v>
      </c>
      <c r="AJ263">
        <v>1</v>
      </c>
      <c r="AL263">
        <v>1</v>
      </c>
      <c r="AN263">
        <v>1</v>
      </c>
      <c r="AO263">
        <v>1</v>
      </c>
      <c r="AP263">
        <v>4</v>
      </c>
      <c r="AQ263">
        <v>1</v>
      </c>
      <c r="AR263">
        <v>4</v>
      </c>
      <c r="AS263">
        <v>1</v>
      </c>
      <c r="AT263">
        <v>1</v>
      </c>
      <c r="AU263">
        <v>1</v>
      </c>
      <c r="AV263">
        <v>1</v>
      </c>
      <c r="AW263">
        <v>0</v>
      </c>
      <c r="AX263">
        <v>0</v>
      </c>
      <c r="AY263">
        <v>0</v>
      </c>
      <c r="AZ263">
        <v>0</v>
      </c>
      <c r="BA263">
        <v>0</v>
      </c>
      <c r="BC263">
        <v>0</v>
      </c>
      <c r="BD263">
        <v>0</v>
      </c>
      <c r="BE263">
        <v>0</v>
      </c>
      <c r="BF263">
        <v>0</v>
      </c>
      <c r="BG263">
        <v>0</v>
      </c>
      <c r="BH263">
        <v>0</v>
      </c>
      <c r="BI263">
        <v>0</v>
      </c>
      <c r="BJ263">
        <v>0</v>
      </c>
      <c r="BK263">
        <v>0</v>
      </c>
      <c r="BL263">
        <v>0</v>
      </c>
      <c r="BM263">
        <v>0</v>
      </c>
      <c r="BN263">
        <v>0</v>
      </c>
      <c r="BO263">
        <v>0</v>
      </c>
      <c r="BP263">
        <v>0</v>
      </c>
      <c r="BQ263">
        <v>1</v>
      </c>
      <c r="BR263">
        <v>0</v>
      </c>
      <c r="BS263">
        <v>0</v>
      </c>
      <c r="BU263">
        <v>15</v>
      </c>
      <c r="BV263">
        <v>4</v>
      </c>
      <c r="BX263">
        <v>5</v>
      </c>
      <c r="BY263">
        <v>5</v>
      </c>
      <c r="DI263">
        <v>0</v>
      </c>
      <c r="DJ263">
        <v>1</v>
      </c>
      <c r="DK263">
        <v>0</v>
      </c>
      <c r="DL263">
        <v>0</v>
      </c>
      <c r="DM263">
        <v>0</v>
      </c>
      <c r="DN263">
        <v>1</v>
      </c>
      <c r="DO263">
        <v>0</v>
      </c>
      <c r="DP263">
        <v>0</v>
      </c>
      <c r="DQ263">
        <v>0</v>
      </c>
      <c r="DR263">
        <v>0</v>
      </c>
      <c r="DT263">
        <v>0</v>
      </c>
      <c r="DU263">
        <v>1</v>
      </c>
      <c r="DV263">
        <v>0</v>
      </c>
      <c r="DW263">
        <v>0</v>
      </c>
      <c r="DX263">
        <v>1</v>
      </c>
      <c r="DY263">
        <v>0</v>
      </c>
      <c r="DZ263">
        <v>0</v>
      </c>
      <c r="EA263">
        <v>0</v>
      </c>
      <c r="EB263">
        <v>0</v>
      </c>
      <c r="EC263">
        <v>1</v>
      </c>
      <c r="ED263">
        <v>1</v>
      </c>
      <c r="EE263">
        <v>0</v>
      </c>
      <c r="EF263">
        <v>0</v>
      </c>
      <c r="EI263" t="s">
        <v>274</v>
      </c>
      <c r="EJ263">
        <v>1</v>
      </c>
      <c r="EK263">
        <v>0</v>
      </c>
      <c r="EL263">
        <v>0</v>
      </c>
      <c r="EM263">
        <v>0</v>
      </c>
      <c r="EN263">
        <v>0</v>
      </c>
      <c r="EO263">
        <v>0</v>
      </c>
      <c r="EP263">
        <v>0</v>
      </c>
      <c r="EQ263">
        <v>0</v>
      </c>
      <c r="ER263">
        <v>0</v>
      </c>
      <c r="ES263">
        <v>0</v>
      </c>
      <c r="ET263">
        <v>0</v>
      </c>
      <c r="EU263">
        <v>0</v>
      </c>
      <c r="EV263">
        <v>0</v>
      </c>
      <c r="EW263">
        <v>0</v>
      </c>
      <c r="EX263">
        <v>0</v>
      </c>
      <c r="EY263">
        <v>0</v>
      </c>
      <c r="EZ263">
        <v>0</v>
      </c>
      <c r="FA263">
        <v>0</v>
      </c>
      <c r="FB263">
        <v>0</v>
      </c>
      <c r="FC263">
        <v>0</v>
      </c>
      <c r="FD263">
        <v>0</v>
      </c>
      <c r="FE263">
        <v>0</v>
      </c>
      <c r="GJ263" t="s">
        <v>1253</v>
      </c>
      <c r="GK263">
        <v>0</v>
      </c>
      <c r="GL263">
        <v>0</v>
      </c>
      <c r="GM263">
        <v>0</v>
      </c>
      <c r="GN263">
        <v>0</v>
      </c>
      <c r="GO263">
        <v>0</v>
      </c>
      <c r="GP263">
        <v>0</v>
      </c>
      <c r="GQ263">
        <v>0</v>
      </c>
      <c r="GR263">
        <v>0</v>
      </c>
      <c r="GS263">
        <v>0</v>
      </c>
      <c r="GT263">
        <v>0</v>
      </c>
      <c r="GU263">
        <v>0</v>
      </c>
      <c r="GV263">
        <v>0</v>
      </c>
      <c r="GW263">
        <v>0</v>
      </c>
      <c r="GX263">
        <v>0</v>
      </c>
      <c r="GY263">
        <v>0</v>
      </c>
      <c r="GZ263">
        <v>0</v>
      </c>
      <c r="HA263">
        <v>0</v>
      </c>
      <c r="HB263">
        <v>0</v>
      </c>
      <c r="HC263">
        <v>0</v>
      </c>
      <c r="HD263">
        <v>0</v>
      </c>
      <c r="HE263">
        <v>0</v>
      </c>
      <c r="HF263">
        <v>0</v>
      </c>
      <c r="HG263">
        <v>0</v>
      </c>
      <c r="HH263">
        <v>0</v>
      </c>
      <c r="HI263">
        <v>0</v>
      </c>
      <c r="HJ263">
        <v>0</v>
      </c>
      <c r="HK263">
        <v>0</v>
      </c>
      <c r="HL263">
        <v>0</v>
      </c>
      <c r="HM263">
        <v>0</v>
      </c>
      <c r="HN263">
        <v>0</v>
      </c>
      <c r="HO263">
        <v>0</v>
      </c>
      <c r="HP263">
        <v>0</v>
      </c>
      <c r="HQ263">
        <v>0</v>
      </c>
      <c r="HR263">
        <v>0</v>
      </c>
      <c r="HS263">
        <v>0</v>
      </c>
      <c r="HT263">
        <v>0</v>
      </c>
      <c r="HU263">
        <v>0</v>
      </c>
      <c r="HV263">
        <v>0</v>
      </c>
      <c r="HW263">
        <v>0</v>
      </c>
      <c r="HX263">
        <v>0</v>
      </c>
      <c r="HY263">
        <v>0</v>
      </c>
      <c r="HZ263">
        <v>0</v>
      </c>
      <c r="IA263">
        <v>0</v>
      </c>
      <c r="IB263">
        <v>0</v>
      </c>
      <c r="IC263">
        <v>1</v>
      </c>
      <c r="ID263">
        <v>0</v>
      </c>
      <c r="IG263">
        <v>0</v>
      </c>
      <c r="IH263">
        <v>0</v>
      </c>
      <c r="II263">
        <v>0</v>
      </c>
      <c r="IJ263">
        <v>0</v>
      </c>
      <c r="IK263">
        <v>0</v>
      </c>
      <c r="IL263">
        <v>0</v>
      </c>
      <c r="IM263">
        <v>0</v>
      </c>
      <c r="IN263">
        <v>0</v>
      </c>
      <c r="IO263">
        <v>0</v>
      </c>
      <c r="IP263">
        <v>0</v>
      </c>
      <c r="IQ263">
        <v>1</v>
      </c>
      <c r="IS263">
        <v>1</v>
      </c>
      <c r="IT263">
        <v>1</v>
      </c>
      <c r="IU263">
        <v>0</v>
      </c>
      <c r="IV263">
        <v>0</v>
      </c>
      <c r="IW263">
        <v>0</v>
      </c>
    </row>
    <row r="264" spans="1:258" x14ac:dyDescent="0.35">
      <c r="A264">
        <v>405327</v>
      </c>
      <c r="C264">
        <v>1</v>
      </c>
      <c r="D264" t="s">
        <v>1254</v>
      </c>
      <c r="E264" t="s">
        <v>1255</v>
      </c>
      <c r="F264" t="s">
        <v>1256</v>
      </c>
      <c r="G264">
        <v>3</v>
      </c>
      <c r="I264">
        <v>0</v>
      </c>
      <c r="J264">
        <v>0</v>
      </c>
      <c r="K264">
        <v>1</v>
      </c>
      <c r="L264">
        <v>0</v>
      </c>
      <c r="M264">
        <v>0</v>
      </c>
      <c r="N264">
        <v>0</v>
      </c>
      <c r="O264">
        <v>0</v>
      </c>
      <c r="P264">
        <v>0</v>
      </c>
      <c r="Q264">
        <v>0</v>
      </c>
      <c r="R264">
        <v>1</v>
      </c>
      <c r="T264">
        <v>1</v>
      </c>
      <c r="U264">
        <v>1</v>
      </c>
      <c r="V264">
        <v>1</v>
      </c>
      <c r="W264">
        <v>4</v>
      </c>
      <c r="X264">
        <v>121</v>
      </c>
      <c r="Y264">
        <v>5</v>
      </c>
      <c r="Z264">
        <v>4</v>
      </c>
      <c r="AA264">
        <v>121</v>
      </c>
      <c r="AB264">
        <v>5</v>
      </c>
      <c r="AC264">
        <v>1</v>
      </c>
      <c r="AD264">
        <v>0</v>
      </c>
      <c r="AE264">
        <v>0</v>
      </c>
      <c r="AF264">
        <v>1</v>
      </c>
      <c r="AG264">
        <v>1</v>
      </c>
      <c r="AH264">
        <v>0</v>
      </c>
      <c r="AJ264">
        <v>1</v>
      </c>
      <c r="AL264">
        <v>1</v>
      </c>
      <c r="AN264">
        <v>1</v>
      </c>
      <c r="AO264">
        <v>1</v>
      </c>
      <c r="AP264">
        <v>2</v>
      </c>
      <c r="AQ264">
        <v>2</v>
      </c>
      <c r="AS264">
        <v>2</v>
      </c>
      <c r="AT264">
        <v>1</v>
      </c>
      <c r="BX264">
        <v>4</v>
      </c>
      <c r="BY264">
        <v>4</v>
      </c>
      <c r="BZ264">
        <v>0</v>
      </c>
      <c r="CA264">
        <v>1</v>
      </c>
      <c r="CB264">
        <v>1</v>
      </c>
      <c r="CC264">
        <v>1</v>
      </c>
      <c r="CD264">
        <v>0</v>
      </c>
      <c r="CE264">
        <v>0</v>
      </c>
      <c r="CF264">
        <v>0</v>
      </c>
      <c r="CG264">
        <v>0</v>
      </c>
      <c r="CH264">
        <v>0</v>
      </c>
      <c r="CI264">
        <v>1</v>
      </c>
      <c r="CJ264">
        <v>0</v>
      </c>
      <c r="CK264">
        <v>1</v>
      </c>
      <c r="CL264">
        <v>1</v>
      </c>
      <c r="CM264">
        <v>0</v>
      </c>
      <c r="CN264">
        <v>0</v>
      </c>
      <c r="CO264">
        <v>0</v>
      </c>
      <c r="CQ264" t="s">
        <v>1257</v>
      </c>
      <c r="CR264">
        <v>1</v>
      </c>
      <c r="CS264">
        <v>2</v>
      </c>
      <c r="CU264">
        <v>1</v>
      </c>
      <c r="CW264">
        <v>1</v>
      </c>
      <c r="CY264" t="s">
        <v>1258</v>
      </c>
      <c r="CZ264">
        <v>1</v>
      </c>
      <c r="DB264">
        <v>12</v>
      </c>
      <c r="DC264" t="s">
        <v>1259</v>
      </c>
      <c r="DD264" t="s">
        <v>1260</v>
      </c>
      <c r="DE264">
        <v>3</v>
      </c>
      <c r="DF264" t="s">
        <v>1261</v>
      </c>
      <c r="DG264">
        <v>4</v>
      </c>
      <c r="DI264">
        <v>0</v>
      </c>
      <c r="DJ264">
        <v>0</v>
      </c>
      <c r="DK264">
        <v>1</v>
      </c>
      <c r="DL264">
        <v>0</v>
      </c>
      <c r="DM264">
        <v>0</v>
      </c>
      <c r="DN264">
        <v>1</v>
      </c>
      <c r="DO264">
        <v>0</v>
      </c>
      <c r="DP264">
        <v>0</v>
      </c>
      <c r="DQ264">
        <v>0</v>
      </c>
      <c r="DR264">
        <v>0</v>
      </c>
      <c r="DT264">
        <v>0</v>
      </c>
      <c r="DU264">
        <v>1</v>
      </c>
      <c r="DV264">
        <v>0</v>
      </c>
      <c r="DW264">
        <v>1</v>
      </c>
      <c r="DX264">
        <v>1</v>
      </c>
      <c r="DY264">
        <v>0</v>
      </c>
      <c r="DZ264">
        <v>0</v>
      </c>
      <c r="EA264">
        <v>0</v>
      </c>
      <c r="EB264">
        <v>1</v>
      </c>
      <c r="EC264">
        <v>1</v>
      </c>
      <c r="ED264">
        <v>1</v>
      </c>
      <c r="EE264">
        <v>0</v>
      </c>
      <c r="EF264">
        <v>0</v>
      </c>
      <c r="EI264" t="s">
        <v>274</v>
      </c>
      <c r="EJ264">
        <v>1</v>
      </c>
      <c r="EK264">
        <v>0</v>
      </c>
      <c r="EL264">
        <v>0</v>
      </c>
      <c r="EM264">
        <v>0</v>
      </c>
      <c r="EN264">
        <v>0</v>
      </c>
      <c r="EO264">
        <v>0</v>
      </c>
      <c r="EP264">
        <v>0</v>
      </c>
      <c r="EQ264">
        <v>0</v>
      </c>
      <c r="ER264">
        <v>0</v>
      </c>
      <c r="ES264">
        <v>0</v>
      </c>
      <c r="ET264">
        <v>0</v>
      </c>
      <c r="EU264">
        <v>0</v>
      </c>
      <c r="EV264">
        <v>0</v>
      </c>
      <c r="EW264">
        <v>0</v>
      </c>
      <c r="EX264">
        <v>0</v>
      </c>
      <c r="EY264">
        <v>0</v>
      </c>
      <c r="EZ264">
        <v>0</v>
      </c>
      <c r="FA264">
        <v>0</v>
      </c>
      <c r="FB264">
        <v>0</v>
      </c>
      <c r="FC264">
        <v>0</v>
      </c>
      <c r="FD264">
        <v>0</v>
      </c>
      <c r="FE264">
        <v>0</v>
      </c>
      <c r="GJ264" t="s">
        <v>1262</v>
      </c>
      <c r="GK264">
        <v>0</v>
      </c>
      <c r="GL264">
        <v>0</v>
      </c>
      <c r="GM264">
        <v>0</v>
      </c>
      <c r="GN264">
        <v>0</v>
      </c>
      <c r="GO264">
        <v>0</v>
      </c>
      <c r="GP264">
        <v>0</v>
      </c>
      <c r="GQ264">
        <v>0</v>
      </c>
      <c r="GR264">
        <v>0</v>
      </c>
      <c r="GS264">
        <v>0</v>
      </c>
      <c r="GT264">
        <v>0</v>
      </c>
      <c r="GU264">
        <v>0</v>
      </c>
      <c r="GV264">
        <v>0</v>
      </c>
      <c r="GW264">
        <v>0</v>
      </c>
      <c r="GX264">
        <v>0</v>
      </c>
      <c r="GY264">
        <v>0</v>
      </c>
      <c r="GZ264">
        <v>0</v>
      </c>
      <c r="HA264">
        <v>0</v>
      </c>
      <c r="HB264">
        <v>0</v>
      </c>
      <c r="HC264">
        <v>0</v>
      </c>
      <c r="HD264">
        <v>0</v>
      </c>
      <c r="HE264">
        <v>0</v>
      </c>
      <c r="HF264">
        <v>0</v>
      </c>
      <c r="HG264">
        <v>0</v>
      </c>
      <c r="HH264">
        <v>0</v>
      </c>
      <c r="HI264">
        <v>0</v>
      </c>
      <c r="HJ264">
        <v>0</v>
      </c>
      <c r="HK264">
        <v>0</v>
      </c>
      <c r="HL264">
        <v>0</v>
      </c>
      <c r="HM264">
        <v>1</v>
      </c>
      <c r="HN264">
        <v>0</v>
      </c>
      <c r="HO264">
        <v>0</v>
      </c>
      <c r="HP264">
        <v>0</v>
      </c>
      <c r="HQ264">
        <v>0</v>
      </c>
      <c r="HR264">
        <v>0</v>
      </c>
      <c r="HS264">
        <v>0</v>
      </c>
      <c r="HT264">
        <v>0</v>
      </c>
      <c r="HU264">
        <v>0</v>
      </c>
      <c r="HV264">
        <v>0</v>
      </c>
      <c r="HW264">
        <v>0</v>
      </c>
      <c r="HX264">
        <v>0</v>
      </c>
      <c r="HY264">
        <v>0</v>
      </c>
      <c r="HZ264">
        <v>0</v>
      </c>
      <c r="IA264">
        <v>0</v>
      </c>
      <c r="IB264">
        <v>0</v>
      </c>
      <c r="IC264">
        <v>0</v>
      </c>
      <c r="ID264">
        <v>1</v>
      </c>
      <c r="IG264">
        <v>1</v>
      </c>
      <c r="IH264">
        <v>1</v>
      </c>
      <c r="II264">
        <v>1</v>
      </c>
      <c r="IJ264">
        <v>0</v>
      </c>
      <c r="IK264">
        <v>0</v>
      </c>
      <c r="IL264">
        <v>0</v>
      </c>
      <c r="IM264">
        <v>0</v>
      </c>
      <c r="IN264">
        <v>0</v>
      </c>
      <c r="IO264">
        <v>0</v>
      </c>
      <c r="IP264">
        <v>0</v>
      </c>
      <c r="IQ264">
        <v>0</v>
      </c>
      <c r="IS264">
        <v>1</v>
      </c>
      <c r="IT264">
        <v>1</v>
      </c>
      <c r="IU264">
        <v>1</v>
      </c>
      <c r="IV264">
        <v>0</v>
      </c>
      <c r="IW264">
        <v>0</v>
      </c>
    </row>
    <row r="265" spans="1:258" x14ac:dyDescent="0.35">
      <c r="A265">
        <v>363452</v>
      </c>
      <c r="C265">
        <v>1</v>
      </c>
      <c r="D265" t="s">
        <v>1263</v>
      </c>
      <c r="E265" t="s">
        <v>1264</v>
      </c>
      <c r="F265" t="s">
        <v>1265</v>
      </c>
      <c r="G265">
        <v>4</v>
      </c>
      <c r="I265">
        <v>1</v>
      </c>
      <c r="J265">
        <v>0</v>
      </c>
      <c r="K265">
        <v>0</v>
      </c>
      <c r="L265">
        <v>0</v>
      </c>
      <c r="M265">
        <v>0</v>
      </c>
      <c r="N265">
        <v>0</v>
      </c>
      <c r="O265">
        <v>0</v>
      </c>
      <c r="P265">
        <v>0</v>
      </c>
      <c r="Q265">
        <v>0</v>
      </c>
      <c r="R265">
        <v>1</v>
      </c>
      <c r="T265">
        <v>1</v>
      </c>
      <c r="U265">
        <v>1</v>
      </c>
      <c r="V265">
        <v>0</v>
      </c>
      <c r="W265">
        <v>1</v>
      </c>
      <c r="X265">
        <v>10</v>
      </c>
      <c r="Z265">
        <v>1</v>
      </c>
      <c r="AA265">
        <v>10</v>
      </c>
      <c r="AC265">
        <v>1</v>
      </c>
      <c r="AD265">
        <v>1</v>
      </c>
      <c r="AE265">
        <v>0</v>
      </c>
      <c r="AF265">
        <v>1</v>
      </c>
      <c r="AG265">
        <v>1</v>
      </c>
      <c r="AH265">
        <v>0</v>
      </c>
      <c r="AJ265">
        <v>4</v>
      </c>
      <c r="AL265">
        <v>1</v>
      </c>
      <c r="AN265">
        <v>1</v>
      </c>
      <c r="AO265">
        <v>1</v>
      </c>
      <c r="AP265">
        <v>2</v>
      </c>
      <c r="AQ265">
        <v>2</v>
      </c>
      <c r="AS265">
        <v>2</v>
      </c>
      <c r="AT265">
        <v>1</v>
      </c>
      <c r="BX265">
        <v>3</v>
      </c>
      <c r="BY265">
        <v>3</v>
      </c>
      <c r="BZ265">
        <v>0</v>
      </c>
      <c r="CA265">
        <v>1</v>
      </c>
      <c r="CB265">
        <v>0</v>
      </c>
      <c r="CC265">
        <v>0</v>
      </c>
      <c r="CD265">
        <v>0</v>
      </c>
      <c r="CE265">
        <v>0</v>
      </c>
      <c r="CF265">
        <v>0</v>
      </c>
      <c r="CG265">
        <v>0</v>
      </c>
      <c r="CH265">
        <v>0</v>
      </c>
      <c r="CI265">
        <v>0</v>
      </c>
      <c r="CJ265">
        <v>0</v>
      </c>
      <c r="CK265">
        <v>1</v>
      </c>
      <c r="CL265">
        <v>0</v>
      </c>
      <c r="CM265">
        <v>0</v>
      </c>
      <c r="CN265">
        <v>0</v>
      </c>
      <c r="CO265">
        <v>0</v>
      </c>
      <c r="CQ265" t="s">
        <v>1266</v>
      </c>
      <c r="CR265">
        <v>1</v>
      </c>
      <c r="CS265">
        <v>3</v>
      </c>
      <c r="CT265" t="s">
        <v>1267</v>
      </c>
      <c r="CU265">
        <v>1</v>
      </c>
      <c r="CW265">
        <v>3</v>
      </c>
      <c r="CX265" t="s">
        <v>1268</v>
      </c>
      <c r="CZ265">
        <v>4</v>
      </c>
      <c r="DD265" t="s">
        <v>1269</v>
      </c>
      <c r="DE265">
        <v>2</v>
      </c>
      <c r="DG265">
        <v>4</v>
      </c>
      <c r="DI265">
        <v>0</v>
      </c>
      <c r="DJ265">
        <v>0</v>
      </c>
      <c r="DK265">
        <v>0</v>
      </c>
      <c r="DL265">
        <v>1</v>
      </c>
      <c r="DM265">
        <v>0</v>
      </c>
      <c r="DN265">
        <v>1</v>
      </c>
      <c r="DO265">
        <v>0</v>
      </c>
      <c r="DP265">
        <v>0</v>
      </c>
      <c r="DQ265">
        <v>0</v>
      </c>
      <c r="DR265">
        <v>0</v>
      </c>
      <c r="DT265">
        <v>0</v>
      </c>
      <c r="DU265">
        <v>1</v>
      </c>
      <c r="DV265">
        <v>0</v>
      </c>
      <c r="DW265">
        <v>0</v>
      </c>
      <c r="DX265">
        <v>0</v>
      </c>
      <c r="DY265">
        <v>0</v>
      </c>
      <c r="DZ265">
        <v>0</v>
      </c>
      <c r="EA265">
        <v>1</v>
      </c>
      <c r="EB265">
        <v>0</v>
      </c>
      <c r="EC265">
        <v>0</v>
      </c>
      <c r="ED265">
        <v>0</v>
      </c>
      <c r="EE265">
        <v>0</v>
      </c>
      <c r="EF265">
        <v>0</v>
      </c>
      <c r="EI265" t="s">
        <v>936</v>
      </c>
      <c r="EJ265">
        <v>0</v>
      </c>
      <c r="EK265">
        <v>0</v>
      </c>
      <c r="EL265">
        <v>0</v>
      </c>
      <c r="EM265">
        <v>0</v>
      </c>
      <c r="EN265">
        <v>0</v>
      </c>
      <c r="EO265">
        <v>0</v>
      </c>
      <c r="EP265">
        <v>0</v>
      </c>
      <c r="EQ265">
        <v>0</v>
      </c>
      <c r="ER265">
        <v>0</v>
      </c>
      <c r="ES265">
        <v>0</v>
      </c>
      <c r="ET265">
        <v>0</v>
      </c>
      <c r="EU265">
        <v>0</v>
      </c>
      <c r="EV265">
        <v>0</v>
      </c>
      <c r="EW265">
        <v>0</v>
      </c>
      <c r="EX265">
        <v>0</v>
      </c>
      <c r="EY265">
        <v>1</v>
      </c>
      <c r="EZ265">
        <v>0</v>
      </c>
      <c r="FA265">
        <v>0</v>
      </c>
      <c r="FB265">
        <v>0</v>
      </c>
      <c r="FC265">
        <v>0</v>
      </c>
      <c r="FD265">
        <v>0</v>
      </c>
      <c r="FE265">
        <v>0</v>
      </c>
      <c r="IG265">
        <v>1</v>
      </c>
      <c r="IH265">
        <v>0</v>
      </c>
      <c r="II265">
        <v>0</v>
      </c>
      <c r="IJ265">
        <v>0</v>
      </c>
      <c r="IK265">
        <v>0</v>
      </c>
      <c r="IL265">
        <v>0</v>
      </c>
      <c r="IM265">
        <v>0</v>
      </c>
      <c r="IN265">
        <v>0</v>
      </c>
      <c r="IO265">
        <v>0</v>
      </c>
      <c r="IP265">
        <v>0</v>
      </c>
      <c r="IQ265">
        <v>0</v>
      </c>
      <c r="IS265">
        <v>2</v>
      </c>
    </row>
    <row r="266" spans="1:258" x14ac:dyDescent="0.35">
      <c r="A266">
        <v>405329</v>
      </c>
      <c r="C266">
        <v>1</v>
      </c>
      <c r="D266" t="s">
        <v>1270</v>
      </c>
      <c r="E266" t="s">
        <v>1271</v>
      </c>
      <c r="F266" t="s">
        <v>1265</v>
      </c>
      <c r="G266">
        <v>3</v>
      </c>
      <c r="I266">
        <v>0</v>
      </c>
      <c r="J266">
        <v>0</v>
      </c>
      <c r="K266">
        <v>1</v>
      </c>
      <c r="L266">
        <v>0</v>
      </c>
      <c r="M266">
        <v>0</v>
      </c>
      <c r="N266">
        <v>1</v>
      </c>
      <c r="O266">
        <v>0</v>
      </c>
      <c r="P266">
        <v>0</v>
      </c>
      <c r="Q266">
        <v>0</v>
      </c>
      <c r="R266">
        <v>2</v>
      </c>
      <c r="T266">
        <v>0</v>
      </c>
      <c r="U266">
        <v>1</v>
      </c>
      <c r="V266">
        <v>1</v>
      </c>
      <c r="X266">
        <v>30</v>
      </c>
      <c r="Y266">
        <v>12</v>
      </c>
      <c r="AA266">
        <v>30</v>
      </c>
      <c r="AB266">
        <v>12</v>
      </c>
      <c r="AC266">
        <v>1</v>
      </c>
      <c r="AD266">
        <v>0</v>
      </c>
      <c r="AE266">
        <v>0</v>
      </c>
      <c r="AF266">
        <v>0</v>
      </c>
      <c r="AG266">
        <v>0</v>
      </c>
      <c r="AH266">
        <v>0</v>
      </c>
      <c r="AJ266">
        <v>1</v>
      </c>
      <c r="AL266">
        <v>1</v>
      </c>
      <c r="AN266">
        <v>1</v>
      </c>
      <c r="AO266">
        <v>1</v>
      </c>
      <c r="AP266">
        <v>5</v>
      </c>
      <c r="AQ266">
        <v>2</v>
      </c>
      <c r="AS266">
        <v>2</v>
      </c>
      <c r="AT266">
        <v>1</v>
      </c>
      <c r="AU266">
        <v>2</v>
      </c>
      <c r="BC266">
        <v>1</v>
      </c>
      <c r="BD266">
        <v>0</v>
      </c>
      <c r="BE266">
        <v>1</v>
      </c>
      <c r="BF266">
        <v>1</v>
      </c>
      <c r="BG266">
        <v>1</v>
      </c>
      <c r="BH266">
        <v>0</v>
      </c>
      <c r="BI266">
        <v>0</v>
      </c>
      <c r="BJ266">
        <v>0</v>
      </c>
      <c r="BK266">
        <v>1</v>
      </c>
      <c r="BL266">
        <v>0</v>
      </c>
      <c r="BM266">
        <v>0</v>
      </c>
      <c r="BN266">
        <v>0</v>
      </c>
      <c r="BO266">
        <v>0</v>
      </c>
      <c r="BP266">
        <v>1</v>
      </c>
      <c r="BQ266">
        <v>0</v>
      </c>
      <c r="BR266">
        <v>0</v>
      </c>
      <c r="BS266">
        <v>0</v>
      </c>
      <c r="BU266">
        <v>9</v>
      </c>
      <c r="BV266">
        <v>4</v>
      </c>
      <c r="BX266">
        <v>3</v>
      </c>
      <c r="BY266">
        <v>3</v>
      </c>
      <c r="DI266">
        <v>0</v>
      </c>
      <c r="DJ266">
        <v>1</v>
      </c>
      <c r="DK266">
        <v>0</v>
      </c>
      <c r="DL266">
        <v>0</v>
      </c>
      <c r="DM266">
        <v>0</v>
      </c>
      <c r="DN266">
        <v>1</v>
      </c>
      <c r="DO266">
        <v>0</v>
      </c>
      <c r="DP266">
        <v>0</v>
      </c>
      <c r="DQ266">
        <v>0</v>
      </c>
      <c r="DR266">
        <v>0</v>
      </c>
      <c r="DT266">
        <v>0</v>
      </c>
      <c r="DU266">
        <v>0</v>
      </c>
      <c r="DV266">
        <v>0</v>
      </c>
      <c r="DW266">
        <v>1</v>
      </c>
      <c r="DX266">
        <v>0</v>
      </c>
      <c r="DY266">
        <v>0</v>
      </c>
      <c r="DZ266">
        <v>0</v>
      </c>
      <c r="EA266">
        <v>0</v>
      </c>
      <c r="EB266">
        <v>0</v>
      </c>
      <c r="EC266">
        <v>0</v>
      </c>
      <c r="ED266">
        <v>1</v>
      </c>
      <c r="EE266">
        <v>0</v>
      </c>
      <c r="EF266">
        <v>0</v>
      </c>
      <c r="IG266">
        <v>1</v>
      </c>
      <c r="IH266">
        <v>1</v>
      </c>
      <c r="II266">
        <v>0</v>
      </c>
      <c r="IJ266">
        <v>1</v>
      </c>
      <c r="IK266">
        <v>0</v>
      </c>
      <c r="IL266">
        <v>0</v>
      </c>
      <c r="IM266">
        <v>0</v>
      </c>
      <c r="IN266">
        <v>0</v>
      </c>
      <c r="IO266">
        <v>0</v>
      </c>
      <c r="IP266">
        <v>0</v>
      </c>
      <c r="IQ266">
        <v>0</v>
      </c>
      <c r="IS266">
        <v>1</v>
      </c>
      <c r="IT266">
        <v>0</v>
      </c>
      <c r="IU266">
        <v>1</v>
      </c>
      <c r="IV266">
        <v>0</v>
      </c>
      <c r="IW266">
        <v>0</v>
      </c>
    </row>
    <row r="267" spans="1:258" x14ac:dyDescent="0.35">
      <c r="A267">
        <v>405368</v>
      </c>
      <c r="C267">
        <v>1</v>
      </c>
      <c r="D267" t="s">
        <v>1272</v>
      </c>
      <c r="E267" t="s">
        <v>1273</v>
      </c>
      <c r="F267" t="s">
        <v>1274</v>
      </c>
      <c r="G267">
        <v>3</v>
      </c>
      <c r="I267">
        <v>1</v>
      </c>
      <c r="J267">
        <v>0</v>
      </c>
      <c r="K267">
        <v>1</v>
      </c>
      <c r="L267">
        <v>0</v>
      </c>
      <c r="M267">
        <v>0</v>
      </c>
      <c r="N267">
        <v>0</v>
      </c>
      <c r="O267">
        <v>0</v>
      </c>
      <c r="P267">
        <v>1</v>
      </c>
      <c r="Q267">
        <v>0</v>
      </c>
      <c r="R267">
        <v>1</v>
      </c>
      <c r="T267">
        <v>1</v>
      </c>
      <c r="U267">
        <v>1</v>
      </c>
      <c r="V267">
        <v>0</v>
      </c>
      <c r="W267">
        <v>1</v>
      </c>
      <c r="X267">
        <v>11</v>
      </c>
      <c r="Z267">
        <v>1</v>
      </c>
      <c r="AA267">
        <v>11</v>
      </c>
      <c r="AC267">
        <v>1</v>
      </c>
      <c r="AD267">
        <v>1</v>
      </c>
      <c r="AE267">
        <v>0</v>
      </c>
      <c r="AF267">
        <v>1</v>
      </c>
      <c r="AG267">
        <v>0</v>
      </c>
      <c r="AH267">
        <v>0</v>
      </c>
      <c r="AJ267">
        <v>2</v>
      </c>
      <c r="AL267">
        <v>1</v>
      </c>
      <c r="AN267">
        <v>1</v>
      </c>
      <c r="AO267">
        <v>1</v>
      </c>
      <c r="AP267">
        <v>4</v>
      </c>
      <c r="AQ267">
        <v>1</v>
      </c>
      <c r="AR267">
        <v>1</v>
      </c>
      <c r="AS267">
        <v>2</v>
      </c>
      <c r="AT267">
        <v>1</v>
      </c>
      <c r="AU267">
        <v>1</v>
      </c>
      <c r="AV267">
        <v>1</v>
      </c>
      <c r="AW267">
        <v>0</v>
      </c>
      <c r="AX267">
        <v>0</v>
      </c>
      <c r="AY267">
        <v>0</v>
      </c>
      <c r="AZ267">
        <v>0</v>
      </c>
      <c r="BA267">
        <v>0</v>
      </c>
      <c r="BC267">
        <v>1</v>
      </c>
      <c r="BD267">
        <v>1</v>
      </c>
      <c r="BE267">
        <v>1</v>
      </c>
      <c r="BF267">
        <v>0</v>
      </c>
      <c r="BG267">
        <v>1</v>
      </c>
      <c r="BH267">
        <v>0</v>
      </c>
      <c r="BI267">
        <v>0</v>
      </c>
      <c r="BJ267">
        <v>0</v>
      </c>
      <c r="BK267">
        <v>1</v>
      </c>
      <c r="BL267">
        <v>0</v>
      </c>
      <c r="BM267">
        <v>0</v>
      </c>
      <c r="BN267">
        <v>0</v>
      </c>
      <c r="BO267">
        <v>0</v>
      </c>
      <c r="BP267">
        <v>0</v>
      </c>
      <c r="BQ267">
        <v>0</v>
      </c>
      <c r="BR267">
        <v>0</v>
      </c>
      <c r="BS267">
        <v>0</v>
      </c>
      <c r="BU267">
        <v>1</v>
      </c>
      <c r="BV267">
        <v>4</v>
      </c>
      <c r="BX267">
        <v>4</v>
      </c>
      <c r="BY267">
        <v>4</v>
      </c>
      <c r="DI267">
        <v>0</v>
      </c>
      <c r="DJ267">
        <v>0</v>
      </c>
      <c r="DK267">
        <v>1</v>
      </c>
      <c r="DL267">
        <v>0</v>
      </c>
      <c r="DM267">
        <v>0</v>
      </c>
      <c r="DN267">
        <v>0</v>
      </c>
      <c r="DO267">
        <v>0</v>
      </c>
      <c r="DP267">
        <v>0</v>
      </c>
      <c r="DQ267">
        <v>0</v>
      </c>
      <c r="DR267">
        <v>0</v>
      </c>
      <c r="DT267">
        <v>0</v>
      </c>
      <c r="DU267">
        <v>1</v>
      </c>
      <c r="DV267">
        <v>0</v>
      </c>
      <c r="DW267">
        <v>0</v>
      </c>
      <c r="DX267">
        <v>0</v>
      </c>
      <c r="DY267">
        <v>0</v>
      </c>
      <c r="DZ267">
        <v>0</v>
      </c>
      <c r="EA267">
        <v>0</v>
      </c>
      <c r="EB267">
        <v>0</v>
      </c>
      <c r="EC267">
        <v>0</v>
      </c>
      <c r="ED267">
        <v>0</v>
      </c>
      <c r="EE267">
        <v>0</v>
      </c>
      <c r="EF267">
        <v>0</v>
      </c>
      <c r="EI267" t="s">
        <v>1275</v>
      </c>
      <c r="EJ267">
        <v>1</v>
      </c>
      <c r="EK267">
        <v>0</v>
      </c>
      <c r="EL267">
        <v>0</v>
      </c>
      <c r="EM267">
        <v>0</v>
      </c>
      <c r="EN267">
        <v>0</v>
      </c>
      <c r="EO267">
        <v>0</v>
      </c>
      <c r="EP267">
        <v>0</v>
      </c>
      <c r="EQ267">
        <v>0</v>
      </c>
      <c r="ER267">
        <v>0</v>
      </c>
      <c r="ES267">
        <v>0</v>
      </c>
      <c r="ET267">
        <v>0</v>
      </c>
      <c r="EU267">
        <v>0</v>
      </c>
      <c r="EV267">
        <v>0</v>
      </c>
      <c r="EW267">
        <v>0</v>
      </c>
      <c r="EX267">
        <v>0</v>
      </c>
      <c r="EY267">
        <v>0</v>
      </c>
      <c r="EZ267">
        <v>0</v>
      </c>
      <c r="FA267">
        <v>0</v>
      </c>
      <c r="FB267">
        <v>0</v>
      </c>
      <c r="FC267">
        <v>0</v>
      </c>
      <c r="FD267">
        <v>0</v>
      </c>
      <c r="FE267">
        <v>0</v>
      </c>
      <c r="IG267">
        <v>1</v>
      </c>
      <c r="IH267">
        <v>0</v>
      </c>
      <c r="II267">
        <v>1</v>
      </c>
      <c r="IJ267">
        <v>0</v>
      </c>
      <c r="IK267">
        <v>0</v>
      </c>
      <c r="IL267">
        <v>0</v>
      </c>
      <c r="IM267">
        <v>0</v>
      </c>
      <c r="IN267">
        <v>1</v>
      </c>
      <c r="IO267">
        <v>0</v>
      </c>
      <c r="IP267">
        <v>0</v>
      </c>
      <c r="IQ267">
        <v>0</v>
      </c>
      <c r="IS267">
        <v>1</v>
      </c>
      <c r="IT267">
        <v>0</v>
      </c>
      <c r="IU267">
        <v>1</v>
      </c>
      <c r="IV267">
        <v>0</v>
      </c>
      <c r="IW267">
        <v>0</v>
      </c>
    </row>
    <row r="268" spans="1:258" x14ac:dyDescent="0.35">
      <c r="A268">
        <v>375096</v>
      </c>
      <c r="C268">
        <v>1</v>
      </c>
      <c r="D268" t="s">
        <v>1276</v>
      </c>
      <c r="E268" t="s">
        <v>1277</v>
      </c>
      <c r="F268" t="s">
        <v>1274</v>
      </c>
      <c r="G268">
        <v>4</v>
      </c>
      <c r="I268">
        <v>0</v>
      </c>
      <c r="J268">
        <v>0</v>
      </c>
      <c r="K268">
        <v>0</v>
      </c>
      <c r="L268">
        <v>1</v>
      </c>
      <c r="M268">
        <v>0</v>
      </c>
      <c r="N268">
        <v>0</v>
      </c>
      <c r="O268">
        <v>0</v>
      </c>
      <c r="P268">
        <v>0</v>
      </c>
      <c r="Q268">
        <v>0</v>
      </c>
      <c r="R268">
        <v>1</v>
      </c>
      <c r="T268">
        <v>0</v>
      </c>
      <c r="U268">
        <v>1</v>
      </c>
      <c r="V268">
        <v>0</v>
      </c>
      <c r="X268">
        <v>14</v>
      </c>
      <c r="AA268">
        <v>14</v>
      </c>
      <c r="AC268">
        <v>1</v>
      </c>
      <c r="AD268">
        <v>0</v>
      </c>
      <c r="AE268">
        <v>0</v>
      </c>
      <c r="AF268">
        <v>0</v>
      </c>
      <c r="AG268">
        <v>0</v>
      </c>
      <c r="AH268">
        <v>0</v>
      </c>
      <c r="AJ268">
        <v>1</v>
      </c>
      <c r="AL268">
        <v>1</v>
      </c>
      <c r="AN268">
        <v>1</v>
      </c>
      <c r="AO268">
        <v>1</v>
      </c>
      <c r="AP268">
        <v>5</v>
      </c>
      <c r="AQ268">
        <v>1</v>
      </c>
      <c r="AR268">
        <v>5</v>
      </c>
      <c r="AS268">
        <v>1</v>
      </c>
      <c r="AT268">
        <v>1</v>
      </c>
      <c r="AU268">
        <v>2</v>
      </c>
      <c r="BC268">
        <v>1</v>
      </c>
      <c r="BD268">
        <v>0</v>
      </c>
      <c r="BE268">
        <v>1</v>
      </c>
      <c r="BF268">
        <v>0</v>
      </c>
      <c r="BG268">
        <v>1</v>
      </c>
      <c r="BH268">
        <v>0</v>
      </c>
      <c r="BI268">
        <v>0</v>
      </c>
      <c r="BJ268">
        <v>0</v>
      </c>
      <c r="BK268">
        <v>0</v>
      </c>
      <c r="BL268">
        <v>0</v>
      </c>
      <c r="BM268">
        <v>0</v>
      </c>
      <c r="BN268">
        <v>0</v>
      </c>
      <c r="BO268">
        <v>0</v>
      </c>
      <c r="BP268">
        <v>1</v>
      </c>
      <c r="BQ268">
        <v>0</v>
      </c>
      <c r="BR268">
        <v>0</v>
      </c>
      <c r="BS268">
        <v>0</v>
      </c>
      <c r="BU268">
        <v>5</v>
      </c>
      <c r="BV268">
        <v>4</v>
      </c>
      <c r="BX268">
        <v>6</v>
      </c>
      <c r="BY268">
        <v>6</v>
      </c>
      <c r="DI268">
        <v>0</v>
      </c>
      <c r="DJ268">
        <v>1</v>
      </c>
      <c r="DK268">
        <v>1</v>
      </c>
      <c r="DL268">
        <v>0</v>
      </c>
      <c r="DM268">
        <v>0</v>
      </c>
      <c r="DN268">
        <v>1</v>
      </c>
      <c r="DO268">
        <v>0</v>
      </c>
      <c r="DP268">
        <v>0</v>
      </c>
      <c r="DQ268">
        <v>0</v>
      </c>
      <c r="DR268">
        <v>0</v>
      </c>
      <c r="DT268">
        <v>0</v>
      </c>
      <c r="DU268">
        <v>0</v>
      </c>
      <c r="DV268">
        <v>0</v>
      </c>
      <c r="DW268">
        <v>1</v>
      </c>
      <c r="DX268">
        <v>0</v>
      </c>
      <c r="DY268">
        <v>0</v>
      </c>
      <c r="DZ268">
        <v>0</v>
      </c>
      <c r="EA268">
        <v>0</v>
      </c>
      <c r="EB268">
        <v>1</v>
      </c>
      <c r="EC268">
        <v>0</v>
      </c>
      <c r="ED268">
        <v>1</v>
      </c>
      <c r="EE268">
        <v>0</v>
      </c>
      <c r="EF268">
        <v>0</v>
      </c>
      <c r="IG268">
        <v>0</v>
      </c>
      <c r="IH268">
        <v>0</v>
      </c>
      <c r="II268">
        <v>0</v>
      </c>
      <c r="IJ268">
        <v>0</v>
      </c>
      <c r="IK268">
        <v>0</v>
      </c>
      <c r="IL268">
        <v>0</v>
      </c>
      <c r="IM268">
        <v>0</v>
      </c>
      <c r="IN268">
        <v>0</v>
      </c>
      <c r="IO268">
        <v>0</v>
      </c>
      <c r="IP268">
        <v>0</v>
      </c>
      <c r="IQ268">
        <v>1</v>
      </c>
      <c r="IS268">
        <v>2</v>
      </c>
    </row>
    <row r="269" spans="1:258" x14ac:dyDescent="0.35">
      <c r="A269">
        <v>405321</v>
      </c>
      <c r="C269">
        <v>1</v>
      </c>
      <c r="D269" t="s">
        <v>1278</v>
      </c>
      <c r="E269" t="s">
        <v>1279</v>
      </c>
      <c r="F269" t="s">
        <v>1274</v>
      </c>
      <c r="G269">
        <v>3</v>
      </c>
      <c r="I269">
        <v>1</v>
      </c>
      <c r="J269">
        <v>0</v>
      </c>
      <c r="K269">
        <v>1</v>
      </c>
      <c r="L269">
        <v>0</v>
      </c>
      <c r="M269">
        <v>0</v>
      </c>
      <c r="N269">
        <v>0</v>
      </c>
      <c r="O269">
        <v>0</v>
      </c>
      <c r="P269">
        <v>1</v>
      </c>
      <c r="Q269">
        <v>0</v>
      </c>
      <c r="R269">
        <v>1</v>
      </c>
      <c r="T269">
        <v>1</v>
      </c>
      <c r="U269">
        <v>1</v>
      </c>
      <c r="V269">
        <v>0</v>
      </c>
      <c r="W269">
        <v>2</v>
      </c>
      <c r="X269">
        <v>30</v>
      </c>
      <c r="Z269">
        <v>2</v>
      </c>
      <c r="AA269">
        <v>30</v>
      </c>
      <c r="AC269">
        <v>1</v>
      </c>
      <c r="AD269">
        <v>0</v>
      </c>
      <c r="AE269">
        <v>0</v>
      </c>
      <c r="AF269">
        <v>0</v>
      </c>
      <c r="AG269">
        <v>0</v>
      </c>
      <c r="AH269">
        <v>0</v>
      </c>
      <c r="AJ269">
        <v>1</v>
      </c>
      <c r="AL269">
        <v>1</v>
      </c>
      <c r="AN269">
        <v>1</v>
      </c>
      <c r="AO269">
        <v>1</v>
      </c>
      <c r="AP269">
        <v>5</v>
      </c>
      <c r="AQ269">
        <v>1</v>
      </c>
      <c r="AR269">
        <v>4</v>
      </c>
      <c r="AS269">
        <v>1</v>
      </c>
      <c r="AT269">
        <v>1</v>
      </c>
      <c r="AU269">
        <v>2</v>
      </c>
      <c r="BC269">
        <v>0</v>
      </c>
      <c r="BD269">
        <v>0</v>
      </c>
      <c r="BE269">
        <v>1</v>
      </c>
      <c r="BF269">
        <v>1</v>
      </c>
      <c r="BG269">
        <v>1</v>
      </c>
      <c r="BH269">
        <v>0</v>
      </c>
      <c r="BI269">
        <v>0</v>
      </c>
      <c r="BJ269">
        <v>0</v>
      </c>
      <c r="BK269">
        <v>1</v>
      </c>
      <c r="BL269">
        <v>0</v>
      </c>
      <c r="BM269">
        <v>0</v>
      </c>
      <c r="BN269">
        <v>1</v>
      </c>
      <c r="BO269">
        <v>0</v>
      </c>
      <c r="BP269">
        <v>1</v>
      </c>
      <c r="BQ269">
        <v>0</v>
      </c>
      <c r="BR269">
        <v>1</v>
      </c>
      <c r="BS269">
        <v>0</v>
      </c>
      <c r="BU269">
        <v>5</v>
      </c>
      <c r="BV269">
        <v>4</v>
      </c>
      <c r="BX269">
        <v>3</v>
      </c>
      <c r="BY269">
        <v>3</v>
      </c>
      <c r="DI269">
        <v>1</v>
      </c>
      <c r="DJ269">
        <v>1</v>
      </c>
      <c r="DK269">
        <v>0</v>
      </c>
      <c r="DL269">
        <v>1</v>
      </c>
      <c r="DM269">
        <v>0</v>
      </c>
      <c r="DN269">
        <v>1</v>
      </c>
      <c r="DO269">
        <v>0</v>
      </c>
      <c r="DP269">
        <v>0</v>
      </c>
      <c r="DQ269">
        <v>0</v>
      </c>
      <c r="DR269">
        <v>0</v>
      </c>
      <c r="DT269">
        <v>0</v>
      </c>
      <c r="DU269">
        <v>1</v>
      </c>
      <c r="DV269">
        <v>0</v>
      </c>
      <c r="DW269">
        <v>1</v>
      </c>
      <c r="DX269">
        <v>1</v>
      </c>
      <c r="DY269">
        <v>0</v>
      </c>
      <c r="DZ269">
        <v>0</v>
      </c>
      <c r="EA269">
        <v>0</v>
      </c>
      <c r="EB269">
        <v>0</v>
      </c>
      <c r="EC269">
        <v>0</v>
      </c>
      <c r="ED269">
        <v>1</v>
      </c>
      <c r="EE269">
        <v>0</v>
      </c>
      <c r="EF269">
        <v>0</v>
      </c>
      <c r="EI269" t="s">
        <v>274</v>
      </c>
      <c r="EJ269">
        <v>1</v>
      </c>
      <c r="EK269">
        <v>0</v>
      </c>
      <c r="EL269">
        <v>0</v>
      </c>
      <c r="EM269">
        <v>0</v>
      </c>
      <c r="EN269">
        <v>0</v>
      </c>
      <c r="EO269">
        <v>0</v>
      </c>
      <c r="EP269">
        <v>0</v>
      </c>
      <c r="EQ269">
        <v>0</v>
      </c>
      <c r="ER269">
        <v>0</v>
      </c>
      <c r="ES269">
        <v>0</v>
      </c>
      <c r="ET269">
        <v>0</v>
      </c>
      <c r="EU269">
        <v>0</v>
      </c>
      <c r="EV269">
        <v>0</v>
      </c>
      <c r="EW269">
        <v>0</v>
      </c>
      <c r="EX269">
        <v>0</v>
      </c>
      <c r="EY269">
        <v>0</v>
      </c>
      <c r="EZ269">
        <v>0</v>
      </c>
      <c r="FA269">
        <v>0</v>
      </c>
      <c r="FB269">
        <v>0</v>
      </c>
      <c r="FC269">
        <v>0</v>
      </c>
      <c r="FD269">
        <v>0</v>
      </c>
      <c r="FE269">
        <v>0</v>
      </c>
      <c r="IG269">
        <v>1</v>
      </c>
      <c r="IH269">
        <v>0</v>
      </c>
      <c r="II269">
        <v>1</v>
      </c>
      <c r="IJ269">
        <v>0</v>
      </c>
      <c r="IK269">
        <v>0</v>
      </c>
      <c r="IL269">
        <v>0</v>
      </c>
      <c r="IM269">
        <v>0</v>
      </c>
      <c r="IN269">
        <v>1</v>
      </c>
      <c r="IO269">
        <v>0</v>
      </c>
      <c r="IP269">
        <v>0</v>
      </c>
      <c r="IQ269">
        <v>0</v>
      </c>
      <c r="IS269">
        <v>1</v>
      </c>
      <c r="IT269">
        <v>1</v>
      </c>
      <c r="IU269">
        <v>0</v>
      </c>
      <c r="IV269">
        <v>0</v>
      </c>
      <c r="IW269">
        <v>0</v>
      </c>
    </row>
    <row r="270" spans="1:258" x14ac:dyDescent="0.35">
      <c r="A270">
        <v>405349</v>
      </c>
      <c r="C270">
        <v>1</v>
      </c>
      <c r="D270" t="s">
        <v>1280</v>
      </c>
      <c r="E270" t="s">
        <v>1281</v>
      </c>
      <c r="F270" t="s">
        <v>1274</v>
      </c>
      <c r="G270">
        <v>3</v>
      </c>
      <c r="I270">
        <v>1</v>
      </c>
      <c r="J270">
        <v>0</v>
      </c>
      <c r="K270">
        <v>0</v>
      </c>
      <c r="L270">
        <v>0</v>
      </c>
      <c r="M270">
        <v>0</v>
      </c>
      <c r="N270">
        <v>0</v>
      </c>
      <c r="O270">
        <v>0</v>
      </c>
      <c r="P270">
        <v>0</v>
      </c>
      <c r="Q270">
        <v>0</v>
      </c>
      <c r="R270">
        <v>1</v>
      </c>
      <c r="T270">
        <v>1</v>
      </c>
      <c r="U270">
        <v>1</v>
      </c>
      <c r="V270">
        <v>1</v>
      </c>
      <c r="W270">
        <v>0</v>
      </c>
      <c r="X270">
        <v>5</v>
      </c>
      <c r="Y270">
        <v>0</v>
      </c>
      <c r="AA270">
        <v>5</v>
      </c>
      <c r="AC270">
        <v>1</v>
      </c>
      <c r="AD270">
        <v>0</v>
      </c>
      <c r="AE270">
        <v>0</v>
      </c>
      <c r="AF270">
        <v>0</v>
      </c>
      <c r="AG270">
        <v>0</v>
      </c>
      <c r="AH270">
        <v>0</v>
      </c>
      <c r="AJ270">
        <v>1</v>
      </c>
      <c r="AL270">
        <v>1</v>
      </c>
      <c r="AN270">
        <v>1</v>
      </c>
      <c r="AO270">
        <v>1</v>
      </c>
      <c r="AP270">
        <v>4</v>
      </c>
      <c r="AQ270">
        <v>1</v>
      </c>
      <c r="AR270">
        <v>4</v>
      </c>
      <c r="AS270">
        <v>1</v>
      </c>
      <c r="AT270">
        <v>1</v>
      </c>
      <c r="AU270">
        <v>2</v>
      </c>
      <c r="BC270">
        <v>0</v>
      </c>
      <c r="BD270">
        <v>0</v>
      </c>
      <c r="BE270">
        <v>0</v>
      </c>
      <c r="BF270">
        <v>1</v>
      </c>
      <c r="BG270">
        <v>0</v>
      </c>
      <c r="BH270">
        <v>0</v>
      </c>
      <c r="BI270">
        <v>0</v>
      </c>
      <c r="BJ270">
        <v>0</v>
      </c>
      <c r="BK270">
        <v>0</v>
      </c>
      <c r="BL270">
        <v>1</v>
      </c>
      <c r="BM270">
        <v>0</v>
      </c>
      <c r="BN270">
        <v>1</v>
      </c>
      <c r="BO270">
        <v>0</v>
      </c>
      <c r="BP270">
        <v>0</v>
      </c>
      <c r="BQ270">
        <v>0</v>
      </c>
      <c r="BR270">
        <v>1</v>
      </c>
      <c r="BS270">
        <v>0</v>
      </c>
      <c r="BU270">
        <v>16</v>
      </c>
      <c r="BV270">
        <v>4</v>
      </c>
      <c r="BX270">
        <v>5</v>
      </c>
      <c r="BY270">
        <v>4</v>
      </c>
      <c r="DI270">
        <v>0</v>
      </c>
      <c r="DJ270">
        <v>0</v>
      </c>
      <c r="DK270">
        <v>0</v>
      </c>
      <c r="DL270">
        <v>0</v>
      </c>
      <c r="DM270">
        <v>1</v>
      </c>
      <c r="DN270">
        <v>0</v>
      </c>
      <c r="DO270">
        <v>0</v>
      </c>
      <c r="DP270">
        <v>1</v>
      </c>
      <c r="DQ270">
        <v>0</v>
      </c>
      <c r="DR270">
        <v>0</v>
      </c>
      <c r="DT270">
        <v>1</v>
      </c>
      <c r="DU270">
        <v>0</v>
      </c>
      <c r="DV270">
        <v>0</v>
      </c>
      <c r="DW270">
        <v>0</v>
      </c>
      <c r="DX270">
        <v>0</v>
      </c>
      <c r="DY270">
        <v>0</v>
      </c>
      <c r="DZ270">
        <v>0</v>
      </c>
      <c r="EA270">
        <v>0</v>
      </c>
      <c r="EB270">
        <v>0</v>
      </c>
      <c r="EC270">
        <v>0</v>
      </c>
      <c r="ED270">
        <v>1</v>
      </c>
      <c r="EE270">
        <v>0</v>
      </c>
      <c r="EF270">
        <v>0</v>
      </c>
      <c r="EG270" t="s">
        <v>421</v>
      </c>
      <c r="EH270">
        <v>9</v>
      </c>
      <c r="IG270">
        <v>1</v>
      </c>
      <c r="IH270">
        <v>0</v>
      </c>
      <c r="II270">
        <v>1</v>
      </c>
      <c r="IJ270">
        <v>0</v>
      </c>
      <c r="IK270">
        <v>0</v>
      </c>
      <c r="IL270">
        <v>0</v>
      </c>
      <c r="IM270">
        <v>0</v>
      </c>
      <c r="IN270">
        <v>0</v>
      </c>
      <c r="IO270">
        <v>1</v>
      </c>
      <c r="IP270">
        <v>0</v>
      </c>
      <c r="IQ270">
        <v>0</v>
      </c>
      <c r="IS270">
        <v>2</v>
      </c>
    </row>
    <row r="271" spans="1:258" x14ac:dyDescent="0.35">
      <c r="A271">
        <v>363742</v>
      </c>
      <c r="C271">
        <v>1</v>
      </c>
      <c r="D271" t="s">
        <v>1282</v>
      </c>
      <c r="E271" t="s">
        <v>1283</v>
      </c>
      <c r="F271" t="s">
        <v>1274</v>
      </c>
      <c r="G271">
        <v>3</v>
      </c>
      <c r="I271">
        <v>0</v>
      </c>
      <c r="J271">
        <v>0</v>
      </c>
      <c r="K271">
        <v>1</v>
      </c>
      <c r="L271">
        <v>0</v>
      </c>
      <c r="M271">
        <v>0</v>
      </c>
      <c r="N271">
        <v>1</v>
      </c>
      <c r="O271">
        <v>0</v>
      </c>
      <c r="P271">
        <v>1</v>
      </c>
      <c r="Q271">
        <v>0</v>
      </c>
      <c r="R271">
        <v>1</v>
      </c>
      <c r="T271">
        <v>1</v>
      </c>
      <c r="U271">
        <v>1</v>
      </c>
      <c r="V271">
        <v>0</v>
      </c>
      <c r="W271">
        <v>2</v>
      </c>
      <c r="X271">
        <v>24</v>
      </c>
      <c r="Z271">
        <v>2</v>
      </c>
      <c r="AA271">
        <v>24</v>
      </c>
      <c r="AC271">
        <v>1</v>
      </c>
      <c r="AD271">
        <v>1</v>
      </c>
      <c r="AE271">
        <v>0</v>
      </c>
      <c r="AF271">
        <v>0</v>
      </c>
      <c r="AG271">
        <v>0</v>
      </c>
      <c r="AH271">
        <v>0</v>
      </c>
      <c r="AJ271">
        <v>1</v>
      </c>
      <c r="AL271">
        <v>1</v>
      </c>
      <c r="AN271">
        <v>1</v>
      </c>
      <c r="AO271">
        <v>1</v>
      </c>
      <c r="AP271">
        <v>4</v>
      </c>
      <c r="AQ271">
        <v>2</v>
      </c>
      <c r="AS271">
        <v>2</v>
      </c>
      <c r="AT271">
        <v>1</v>
      </c>
      <c r="AU271">
        <v>1</v>
      </c>
      <c r="AV271">
        <v>0</v>
      </c>
      <c r="AW271">
        <v>0</v>
      </c>
      <c r="AX271">
        <v>0</v>
      </c>
      <c r="AY271">
        <v>0</v>
      </c>
      <c r="AZ271">
        <v>0</v>
      </c>
      <c r="BA271">
        <v>1</v>
      </c>
      <c r="BB271" t="s">
        <v>1284</v>
      </c>
      <c r="BC271">
        <v>0</v>
      </c>
      <c r="BD271">
        <v>1</v>
      </c>
      <c r="BE271">
        <v>0</v>
      </c>
      <c r="BF271">
        <v>0</v>
      </c>
      <c r="BG271">
        <v>0</v>
      </c>
      <c r="BH271">
        <v>0</v>
      </c>
      <c r="BI271">
        <v>0</v>
      </c>
      <c r="BJ271">
        <v>0</v>
      </c>
      <c r="BK271">
        <v>0</v>
      </c>
      <c r="BL271">
        <v>0</v>
      </c>
      <c r="BM271">
        <v>0</v>
      </c>
      <c r="BN271">
        <v>0</v>
      </c>
      <c r="BO271">
        <v>0</v>
      </c>
      <c r="BP271">
        <v>1</v>
      </c>
      <c r="BQ271">
        <v>0</v>
      </c>
      <c r="BR271">
        <v>0</v>
      </c>
      <c r="BS271">
        <v>0</v>
      </c>
      <c r="BU271">
        <v>1</v>
      </c>
      <c r="BV271">
        <v>4</v>
      </c>
      <c r="BX271">
        <v>4</v>
      </c>
      <c r="BY271">
        <v>4</v>
      </c>
      <c r="DI271">
        <v>0</v>
      </c>
      <c r="DJ271">
        <v>0</v>
      </c>
      <c r="DK271">
        <v>1</v>
      </c>
      <c r="DL271">
        <v>1</v>
      </c>
      <c r="DM271">
        <v>1</v>
      </c>
      <c r="DN271">
        <v>0</v>
      </c>
      <c r="DO271">
        <v>0</v>
      </c>
      <c r="DP271">
        <v>0</v>
      </c>
      <c r="DQ271">
        <v>0</v>
      </c>
      <c r="DR271">
        <v>0</v>
      </c>
      <c r="DT271">
        <v>0</v>
      </c>
      <c r="DU271">
        <v>0</v>
      </c>
      <c r="DV271">
        <v>0</v>
      </c>
      <c r="DW271">
        <v>0</v>
      </c>
      <c r="DX271">
        <v>1</v>
      </c>
      <c r="DY271">
        <v>0</v>
      </c>
      <c r="DZ271">
        <v>0</v>
      </c>
      <c r="EA271">
        <v>0</v>
      </c>
      <c r="EB271">
        <v>0</v>
      </c>
      <c r="EC271">
        <v>1</v>
      </c>
      <c r="ED271">
        <v>1</v>
      </c>
      <c r="EE271">
        <v>0</v>
      </c>
      <c r="EF271">
        <v>0</v>
      </c>
      <c r="GJ271" t="s">
        <v>1285</v>
      </c>
      <c r="GK271">
        <v>0</v>
      </c>
      <c r="GL271">
        <v>0</v>
      </c>
      <c r="GM271">
        <v>0</v>
      </c>
      <c r="GN271">
        <v>0</v>
      </c>
      <c r="GO271">
        <v>0</v>
      </c>
      <c r="GP271">
        <v>0</v>
      </c>
      <c r="GQ271">
        <v>0</v>
      </c>
      <c r="GR271">
        <v>0</v>
      </c>
      <c r="GS271">
        <v>0</v>
      </c>
      <c r="GT271">
        <v>0</v>
      </c>
      <c r="GU271">
        <v>0</v>
      </c>
      <c r="GV271">
        <v>0</v>
      </c>
      <c r="GW271">
        <v>0</v>
      </c>
      <c r="GX271">
        <v>0</v>
      </c>
      <c r="GY271">
        <v>0</v>
      </c>
      <c r="GZ271">
        <v>0</v>
      </c>
      <c r="HA271">
        <v>0</v>
      </c>
      <c r="HB271">
        <v>0</v>
      </c>
      <c r="HC271">
        <v>0</v>
      </c>
      <c r="HD271">
        <v>0</v>
      </c>
      <c r="HE271">
        <v>0</v>
      </c>
      <c r="HF271">
        <v>0</v>
      </c>
      <c r="HG271">
        <v>0</v>
      </c>
      <c r="HH271">
        <v>0</v>
      </c>
      <c r="HI271">
        <v>0</v>
      </c>
      <c r="HJ271">
        <v>0</v>
      </c>
      <c r="HK271">
        <v>0</v>
      </c>
      <c r="HL271">
        <v>0</v>
      </c>
      <c r="HM271">
        <v>0</v>
      </c>
      <c r="HN271">
        <v>0</v>
      </c>
      <c r="HO271">
        <v>0</v>
      </c>
      <c r="HP271">
        <v>0</v>
      </c>
      <c r="HQ271">
        <v>0</v>
      </c>
      <c r="HR271">
        <v>0</v>
      </c>
      <c r="HS271">
        <v>0</v>
      </c>
      <c r="HT271">
        <v>0</v>
      </c>
      <c r="HU271">
        <v>0</v>
      </c>
      <c r="HV271">
        <v>0</v>
      </c>
      <c r="HW271">
        <v>0</v>
      </c>
      <c r="HX271">
        <v>0</v>
      </c>
      <c r="HY271">
        <v>0</v>
      </c>
      <c r="HZ271">
        <v>0</v>
      </c>
      <c r="IA271">
        <v>0</v>
      </c>
      <c r="IB271">
        <v>1</v>
      </c>
      <c r="IC271">
        <v>0</v>
      </c>
      <c r="ID271">
        <v>0</v>
      </c>
      <c r="IG271">
        <v>1</v>
      </c>
      <c r="IH271">
        <v>0</v>
      </c>
      <c r="II271">
        <v>1</v>
      </c>
      <c r="IJ271">
        <v>0</v>
      </c>
      <c r="IK271">
        <v>0</v>
      </c>
      <c r="IL271">
        <v>0</v>
      </c>
      <c r="IM271">
        <v>0</v>
      </c>
      <c r="IN271">
        <v>0</v>
      </c>
      <c r="IO271">
        <v>0</v>
      </c>
      <c r="IP271">
        <v>0</v>
      </c>
      <c r="IQ271">
        <v>0</v>
      </c>
      <c r="IS271">
        <v>1</v>
      </c>
      <c r="IT271">
        <v>0</v>
      </c>
      <c r="IU271">
        <v>1</v>
      </c>
      <c r="IV271">
        <v>0</v>
      </c>
      <c r="IW271">
        <v>0</v>
      </c>
    </row>
    <row r="272" spans="1:258" x14ac:dyDescent="0.35">
      <c r="A272">
        <v>372944</v>
      </c>
      <c r="C272">
        <v>1</v>
      </c>
      <c r="D272" t="s">
        <v>1286</v>
      </c>
      <c r="E272" t="s">
        <v>1287</v>
      </c>
      <c r="F272" t="s">
        <v>1274</v>
      </c>
      <c r="G272">
        <v>3</v>
      </c>
      <c r="I272">
        <v>0</v>
      </c>
      <c r="J272">
        <v>0</v>
      </c>
      <c r="K272">
        <v>1</v>
      </c>
      <c r="L272">
        <v>0</v>
      </c>
      <c r="M272">
        <v>0</v>
      </c>
      <c r="N272">
        <v>0</v>
      </c>
      <c r="O272">
        <v>0</v>
      </c>
      <c r="P272">
        <v>0</v>
      </c>
      <c r="Q272">
        <v>0</v>
      </c>
      <c r="R272">
        <v>1</v>
      </c>
      <c r="T272">
        <v>1</v>
      </c>
      <c r="U272">
        <v>1</v>
      </c>
      <c r="V272">
        <v>0</v>
      </c>
      <c r="W272">
        <v>6</v>
      </c>
      <c r="X272">
        <v>14</v>
      </c>
      <c r="Z272">
        <v>6</v>
      </c>
      <c r="AA272">
        <v>14</v>
      </c>
      <c r="AC272">
        <v>0</v>
      </c>
      <c r="AD272">
        <v>1</v>
      </c>
      <c r="AE272">
        <v>0</v>
      </c>
      <c r="AF272">
        <v>0</v>
      </c>
      <c r="AG272">
        <v>0</v>
      </c>
      <c r="AH272">
        <v>0</v>
      </c>
      <c r="AJ272">
        <v>2</v>
      </c>
      <c r="AL272">
        <v>2</v>
      </c>
      <c r="AN272">
        <v>1</v>
      </c>
      <c r="AO272">
        <v>1</v>
      </c>
      <c r="AP272">
        <v>4</v>
      </c>
      <c r="AQ272">
        <v>1</v>
      </c>
      <c r="AR272">
        <v>4</v>
      </c>
      <c r="AS272">
        <v>1</v>
      </c>
      <c r="AT272">
        <v>1</v>
      </c>
      <c r="AU272">
        <v>2</v>
      </c>
      <c r="BC272">
        <v>0</v>
      </c>
      <c r="BD272">
        <v>0</v>
      </c>
      <c r="BE272">
        <v>0</v>
      </c>
      <c r="BF272">
        <v>0</v>
      </c>
      <c r="BG272">
        <v>0</v>
      </c>
      <c r="BH272">
        <v>0</v>
      </c>
      <c r="BI272">
        <v>0</v>
      </c>
      <c r="BJ272">
        <v>0</v>
      </c>
      <c r="BK272">
        <v>0</v>
      </c>
      <c r="BL272">
        <v>0</v>
      </c>
      <c r="BM272">
        <v>0</v>
      </c>
      <c r="BN272">
        <v>0</v>
      </c>
      <c r="BO272">
        <v>0</v>
      </c>
      <c r="BP272">
        <v>0</v>
      </c>
      <c r="BQ272">
        <v>0</v>
      </c>
      <c r="BR272">
        <v>1</v>
      </c>
      <c r="BS272">
        <v>0</v>
      </c>
      <c r="BU272">
        <v>16</v>
      </c>
      <c r="BV272">
        <v>4</v>
      </c>
      <c r="BX272">
        <v>5</v>
      </c>
      <c r="BY272">
        <v>5</v>
      </c>
      <c r="DI272">
        <v>0</v>
      </c>
      <c r="DJ272">
        <v>0</v>
      </c>
      <c r="DK272">
        <v>0</v>
      </c>
      <c r="DL272">
        <v>0</v>
      </c>
      <c r="DM272">
        <v>0</v>
      </c>
      <c r="DN272">
        <v>0</v>
      </c>
      <c r="DO272">
        <v>0</v>
      </c>
      <c r="DP272">
        <v>0</v>
      </c>
      <c r="DQ272">
        <v>1</v>
      </c>
      <c r="DR272">
        <v>0</v>
      </c>
      <c r="DS272" t="s">
        <v>1288</v>
      </c>
      <c r="DT272">
        <v>0</v>
      </c>
      <c r="DU272">
        <v>1</v>
      </c>
      <c r="DV272">
        <v>0</v>
      </c>
      <c r="DW272">
        <v>1</v>
      </c>
      <c r="DX272">
        <v>0</v>
      </c>
      <c r="DY272">
        <v>0</v>
      </c>
      <c r="DZ272">
        <v>0</v>
      </c>
      <c r="EA272">
        <v>0</v>
      </c>
      <c r="EB272">
        <v>0</v>
      </c>
      <c r="EC272">
        <v>0</v>
      </c>
      <c r="ED272">
        <v>1</v>
      </c>
      <c r="EE272">
        <v>0</v>
      </c>
      <c r="EF272">
        <v>0</v>
      </c>
      <c r="EI272" t="s">
        <v>760</v>
      </c>
      <c r="EJ272">
        <v>1</v>
      </c>
      <c r="EK272">
        <v>0</v>
      </c>
      <c r="EL272">
        <v>0</v>
      </c>
      <c r="EM272">
        <v>0</v>
      </c>
      <c r="EN272">
        <v>0</v>
      </c>
      <c r="EO272">
        <v>0</v>
      </c>
      <c r="EP272">
        <v>0</v>
      </c>
      <c r="EQ272">
        <v>0</v>
      </c>
      <c r="ER272">
        <v>0</v>
      </c>
      <c r="ES272">
        <v>0</v>
      </c>
      <c r="ET272">
        <v>0</v>
      </c>
      <c r="EU272">
        <v>0</v>
      </c>
      <c r="EV272">
        <v>0</v>
      </c>
      <c r="EW272">
        <v>0</v>
      </c>
      <c r="EX272">
        <v>0</v>
      </c>
      <c r="EY272">
        <v>0</v>
      </c>
      <c r="EZ272">
        <v>0</v>
      </c>
      <c r="FA272">
        <v>0</v>
      </c>
      <c r="FB272">
        <v>0</v>
      </c>
      <c r="FC272">
        <v>0</v>
      </c>
      <c r="FD272">
        <v>0</v>
      </c>
      <c r="FE272">
        <v>0</v>
      </c>
      <c r="IG272">
        <v>0</v>
      </c>
      <c r="IH272">
        <v>0</v>
      </c>
      <c r="II272">
        <v>0</v>
      </c>
      <c r="IJ272">
        <v>0</v>
      </c>
      <c r="IK272">
        <v>0</v>
      </c>
      <c r="IL272">
        <v>0</v>
      </c>
      <c r="IM272">
        <v>0</v>
      </c>
      <c r="IN272">
        <v>0</v>
      </c>
      <c r="IO272">
        <v>0</v>
      </c>
      <c r="IP272">
        <v>1</v>
      </c>
      <c r="IQ272">
        <v>0</v>
      </c>
      <c r="IR272" t="s">
        <v>1289</v>
      </c>
      <c r="IS272">
        <v>2</v>
      </c>
    </row>
    <row r="273" spans="1:258" x14ac:dyDescent="0.35">
      <c r="A273">
        <v>276979</v>
      </c>
      <c r="C273">
        <v>1</v>
      </c>
      <c r="D273" t="s">
        <v>1290</v>
      </c>
      <c r="E273" t="s">
        <v>1291</v>
      </c>
      <c r="F273" t="s">
        <v>1274</v>
      </c>
      <c r="G273">
        <v>6</v>
      </c>
      <c r="I273">
        <v>0</v>
      </c>
      <c r="J273">
        <v>0</v>
      </c>
      <c r="K273">
        <v>0</v>
      </c>
      <c r="L273">
        <v>1</v>
      </c>
      <c r="M273">
        <v>0</v>
      </c>
      <c r="N273">
        <v>0</v>
      </c>
      <c r="O273">
        <v>1</v>
      </c>
      <c r="P273">
        <v>0</v>
      </c>
      <c r="Q273">
        <v>0</v>
      </c>
      <c r="R273">
        <v>1</v>
      </c>
      <c r="T273">
        <v>1</v>
      </c>
      <c r="U273">
        <v>1</v>
      </c>
      <c r="V273">
        <v>0</v>
      </c>
      <c r="W273">
        <v>10</v>
      </c>
      <c r="X273">
        <v>65</v>
      </c>
      <c r="Z273">
        <v>10</v>
      </c>
      <c r="AA273">
        <v>65</v>
      </c>
      <c r="AC273">
        <v>1</v>
      </c>
      <c r="AD273">
        <v>1</v>
      </c>
      <c r="AE273">
        <v>0</v>
      </c>
      <c r="AF273">
        <v>1</v>
      </c>
      <c r="AG273">
        <v>0</v>
      </c>
      <c r="AH273">
        <v>0</v>
      </c>
      <c r="AJ273">
        <v>1</v>
      </c>
      <c r="AL273">
        <v>1</v>
      </c>
      <c r="AN273">
        <v>1</v>
      </c>
      <c r="AO273">
        <v>1</v>
      </c>
      <c r="AP273">
        <v>3</v>
      </c>
      <c r="AQ273">
        <v>1</v>
      </c>
      <c r="AR273">
        <v>4</v>
      </c>
      <c r="AS273">
        <v>1</v>
      </c>
      <c r="AT273">
        <v>1</v>
      </c>
      <c r="AU273">
        <v>1</v>
      </c>
      <c r="AV273">
        <v>1</v>
      </c>
      <c r="AW273">
        <v>1</v>
      </c>
      <c r="AX273">
        <v>1</v>
      </c>
      <c r="AY273">
        <v>1</v>
      </c>
      <c r="AZ273">
        <v>1</v>
      </c>
      <c r="BA273">
        <v>0</v>
      </c>
      <c r="BC273">
        <v>0</v>
      </c>
      <c r="BD273">
        <v>0</v>
      </c>
      <c r="BE273">
        <v>1</v>
      </c>
      <c r="BF273">
        <v>1</v>
      </c>
      <c r="BG273">
        <v>1</v>
      </c>
      <c r="BH273">
        <v>0</v>
      </c>
      <c r="BI273">
        <v>0</v>
      </c>
      <c r="BJ273">
        <v>0</v>
      </c>
      <c r="BK273">
        <v>1</v>
      </c>
      <c r="BL273">
        <v>0</v>
      </c>
      <c r="BM273">
        <v>0</v>
      </c>
      <c r="BN273">
        <v>0</v>
      </c>
      <c r="BO273">
        <v>0</v>
      </c>
      <c r="BP273">
        <v>1</v>
      </c>
      <c r="BQ273">
        <v>0</v>
      </c>
      <c r="BR273">
        <v>0</v>
      </c>
      <c r="BS273">
        <v>0</v>
      </c>
      <c r="BU273">
        <v>3</v>
      </c>
      <c r="BV273">
        <v>3</v>
      </c>
    </row>
    <row r="274" spans="1:258" x14ac:dyDescent="0.35">
      <c r="A274">
        <v>396984</v>
      </c>
      <c r="C274">
        <v>1</v>
      </c>
      <c r="D274" t="s">
        <v>1292</v>
      </c>
      <c r="E274" t="s">
        <v>1293</v>
      </c>
      <c r="F274" t="s">
        <v>1294</v>
      </c>
      <c r="G274">
        <v>3</v>
      </c>
      <c r="I274">
        <v>0</v>
      </c>
      <c r="J274">
        <v>0</v>
      </c>
      <c r="K274">
        <v>1</v>
      </c>
      <c r="L274">
        <v>0</v>
      </c>
      <c r="M274">
        <v>0</v>
      </c>
      <c r="N274">
        <v>0</v>
      </c>
      <c r="O274">
        <v>0</v>
      </c>
      <c r="P274">
        <v>0</v>
      </c>
      <c r="Q274">
        <v>0</v>
      </c>
      <c r="R274">
        <v>1</v>
      </c>
      <c r="T274">
        <v>0</v>
      </c>
      <c r="U274">
        <v>1</v>
      </c>
      <c r="V274">
        <v>1</v>
      </c>
      <c r="X274">
        <v>52</v>
      </c>
      <c r="Y274">
        <v>5</v>
      </c>
      <c r="AA274">
        <v>52</v>
      </c>
      <c r="AB274">
        <v>5</v>
      </c>
      <c r="AC274">
        <v>1</v>
      </c>
      <c r="AD274">
        <v>1</v>
      </c>
      <c r="AE274">
        <v>0</v>
      </c>
      <c r="AF274">
        <v>0</v>
      </c>
      <c r="AG274">
        <v>0</v>
      </c>
      <c r="AH274">
        <v>0</v>
      </c>
      <c r="AJ274">
        <v>1</v>
      </c>
      <c r="AL274">
        <v>1</v>
      </c>
      <c r="AN274">
        <v>1</v>
      </c>
      <c r="AO274">
        <v>1</v>
      </c>
      <c r="AP274">
        <v>1</v>
      </c>
      <c r="AQ274">
        <v>2</v>
      </c>
      <c r="AS274">
        <v>2</v>
      </c>
      <c r="AT274">
        <v>1</v>
      </c>
      <c r="AU274">
        <v>1</v>
      </c>
      <c r="AV274">
        <v>1</v>
      </c>
      <c r="AW274">
        <v>0</v>
      </c>
      <c r="AX274">
        <v>0</v>
      </c>
      <c r="AY274">
        <v>0</v>
      </c>
      <c r="AZ274">
        <v>0</v>
      </c>
      <c r="BA274">
        <v>0</v>
      </c>
      <c r="BC274">
        <v>0</v>
      </c>
      <c r="BD274">
        <v>0</v>
      </c>
      <c r="BE274">
        <v>0</v>
      </c>
      <c r="BF274">
        <v>0</v>
      </c>
      <c r="BG274">
        <v>0</v>
      </c>
      <c r="BH274">
        <v>1</v>
      </c>
      <c r="BI274">
        <v>0</v>
      </c>
      <c r="BJ274">
        <v>0</v>
      </c>
      <c r="BK274">
        <v>0</v>
      </c>
      <c r="BL274">
        <v>0</v>
      </c>
      <c r="BM274">
        <v>0</v>
      </c>
      <c r="BN274">
        <v>0</v>
      </c>
      <c r="BO274">
        <v>0</v>
      </c>
      <c r="BP274">
        <v>0</v>
      </c>
      <c r="BQ274">
        <v>0</v>
      </c>
      <c r="BR274">
        <v>0</v>
      </c>
      <c r="BS274">
        <v>0</v>
      </c>
      <c r="BU274">
        <v>6</v>
      </c>
      <c r="BV274">
        <v>4</v>
      </c>
      <c r="BX274">
        <v>4</v>
      </c>
      <c r="BY274">
        <v>4</v>
      </c>
      <c r="DI274">
        <v>0</v>
      </c>
      <c r="DJ274">
        <v>0</v>
      </c>
      <c r="DK274">
        <v>1</v>
      </c>
      <c r="DL274">
        <v>0</v>
      </c>
      <c r="DM274">
        <v>0</v>
      </c>
      <c r="DN274">
        <v>0</v>
      </c>
      <c r="DO274">
        <v>0</v>
      </c>
      <c r="DP274">
        <v>1</v>
      </c>
      <c r="DQ274">
        <v>1</v>
      </c>
      <c r="DR274">
        <v>0</v>
      </c>
      <c r="DS274" t="s">
        <v>374</v>
      </c>
      <c r="DT274">
        <v>0</v>
      </c>
      <c r="DU274">
        <v>1</v>
      </c>
      <c r="DV274">
        <v>0</v>
      </c>
      <c r="DW274">
        <v>0</v>
      </c>
      <c r="DX274">
        <v>1</v>
      </c>
      <c r="DY274">
        <v>0</v>
      </c>
      <c r="DZ274">
        <v>1</v>
      </c>
      <c r="EA274">
        <v>0</v>
      </c>
      <c r="EB274">
        <v>0</v>
      </c>
      <c r="EC274">
        <v>1</v>
      </c>
      <c r="ED274">
        <v>1</v>
      </c>
      <c r="EE274">
        <v>0</v>
      </c>
      <c r="EF274">
        <v>0</v>
      </c>
      <c r="EI274" t="s">
        <v>1295</v>
      </c>
      <c r="EJ274">
        <v>0</v>
      </c>
      <c r="EK274">
        <v>0</v>
      </c>
      <c r="EL274">
        <v>0</v>
      </c>
      <c r="EM274">
        <v>0</v>
      </c>
      <c r="EN274">
        <v>0</v>
      </c>
      <c r="EO274">
        <v>0</v>
      </c>
      <c r="EP274">
        <v>0</v>
      </c>
      <c r="EQ274">
        <v>0</v>
      </c>
      <c r="ER274">
        <v>0</v>
      </c>
      <c r="ES274">
        <v>0</v>
      </c>
      <c r="ET274">
        <v>0</v>
      </c>
      <c r="EU274">
        <v>0</v>
      </c>
      <c r="EV274">
        <v>0</v>
      </c>
      <c r="EW274">
        <v>0</v>
      </c>
      <c r="EX274">
        <v>0</v>
      </c>
      <c r="EY274">
        <v>1</v>
      </c>
      <c r="EZ274">
        <v>0</v>
      </c>
      <c r="FA274">
        <v>0</v>
      </c>
      <c r="FB274">
        <v>0</v>
      </c>
      <c r="FC274">
        <v>0</v>
      </c>
      <c r="FD274">
        <v>0</v>
      </c>
      <c r="FE274">
        <v>0</v>
      </c>
      <c r="FZ274" t="s">
        <v>1296</v>
      </c>
      <c r="GA274">
        <v>0</v>
      </c>
      <c r="GB274">
        <v>0</v>
      </c>
      <c r="GC274">
        <v>0</v>
      </c>
      <c r="GD274">
        <v>0</v>
      </c>
      <c r="GE274">
        <v>0</v>
      </c>
      <c r="GF274">
        <v>0</v>
      </c>
      <c r="GG274">
        <v>0</v>
      </c>
      <c r="GH274">
        <v>1</v>
      </c>
      <c r="GI274">
        <v>0</v>
      </c>
      <c r="GJ274" t="s">
        <v>1297</v>
      </c>
      <c r="GK274">
        <v>0</v>
      </c>
      <c r="GL274">
        <v>0</v>
      </c>
      <c r="GM274">
        <v>0</v>
      </c>
      <c r="GN274">
        <v>0</v>
      </c>
      <c r="GO274">
        <v>0</v>
      </c>
      <c r="GP274">
        <v>0</v>
      </c>
      <c r="GQ274">
        <v>0</v>
      </c>
      <c r="GR274">
        <v>0</v>
      </c>
      <c r="GS274">
        <v>0</v>
      </c>
      <c r="GT274">
        <v>0</v>
      </c>
      <c r="GU274">
        <v>0</v>
      </c>
      <c r="GV274">
        <v>0</v>
      </c>
      <c r="GW274">
        <v>0</v>
      </c>
      <c r="GX274">
        <v>0</v>
      </c>
      <c r="GY274">
        <v>0</v>
      </c>
      <c r="GZ274">
        <v>0</v>
      </c>
      <c r="HA274">
        <v>0</v>
      </c>
      <c r="HB274">
        <v>0</v>
      </c>
      <c r="HC274">
        <v>1</v>
      </c>
      <c r="HD274">
        <v>0</v>
      </c>
      <c r="HE274">
        <v>0</v>
      </c>
      <c r="HF274">
        <v>0</v>
      </c>
      <c r="HG274">
        <v>0</v>
      </c>
      <c r="HH274">
        <v>0</v>
      </c>
      <c r="HI274">
        <v>0</v>
      </c>
      <c r="HJ274">
        <v>0</v>
      </c>
      <c r="HK274">
        <v>0</v>
      </c>
      <c r="HL274">
        <v>0</v>
      </c>
      <c r="HM274">
        <v>0</v>
      </c>
      <c r="HN274">
        <v>0</v>
      </c>
      <c r="HO274">
        <v>0</v>
      </c>
      <c r="HP274">
        <v>0</v>
      </c>
      <c r="HQ274">
        <v>0</v>
      </c>
      <c r="HR274">
        <v>0</v>
      </c>
      <c r="HS274">
        <v>0</v>
      </c>
      <c r="HT274">
        <v>0</v>
      </c>
      <c r="HU274">
        <v>0</v>
      </c>
      <c r="HV274">
        <v>0</v>
      </c>
      <c r="HW274">
        <v>0</v>
      </c>
      <c r="HX274">
        <v>0</v>
      </c>
      <c r="HY274">
        <v>1</v>
      </c>
      <c r="HZ274">
        <v>0</v>
      </c>
      <c r="IA274">
        <v>0</v>
      </c>
      <c r="IB274">
        <v>0</v>
      </c>
      <c r="IC274">
        <v>0</v>
      </c>
      <c r="ID274">
        <v>0</v>
      </c>
      <c r="IG274">
        <v>1</v>
      </c>
      <c r="IH274">
        <v>0</v>
      </c>
      <c r="II274">
        <v>1</v>
      </c>
      <c r="IJ274">
        <v>0</v>
      </c>
      <c r="IK274">
        <v>0</v>
      </c>
      <c r="IL274">
        <v>0</v>
      </c>
      <c r="IM274">
        <v>0</v>
      </c>
      <c r="IN274">
        <v>0</v>
      </c>
      <c r="IO274">
        <v>0</v>
      </c>
      <c r="IP274">
        <v>0</v>
      </c>
      <c r="IQ274">
        <v>0</v>
      </c>
      <c r="IS274">
        <v>1</v>
      </c>
      <c r="IT274">
        <v>1</v>
      </c>
      <c r="IU274">
        <v>1</v>
      </c>
      <c r="IV274">
        <v>0</v>
      </c>
      <c r="IW274">
        <v>0</v>
      </c>
    </row>
    <row r="275" spans="1:258" x14ac:dyDescent="0.35">
      <c r="A275">
        <v>370223</v>
      </c>
      <c r="C275">
        <v>1</v>
      </c>
      <c r="D275" t="s">
        <v>1298</v>
      </c>
      <c r="E275" t="s">
        <v>1299</v>
      </c>
      <c r="F275" t="s">
        <v>1300</v>
      </c>
      <c r="G275">
        <v>6</v>
      </c>
      <c r="I275">
        <v>1</v>
      </c>
      <c r="J275">
        <v>0</v>
      </c>
      <c r="K275">
        <v>1</v>
      </c>
      <c r="L275">
        <v>0</v>
      </c>
      <c r="M275">
        <v>1</v>
      </c>
      <c r="N275">
        <v>1</v>
      </c>
      <c r="O275">
        <v>0</v>
      </c>
      <c r="P275">
        <v>1</v>
      </c>
      <c r="Q275">
        <v>0</v>
      </c>
      <c r="R275">
        <v>1</v>
      </c>
      <c r="T275">
        <v>1</v>
      </c>
      <c r="U275">
        <v>1</v>
      </c>
      <c r="V275">
        <v>1</v>
      </c>
      <c r="W275">
        <v>5</v>
      </c>
      <c r="X275">
        <v>3</v>
      </c>
      <c r="Y275">
        <v>28</v>
      </c>
      <c r="Z275">
        <v>5</v>
      </c>
      <c r="AA275">
        <v>3</v>
      </c>
      <c r="AB275">
        <v>28</v>
      </c>
      <c r="AC275">
        <v>1</v>
      </c>
      <c r="AD275">
        <v>1</v>
      </c>
      <c r="AE275">
        <v>0</v>
      </c>
      <c r="AF275">
        <v>0</v>
      </c>
      <c r="AG275">
        <v>0</v>
      </c>
      <c r="AH275">
        <v>0</v>
      </c>
      <c r="AJ275">
        <v>1</v>
      </c>
      <c r="AL275">
        <v>1</v>
      </c>
      <c r="AN275">
        <v>1</v>
      </c>
      <c r="AO275">
        <v>1</v>
      </c>
      <c r="AP275">
        <v>4</v>
      </c>
      <c r="AQ275">
        <v>1</v>
      </c>
      <c r="AR275">
        <v>5</v>
      </c>
      <c r="AS275">
        <v>2</v>
      </c>
      <c r="AT275">
        <v>1</v>
      </c>
      <c r="AU275">
        <v>1</v>
      </c>
      <c r="AV275">
        <v>0</v>
      </c>
      <c r="AW275">
        <v>0</v>
      </c>
      <c r="AX275">
        <v>0</v>
      </c>
      <c r="AY275">
        <v>0</v>
      </c>
      <c r="AZ275">
        <v>0</v>
      </c>
      <c r="BA275">
        <v>1</v>
      </c>
      <c r="BB275" t="s">
        <v>1301</v>
      </c>
      <c r="BC275">
        <v>0</v>
      </c>
      <c r="BD275">
        <v>0</v>
      </c>
      <c r="BE275">
        <v>1</v>
      </c>
      <c r="BF275">
        <v>1</v>
      </c>
      <c r="BG275">
        <v>0</v>
      </c>
      <c r="BH275">
        <v>1</v>
      </c>
      <c r="BI275">
        <v>0</v>
      </c>
      <c r="BJ275">
        <v>0</v>
      </c>
      <c r="BK275">
        <v>1</v>
      </c>
      <c r="BL275">
        <v>0</v>
      </c>
      <c r="BM275">
        <v>0</v>
      </c>
      <c r="BN275">
        <v>0</v>
      </c>
      <c r="BO275">
        <v>0</v>
      </c>
      <c r="BP275">
        <v>0</v>
      </c>
      <c r="BQ275">
        <v>0</v>
      </c>
      <c r="BR275">
        <v>0</v>
      </c>
      <c r="BS275">
        <v>0</v>
      </c>
      <c r="BU275">
        <v>8</v>
      </c>
      <c r="BV275">
        <v>4</v>
      </c>
      <c r="BX275">
        <v>4</v>
      </c>
      <c r="BY275">
        <v>2</v>
      </c>
      <c r="DI275">
        <v>0</v>
      </c>
      <c r="DJ275">
        <v>0</v>
      </c>
      <c r="DK275">
        <v>1</v>
      </c>
      <c r="DL275">
        <v>0</v>
      </c>
      <c r="DM275">
        <v>0</v>
      </c>
      <c r="DN275">
        <v>0</v>
      </c>
      <c r="DO275">
        <v>0</v>
      </c>
      <c r="DP275">
        <v>0</v>
      </c>
      <c r="DQ275">
        <v>0</v>
      </c>
      <c r="DR275">
        <v>0</v>
      </c>
      <c r="DT275">
        <v>0</v>
      </c>
      <c r="DU275">
        <v>1</v>
      </c>
      <c r="DV275">
        <v>0</v>
      </c>
      <c r="DW275">
        <v>0</v>
      </c>
      <c r="DX275">
        <v>0</v>
      </c>
      <c r="DY275">
        <v>0</v>
      </c>
      <c r="DZ275">
        <v>0</v>
      </c>
      <c r="EA275">
        <v>1</v>
      </c>
      <c r="EB275">
        <v>1</v>
      </c>
      <c r="EC275">
        <v>0</v>
      </c>
      <c r="ED275">
        <v>1</v>
      </c>
      <c r="EE275">
        <v>0</v>
      </c>
      <c r="EF275">
        <v>0</v>
      </c>
      <c r="EI275" t="s">
        <v>274</v>
      </c>
      <c r="EJ275">
        <v>1</v>
      </c>
      <c r="EK275">
        <v>0</v>
      </c>
      <c r="EL275">
        <v>0</v>
      </c>
      <c r="EM275">
        <v>0</v>
      </c>
      <c r="EN275">
        <v>0</v>
      </c>
      <c r="EO275">
        <v>0</v>
      </c>
      <c r="EP275">
        <v>0</v>
      </c>
      <c r="EQ275">
        <v>0</v>
      </c>
      <c r="ER275">
        <v>0</v>
      </c>
      <c r="ES275">
        <v>0</v>
      </c>
      <c r="ET275">
        <v>0</v>
      </c>
      <c r="EU275">
        <v>0</v>
      </c>
      <c r="EV275">
        <v>0</v>
      </c>
      <c r="EW275">
        <v>0</v>
      </c>
      <c r="EX275">
        <v>0</v>
      </c>
      <c r="EY275">
        <v>0</v>
      </c>
      <c r="EZ275">
        <v>0</v>
      </c>
      <c r="FA275">
        <v>0</v>
      </c>
      <c r="FB275">
        <v>0</v>
      </c>
      <c r="FC275">
        <v>0</v>
      </c>
      <c r="FD275">
        <v>0</v>
      </c>
      <c r="FE275">
        <v>0</v>
      </c>
      <c r="IG275">
        <v>1</v>
      </c>
      <c r="IH275">
        <v>0</v>
      </c>
      <c r="II275">
        <v>0</v>
      </c>
      <c r="IJ275">
        <v>0</v>
      </c>
      <c r="IK275">
        <v>0</v>
      </c>
      <c r="IL275">
        <v>0</v>
      </c>
      <c r="IM275">
        <v>0</v>
      </c>
      <c r="IN275">
        <v>0</v>
      </c>
      <c r="IO275">
        <v>0</v>
      </c>
      <c r="IP275">
        <v>0</v>
      </c>
      <c r="IQ275">
        <v>0</v>
      </c>
      <c r="IS275">
        <v>2</v>
      </c>
    </row>
    <row r="276" spans="1:258" x14ac:dyDescent="0.35">
      <c r="A276">
        <v>370133</v>
      </c>
      <c r="C276">
        <v>1</v>
      </c>
      <c r="D276" s="2" t="s">
        <v>1302</v>
      </c>
      <c r="E276" s="2" t="s">
        <v>1303</v>
      </c>
      <c r="F276" s="2" t="s">
        <v>1304</v>
      </c>
      <c r="G276">
        <v>3</v>
      </c>
      <c r="I276">
        <v>0</v>
      </c>
      <c r="J276">
        <v>0</v>
      </c>
      <c r="K276">
        <v>1</v>
      </c>
      <c r="L276">
        <v>0</v>
      </c>
      <c r="M276">
        <v>0</v>
      </c>
      <c r="N276">
        <v>0</v>
      </c>
      <c r="O276">
        <v>0</v>
      </c>
      <c r="P276">
        <v>0</v>
      </c>
      <c r="Q276">
        <v>0</v>
      </c>
      <c r="R276">
        <v>1</v>
      </c>
      <c r="T276">
        <v>1</v>
      </c>
      <c r="U276">
        <v>1</v>
      </c>
      <c r="V276">
        <v>0</v>
      </c>
      <c r="W276">
        <v>10</v>
      </c>
      <c r="X276">
        <v>26</v>
      </c>
      <c r="Z276">
        <v>10</v>
      </c>
      <c r="AA276">
        <v>26</v>
      </c>
      <c r="AC276">
        <v>1</v>
      </c>
      <c r="AD276">
        <v>1</v>
      </c>
      <c r="AE276">
        <v>0</v>
      </c>
      <c r="AF276">
        <v>0</v>
      </c>
      <c r="AG276">
        <v>0</v>
      </c>
      <c r="AH276">
        <v>0</v>
      </c>
      <c r="AJ276">
        <v>1</v>
      </c>
      <c r="AL276">
        <v>1</v>
      </c>
      <c r="AN276">
        <v>1</v>
      </c>
      <c r="AO276">
        <v>1</v>
      </c>
      <c r="AP276">
        <v>1</v>
      </c>
      <c r="AQ276">
        <v>2</v>
      </c>
      <c r="AS276">
        <v>2</v>
      </c>
    </row>
    <row r="277" spans="1:258" x14ac:dyDescent="0.35">
      <c r="A277">
        <v>379843</v>
      </c>
      <c r="C277">
        <v>1</v>
      </c>
      <c r="D277" s="1" t="s">
        <v>1305</v>
      </c>
      <c r="E277" s="1" t="s">
        <v>1306</v>
      </c>
      <c r="F277" s="1" t="s">
        <v>1307</v>
      </c>
      <c r="G277">
        <v>3</v>
      </c>
      <c r="I277">
        <v>0</v>
      </c>
      <c r="J277">
        <v>0</v>
      </c>
      <c r="K277">
        <v>1</v>
      </c>
      <c r="L277">
        <v>0</v>
      </c>
      <c r="M277">
        <v>0</v>
      </c>
      <c r="N277">
        <v>0</v>
      </c>
      <c r="O277">
        <v>0</v>
      </c>
      <c r="P277">
        <v>0</v>
      </c>
      <c r="Q277">
        <v>0</v>
      </c>
      <c r="R277">
        <v>1</v>
      </c>
      <c r="T277">
        <v>0</v>
      </c>
      <c r="U277">
        <v>1</v>
      </c>
      <c r="V277">
        <v>0</v>
      </c>
      <c r="X277">
        <v>100</v>
      </c>
      <c r="AA277">
        <v>100</v>
      </c>
      <c r="AC277">
        <v>1</v>
      </c>
      <c r="AD277">
        <v>0</v>
      </c>
      <c r="AE277">
        <v>0</v>
      </c>
      <c r="AF277">
        <v>0</v>
      </c>
      <c r="AG277">
        <v>0</v>
      </c>
      <c r="AH277">
        <v>0</v>
      </c>
      <c r="AJ277">
        <v>1</v>
      </c>
      <c r="AL277">
        <v>1</v>
      </c>
      <c r="AN277">
        <v>1</v>
      </c>
      <c r="AO277">
        <v>1</v>
      </c>
      <c r="AP277">
        <v>4</v>
      </c>
      <c r="AQ277">
        <v>2</v>
      </c>
      <c r="AS277">
        <v>2</v>
      </c>
      <c r="AT277">
        <v>1</v>
      </c>
      <c r="AU277">
        <v>2</v>
      </c>
      <c r="BC277">
        <v>1</v>
      </c>
      <c r="BD277">
        <v>0</v>
      </c>
      <c r="BE277">
        <v>1</v>
      </c>
      <c r="BF277">
        <v>1</v>
      </c>
      <c r="BG277">
        <v>1</v>
      </c>
      <c r="BH277">
        <v>0</v>
      </c>
      <c r="BI277">
        <v>0</v>
      </c>
      <c r="BJ277">
        <v>0</v>
      </c>
      <c r="BK277">
        <v>1</v>
      </c>
      <c r="BL277">
        <v>0</v>
      </c>
      <c r="BM277">
        <v>1</v>
      </c>
      <c r="BN277">
        <v>1</v>
      </c>
      <c r="BO277">
        <v>0</v>
      </c>
      <c r="BP277">
        <v>1</v>
      </c>
      <c r="BQ277">
        <v>0</v>
      </c>
      <c r="BR277">
        <v>1</v>
      </c>
      <c r="BS277">
        <v>0</v>
      </c>
      <c r="BU277">
        <v>16</v>
      </c>
      <c r="BV277">
        <v>4</v>
      </c>
      <c r="BX277">
        <v>4</v>
      </c>
      <c r="BY277">
        <v>4</v>
      </c>
      <c r="DI277">
        <v>0</v>
      </c>
      <c r="DJ277">
        <v>0</v>
      </c>
      <c r="DK277">
        <v>1</v>
      </c>
      <c r="DL277">
        <v>1</v>
      </c>
      <c r="DM277">
        <v>0</v>
      </c>
      <c r="DN277">
        <v>1</v>
      </c>
      <c r="DO277">
        <v>0</v>
      </c>
      <c r="DP277">
        <v>0</v>
      </c>
      <c r="DQ277">
        <v>1</v>
      </c>
      <c r="DR277">
        <v>0</v>
      </c>
      <c r="DS277" t="s">
        <v>1308</v>
      </c>
      <c r="DT277">
        <v>0</v>
      </c>
      <c r="DU277">
        <v>1</v>
      </c>
      <c r="DV277">
        <v>0</v>
      </c>
      <c r="DW277">
        <v>0</v>
      </c>
      <c r="DX277">
        <v>0</v>
      </c>
      <c r="DY277">
        <v>0</v>
      </c>
      <c r="DZ277">
        <v>0</v>
      </c>
      <c r="EA277">
        <v>0</v>
      </c>
      <c r="EB277">
        <v>0</v>
      </c>
      <c r="EC277">
        <v>1</v>
      </c>
      <c r="ED277">
        <v>1</v>
      </c>
      <c r="EE277">
        <v>0</v>
      </c>
      <c r="EF277">
        <v>0</v>
      </c>
      <c r="EI277" t="s">
        <v>1309</v>
      </c>
      <c r="EJ277">
        <v>0</v>
      </c>
      <c r="EK277">
        <v>1</v>
      </c>
      <c r="EL277">
        <v>0</v>
      </c>
      <c r="EM277">
        <v>0</v>
      </c>
      <c r="EN277">
        <v>0</v>
      </c>
      <c r="EO277">
        <v>0</v>
      </c>
      <c r="EP277">
        <v>0</v>
      </c>
      <c r="EQ277">
        <v>0</v>
      </c>
      <c r="ER277">
        <v>0</v>
      </c>
      <c r="ES277">
        <v>0</v>
      </c>
      <c r="ET277">
        <v>0</v>
      </c>
      <c r="EU277">
        <v>0</v>
      </c>
      <c r="EV277">
        <v>0</v>
      </c>
      <c r="EW277">
        <v>1</v>
      </c>
      <c r="EX277">
        <v>0</v>
      </c>
      <c r="EY277">
        <v>0</v>
      </c>
      <c r="EZ277">
        <v>0</v>
      </c>
      <c r="FA277">
        <v>0</v>
      </c>
      <c r="FB277">
        <v>0</v>
      </c>
      <c r="FC277">
        <v>0</v>
      </c>
      <c r="FD277">
        <v>0</v>
      </c>
      <c r="FE277">
        <v>0</v>
      </c>
      <c r="GJ277" t="s">
        <v>1310</v>
      </c>
      <c r="GK277">
        <v>0</v>
      </c>
      <c r="GL277">
        <v>0</v>
      </c>
      <c r="GM277">
        <v>0</v>
      </c>
      <c r="GN277">
        <v>0</v>
      </c>
      <c r="GO277">
        <v>0</v>
      </c>
      <c r="GP277">
        <v>1</v>
      </c>
      <c r="GQ277">
        <v>0</v>
      </c>
      <c r="GR277">
        <v>0</v>
      </c>
      <c r="GS277">
        <v>0</v>
      </c>
      <c r="GT277">
        <v>0</v>
      </c>
      <c r="GU277">
        <v>0</v>
      </c>
      <c r="GV277">
        <v>0</v>
      </c>
      <c r="GW277">
        <v>0</v>
      </c>
      <c r="GX277">
        <v>0</v>
      </c>
      <c r="GY277">
        <v>0</v>
      </c>
      <c r="GZ277">
        <v>0</v>
      </c>
      <c r="HA277">
        <v>0</v>
      </c>
      <c r="HB277">
        <v>0</v>
      </c>
      <c r="HC277">
        <v>0</v>
      </c>
      <c r="HD277">
        <v>0</v>
      </c>
      <c r="HE277">
        <v>0</v>
      </c>
      <c r="HF277">
        <v>0</v>
      </c>
      <c r="HG277">
        <v>0</v>
      </c>
      <c r="HH277">
        <v>0</v>
      </c>
      <c r="HI277">
        <v>0</v>
      </c>
      <c r="HJ277">
        <v>0</v>
      </c>
      <c r="HK277">
        <v>0</v>
      </c>
      <c r="HL277">
        <v>0</v>
      </c>
      <c r="HM277">
        <v>0</v>
      </c>
      <c r="HN277">
        <v>0</v>
      </c>
      <c r="HO277">
        <v>0</v>
      </c>
      <c r="HP277">
        <v>0</v>
      </c>
      <c r="HQ277">
        <v>1</v>
      </c>
      <c r="HR277">
        <v>0</v>
      </c>
      <c r="HS277">
        <v>0</v>
      </c>
      <c r="HT277">
        <v>0</v>
      </c>
      <c r="HU277">
        <v>0</v>
      </c>
      <c r="HV277">
        <v>0</v>
      </c>
      <c r="HW277">
        <v>0</v>
      </c>
      <c r="HX277">
        <v>0</v>
      </c>
      <c r="HY277">
        <v>0</v>
      </c>
      <c r="HZ277">
        <v>0</v>
      </c>
      <c r="IA277">
        <v>0</v>
      </c>
      <c r="IB277">
        <v>0</v>
      </c>
      <c r="IC277">
        <v>0</v>
      </c>
      <c r="ID277">
        <v>0</v>
      </c>
      <c r="IG277">
        <v>1</v>
      </c>
      <c r="IH277">
        <v>0</v>
      </c>
      <c r="II277">
        <v>1</v>
      </c>
      <c r="IJ277">
        <v>0</v>
      </c>
      <c r="IK277">
        <v>0</v>
      </c>
      <c r="IL277">
        <v>1</v>
      </c>
      <c r="IM277">
        <v>0</v>
      </c>
      <c r="IN277">
        <v>0</v>
      </c>
      <c r="IO277">
        <v>0</v>
      </c>
      <c r="IP277">
        <v>0</v>
      </c>
      <c r="IQ277">
        <v>0</v>
      </c>
      <c r="IS277">
        <v>2</v>
      </c>
    </row>
    <row r="278" spans="1:258" x14ac:dyDescent="0.35">
      <c r="A278">
        <v>400517</v>
      </c>
      <c r="C278">
        <v>1</v>
      </c>
      <c r="D278" s="1" t="s">
        <v>1311</v>
      </c>
      <c r="E278" s="1" t="s">
        <v>1312</v>
      </c>
      <c r="F278" s="1" t="s">
        <v>1313</v>
      </c>
      <c r="G278">
        <v>13</v>
      </c>
      <c r="I278">
        <v>0</v>
      </c>
      <c r="J278">
        <v>0</v>
      </c>
      <c r="K278">
        <v>0</v>
      </c>
      <c r="L278">
        <v>1</v>
      </c>
      <c r="M278">
        <v>0</v>
      </c>
      <c r="N278">
        <v>0</v>
      </c>
      <c r="O278">
        <v>0</v>
      </c>
      <c r="P278">
        <v>0</v>
      </c>
      <c r="Q278">
        <v>0</v>
      </c>
      <c r="R278">
        <v>1</v>
      </c>
      <c r="T278">
        <v>1</v>
      </c>
      <c r="U278">
        <v>1</v>
      </c>
      <c r="V278">
        <v>1</v>
      </c>
      <c r="W278">
        <v>8</v>
      </c>
      <c r="X278">
        <v>24</v>
      </c>
      <c r="Y278">
        <v>2</v>
      </c>
      <c r="Z278">
        <v>8</v>
      </c>
      <c r="AA278">
        <v>24</v>
      </c>
      <c r="AB278">
        <v>2</v>
      </c>
      <c r="AC278">
        <v>1</v>
      </c>
      <c r="AD278">
        <v>1</v>
      </c>
      <c r="AE278">
        <v>0</v>
      </c>
      <c r="AF278">
        <v>0</v>
      </c>
      <c r="AG278">
        <v>1</v>
      </c>
      <c r="AH278">
        <v>0</v>
      </c>
      <c r="AJ278">
        <v>1</v>
      </c>
      <c r="AL278">
        <v>1</v>
      </c>
      <c r="AN278">
        <v>1</v>
      </c>
      <c r="AO278">
        <v>1</v>
      </c>
      <c r="AP278">
        <v>2</v>
      </c>
      <c r="AQ278">
        <v>2</v>
      </c>
      <c r="AS278">
        <v>2</v>
      </c>
      <c r="AT278">
        <v>1</v>
      </c>
      <c r="BX278">
        <v>5</v>
      </c>
      <c r="BY278">
        <v>5</v>
      </c>
      <c r="BZ278">
        <v>0</v>
      </c>
      <c r="CA278">
        <v>0</v>
      </c>
      <c r="CB278">
        <v>1</v>
      </c>
      <c r="CC278">
        <v>0</v>
      </c>
      <c r="CD278">
        <v>0</v>
      </c>
      <c r="CE278">
        <v>0</v>
      </c>
      <c r="CF278">
        <v>0</v>
      </c>
      <c r="CG278">
        <v>0</v>
      </c>
      <c r="CH278">
        <v>0</v>
      </c>
      <c r="CI278">
        <v>1</v>
      </c>
      <c r="CJ278">
        <v>0</v>
      </c>
      <c r="CK278">
        <v>0</v>
      </c>
      <c r="CL278">
        <v>1</v>
      </c>
      <c r="CM278">
        <v>0</v>
      </c>
      <c r="CN278">
        <v>0</v>
      </c>
      <c r="CO278">
        <v>0</v>
      </c>
      <c r="CQ278" t="s">
        <v>1314</v>
      </c>
      <c r="CR278">
        <v>1</v>
      </c>
      <c r="CS278">
        <v>1</v>
      </c>
      <c r="CU278">
        <v>1</v>
      </c>
      <c r="CW278">
        <v>1</v>
      </c>
      <c r="CY278" t="s">
        <v>1315</v>
      </c>
      <c r="CZ278">
        <v>1</v>
      </c>
      <c r="DB278">
        <v>3</v>
      </c>
      <c r="DD278" t="s">
        <v>1316</v>
      </c>
      <c r="DE278">
        <v>3</v>
      </c>
      <c r="DF278" t="s">
        <v>1317</v>
      </c>
      <c r="DG278">
        <v>4</v>
      </c>
      <c r="DI278">
        <v>0</v>
      </c>
      <c r="DJ278">
        <v>0</v>
      </c>
      <c r="DK278">
        <v>1</v>
      </c>
      <c r="DL278">
        <v>1</v>
      </c>
      <c r="DM278">
        <v>0</v>
      </c>
      <c r="DN278">
        <v>1</v>
      </c>
      <c r="DO278">
        <v>0</v>
      </c>
      <c r="DP278">
        <v>0</v>
      </c>
      <c r="DQ278">
        <v>0</v>
      </c>
      <c r="DR278">
        <v>0</v>
      </c>
      <c r="DT278">
        <v>0</v>
      </c>
      <c r="DU278">
        <v>0</v>
      </c>
      <c r="DV278">
        <v>0</v>
      </c>
      <c r="DW278">
        <v>1</v>
      </c>
      <c r="DX278">
        <v>0</v>
      </c>
      <c r="DY278">
        <v>0</v>
      </c>
      <c r="DZ278">
        <v>0</v>
      </c>
      <c r="EA278">
        <v>1</v>
      </c>
      <c r="EB278">
        <v>0</v>
      </c>
      <c r="EC278">
        <v>1</v>
      </c>
      <c r="ED278">
        <v>1</v>
      </c>
      <c r="EE278">
        <v>0</v>
      </c>
      <c r="EF278">
        <v>0</v>
      </c>
      <c r="GJ278" t="s">
        <v>1318</v>
      </c>
      <c r="GK278">
        <v>0</v>
      </c>
      <c r="GL278">
        <v>0</v>
      </c>
      <c r="GM278">
        <v>0</v>
      </c>
      <c r="GN278">
        <v>0</v>
      </c>
      <c r="GO278">
        <v>0</v>
      </c>
      <c r="GP278">
        <v>0</v>
      </c>
      <c r="GQ278">
        <v>0</v>
      </c>
      <c r="GR278">
        <v>0</v>
      </c>
      <c r="GS278">
        <v>0</v>
      </c>
      <c r="GT278">
        <v>0</v>
      </c>
      <c r="GU278">
        <v>0</v>
      </c>
      <c r="GV278">
        <v>0</v>
      </c>
      <c r="GW278">
        <v>0</v>
      </c>
      <c r="GX278">
        <v>0</v>
      </c>
      <c r="GY278">
        <v>0</v>
      </c>
      <c r="GZ278">
        <v>0</v>
      </c>
      <c r="HA278">
        <v>0</v>
      </c>
      <c r="HB278">
        <v>0</v>
      </c>
      <c r="HC278">
        <v>0</v>
      </c>
      <c r="HD278">
        <v>0</v>
      </c>
      <c r="HE278">
        <v>0</v>
      </c>
      <c r="HF278">
        <v>0</v>
      </c>
      <c r="HG278">
        <v>0</v>
      </c>
      <c r="HH278">
        <v>0</v>
      </c>
      <c r="HI278">
        <v>0</v>
      </c>
      <c r="HJ278">
        <v>0</v>
      </c>
      <c r="HK278">
        <v>0</v>
      </c>
      <c r="HL278">
        <v>0</v>
      </c>
      <c r="HM278">
        <v>0</v>
      </c>
      <c r="HN278">
        <v>0</v>
      </c>
      <c r="HO278">
        <v>0</v>
      </c>
      <c r="HP278">
        <v>0</v>
      </c>
      <c r="HQ278">
        <v>0</v>
      </c>
      <c r="HR278">
        <v>0</v>
      </c>
      <c r="HS278">
        <v>0</v>
      </c>
      <c r="HT278">
        <v>0</v>
      </c>
      <c r="HU278">
        <v>0</v>
      </c>
      <c r="HV278">
        <v>0</v>
      </c>
      <c r="HW278">
        <v>0</v>
      </c>
      <c r="HX278">
        <v>0</v>
      </c>
      <c r="HY278">
        <v>0</v>
      </c>
      <c r="HZ278">
        <v>0</v>
      </c>
      <c r="IA278">
        <v>0</v>
      </c>
      <c r="IB278">
        <v>0</v>
      </c>
      <c r="IC278">
        <v>0</v>
      </c>
      <c r="ID278">
        <v>1</v>
      </c>
      <c r="IG278">
        <v>1</v>
      </c>
      <c r="IH278">
        <v>0</v>
      </c>
      <c r="II278">
        <v>1</v>
      </c>
      <c r="IJ278">
        <v>0</v>
      </c>
      <c r="IK278">
        <v>0</v>
      </c>
      <c r="IL278">
        <v>0</v>
      </c>
      <c r="IM278">
        <v>0</v>
      </c>
      <c r="IN278">
        <v>0</v>
      </c>
      <c r="IO278">
        <v>0</v>
      </c>
      <c r="IP278">
        <v>0</v>
      </c>
      <c r="IQ278">
        <v>0</v>
      </c>
      <c r="IS278">
        <v>2</v>
      </c>
    </row>
    <row r="279" spans="1:258" x14ac:dyDescent="0.35">
      <c r="A279">
        <v>405211</v>
      </c>
      <c r="C279">
        <v>1</v>
      </c>
      <c r="D279" s="1" t="s">
        <v>1319</v>
      </c>
      <c r="E279" s="1" t="s">
        <v>1320</v>
      </c>
      <c r="F279" s="1" t="s">
        <v>1321</v>
      </c>
      <c r="G279">
        <v>3</v>
      </c>
      <c r="I279">
        <v>0</v>
      </c>
      <c r="J279">
        <v>0</v>
      </c>
      <c r="K279">
        <v>1</v>
      </c>
      <c r="L279">
        <v>0</v>
      </c>
      <c r="M279">
        <v>0</v>
      </c>
      <c r="N279">
        <v>0</v>
      </c>
      <c r="O279">
        <v>0</v>
      </c>
      <c r="P279">
        <v>1</v>
      </c>
      <c r="Q279">
        <v>0</v>
      </c>
      <c r="R279">
        <v>2</v>
      </c>
      <c r="T279">
        <v>1</v>
      </c>
      <c r="U279">
        <v>1</v>
      </c>
      <c r="V279">
        <v>0</v>
      </c>
      <c r="W279">
        <v>2</v>
      </c>
      <c r="X279">
        <v>8</v>
      </c>
      <c r="Z279">
        <v>2</v>
      </c>
      <c r="AA279">
        <v>8</v>
      </c>
      <c r="AC279">
        <v>1</v>
      </c>
      <c r="AD279">
        <v>0</v>
      </c>
      <c r="AE279">
        <v>0</v>
      </c>
      <c r="AF279">
        <v>0</v>
      </c>
      <c r="AG279">
        <v>1</v>
      </c>
      <c r="AH279">
        <v>0</v>
      </c>
      <c r="AJ279">
        <v>1</v>
      </c>
      <c r="AL279">
        <v>3</v>
      </c>
      <c r="AN279">
        <v>1</v>
      </c>
      <c r="AO279">
        <v>1</v>
      </c>
      <c r="AP279">
        <v>4</v>
      </c>
      <c r="AQ279">
        <v>1</v>
      </c>
      <c r="AR279">
        <v>5</v>
      </c>
      <c r="AS279">
        <v>1</v>
      </c>
      <c r="AT279">
        <v>1</v>
      </c>
      <c r="BX279">
        <v>5</v>
      </c>
      <c r="BY279">
        <v>5</v>
      </c>
      <c r="BZ279">
        <v>0</v>
      </c>
      <c r="CA279">
        <v>0</v>
      </c>
      <c r="CB279">
        <v>0</v>
      </c>
      <c r="CC279">
        <v>0</v>
      </c>
      <c r="CD279">
        <v>0</v>
      </c>
      <c r="CE279">
        <v>1</v>
      </c>
      <c r="CF279">
        <v>0</v>
      </c>
      <c r="CG279">
        <v>0</v>
      </c>
      <c r="CH279">
        <v>0</v>
      </c>
      <c r="CI279">
        <v>0</v>
      </c>
      <c r="CJ279">
        <v>0</v>
      </c>
      <c r="CK279">
        <v>1</v>
      </c>
      <c r="CL279">
        <v>1</v>
      </c>
      <c r="CM279">
        <v>0</v>
      </c>
      <c r="CN279">
        <v>0</v>
      </c>
      <c r="CO279">
        <v>0</v>
      </c>
      <c r="CQ279" t="s">
        <v>1322</v>
      </c>
      <c r="CR279">
        <v>1</v>
      </c>
      <c r="CS279">
        <v>1</v>
      </c>
      <c r="CU279">
        <v>1</v>
      </c>
      <c r="CW279">
        <v>2</v>
      </c>
      <c r="CZ279">
        <v>1</v>
      </c>
      <c r="DB279">
        <v>12</v>
      </c>
      <c r="DC279" t="s">
        <v>1323</v>
      </c>
      <c r="DD279" t="s">
        <v>279</v>
      </c>
      <c r="DE279">
        <v>2</v>
      </c>
      <c r="DG279">
        <v>1</v>
      </c>
      <c r="DH279" t="s">
        <v>279</v>
      </c>
      <c r="DI279">
        <v>0</v>
      </c>
      <c r="DJ279">
        <v>0</v>
      </c>
      <c r="DK279">
        <v>0</v>
      </c>
      <c r="DL279">
        <v>0</v>
      </c>
      <c r="DM279">
        <v>0</v>
      </c>
      <c r="DN279">
        <v>0</v>
      </c>
      <c r="DO279">
        <v>0</v>
      </c>
      <c r="DP279">
        <v>0</v>
      </c>
      <c r="DQ279">
        <v>1</v>
      </c>
      <c r="DR279">
        <v>0</v>
      </c>
      <c r="DS279" t="s">
        <v>1324</v>
      </c>
      <c r="DT279">
        <v>0</v>
      </c>
      <c r="DU279">
        <v>0</v>
      </c>
      <c r="DV279">
        <v>0</v>
      </c>
      <c r="DW279">
        <v>1</v>
      </c>
      <c r="DX279">
        <v>1</v>
      </c>
      <c r="DY279">
        <v>0</v>
      </c>
      <c r="DZ279">
        <v>0</v>
      </c>
      <c r="EA279">
        <v>0</v>
      </c>
      <c r="EB279">
        <v>0</v>
      </c>
      <c r="EC279">
        <v>0</v>
      </c>
      <c r="ED279">
        <v>1</v>
      </c>
      <c r="EE279">
        <v>0</v>
      </c>
      <c r="EF279">
        <v>0</v>
      </c>
      <c r="IG279">
        <v>0</v>
      </c>
      <c r="IH279">
        <v>1</v>
      </c>
      <c r="II279">
        <v>0</v>
      </c>
      <c r="IJ279">
        <v>0</v>
      </c>
      <c r="IK279">
        <v>0</v>
      </c>
      <c r="IL279">
        <v>0</v>
      </c>
      <c r="IM279">
        <v>0</v>
      </c>
      <c r="IN279">
        <v>0</v>
      </c>
      <c r="IO279">
        <v>0</v>
      </c>
      <c r="IP279">
        <v>0</v>
      </c>
      <c r="IQ279">
        <v>0</v>
      </c>
      <c r="IS279">
        <v>1</v>
      </c>
      <c r="IT279">
        <v>0</v>
      </c>
      <c r="IU279">
        <v>0</v>
      </c>
      <c r="IV279">
        <v>0</v>
      </c>
      <c r="IW279">
        <v>1</v>
      </c>
      <c r="IX279" t="s">
        <v>1325</v>
      </c>
    </row>
    <row r="280" spans="1:258" x14ac:dyDescent="0.35">
      <c r="A280">
        <v>405542</v>
      </c>
      <c r="C280">
        <v>1</v>
      </c>
      <c r="D280" s="1" t="s">
        <v>1326</v>
      </c>
      <c r="E280" s="1" t="s">
        <v>1327</v>
      </c>
      <c r="F280" s="1" t="s">
        <v>1328</v>
      </c>
      <c r="G280">
        <v>15</v>
      </c>
      <c r="H280" t="s">
        <v>1329</v>
      </c>
      <c r="I280">
        <v>0</v>
      </c>
      <c r="J280">
        <v>0</v>
      </c>
      <c r="K280">
        <v>0</v>
      </c>
      <c r="L280">
        <v>1</v>
      </c>
      <c r="M280">
        <v>0</v>
      </c>
      <c r="N280">
        <v>0</v>
      </c>
      <c r="O280">
        <v>0</v>
      </c>
      <c r="P280">
        <v>0</v>
      </c>
      <c r="Q280">
        <v>0</v>
      </c>
      <c r="R280">
        <v>1</v>
      </c>
      <c r="T280">
        <v>1</v>
      </c>
      <c r="U280">
        <v>0</v>
      </c>
      <c r="V280">
        <v>1</v>
      </c>
      <c r="W280">
        <v>6</v>
      </c>
      <c r="Y280">
        <v>140</v>
      </c>
      <c r="Z280">
        <v>6</v>
      </c>
      <c r="AB280">
        <v>140</v>
      </c>
      <c r="AC280">
        <v>1</v>
      </c>
      <c r="AD280">
        <v>1</v>
      </c>
      <c r="AE280">
        <v>0</v>
      </c>
      <c r="AF280">
        <v>1</v>
      </c>
      <c r="AG280">
        <v>1</v>
      </c>
      <c r="AH280">
        <v>0</v>
      </c>
      <c r="AJ280">
        <v>1</v>
      </c>
      <c r="AL280">
        <v>4</v>
      </c>
      <c r="AN280">
        <v>2</v>
      </c>
      <c r="AQ280">
        <v>2</v>
      </c>
      <c r="AS280">
        <v>2</v>
      </c>
      <c r="AT280">
        <v>3</v>
      </c>
      <c r="BX280">
        <v>2</v>
      </c>
      <c r="BY280">
        <v>2</v>
      </c>
      <c r="BZ280">
        <v>0</v>
      </c>
      <c r="CA280">
        <v>0</v>
      </c>
      <c r="CB280">
        <v>0</v>
      </c>
      <c r="CC280">
        <v>0</v>
      </c>
      <c r="CD280">
        <v>0</v>
      </c>
      <c r="CE280">
        <v>1</v>
      </c>
      <c r="CF280">
        <v>0</v>
      </c>
      <c r="CG280">
        <v>0</v>
      </c>
      <c r="CH280">
        <v>0</v>
      </c>
      <c r="CI280">
        <v>0</v>
      </c>
      <c r="CJ280">
        <v>0</v>
      </c>
      <c r="CK280">
        <v>0</v>
      </c>
      <c r="CL280">
        <v>1</v>
      </c>
      <c r="CM280">
        <v>0</v>
      </c>
      <c r="CN280">
        <v>0</v>
      </c>
      <c r="CO280">
        <v>0</v>
      </c>
      <c r="CQ280" t="s">
        <v>610</v>
      </c>
      <c r="CR280">
        <v>2</v>
      </c>
      <c r="CS280">
        <v>2</v>
      </c>
      <c r="CU280">
        <v>2</v>
      </c>
      <c r="CW280">
        <v>2</v>
      </c>
      <c r="CZ280">
        <v>4</v>
      </c>
      <c r="DD280" t="s">
        <v>1330</v>
      </c>
      <c r="DE280">
        <v>2</v>
      </c>
      <c r="DG280">
        <v>3</v>
      </c>
      <c r="DH280" t="s">
        <v>1331</v>
      </c>
      <c r="DI280">
        <v>0</v>
      </c>
      <c r="DJ280">
        <v>0</v>
      </c>
      <c r="DK280">
        <v>1</v>
      </c>
      <c r="DL280">
        <v>1</v>
      </c>
      <c r="DM280">
        <v>0</v>
      </c>
      <c r="DN280">
        <v>1</v>
      </c>
      <c r="DO280">
        <v>1</v>
      </c>
      <c r="DP280">
        <v>0</v>
      </c>
      <c r="DQ280">
        <v>0</v>
      </c>
      <c r="DR280">
        <v>0</v>
      </c>
      <c r="DT280">
        <v>0</v>
      </c>
      <c r="DU280">
        <v>1</v>
      </c>
      <c r="DV280">
        <v>1</v>
      </c>
      <c r="DW280">
        <v>0</v>
      </c>
      <c r="DX280">
        <v>0</v>
      </c>
      <c r="DY280">
        <v>0</v>
      </c>
      <c r="DZ280">
        <v>0</v>
      </c>
      <c r="EA280">
        <v>0</v>
      </c>
      <c r="EB280">
        <v>0</v>
      </c>
      <c r="EC280">
        <v>0</v>
      </c>
      <c r="ED280">
        <v>0</v>
      </c>
      <c r="EE280">
        <v>0</v>
      </c>
      <c r="EF280">
        <v>0</v>
      </c>
      <c r="EI280" t="s">
        <v>570</v>
      </c>
      <c r="EJ280">
        <v>1</v>
      </c>
      <c r="EK280">
        <v>0</v>
      </c>
      <c r="EL280">
        <v>0</v>
      </c>
      <c r="EM280">
        <v>0</v>
      </c>
      <c r="EN280">
        <v>0</v>
      </c>
      <c r="EO280">
        <v>0</v>
      </c>
      <c r="EP280">
        <v>0</v>
      </c>
      <c r="EQ280">
        <v>0</v>
      </c>
      <c r="ER280">
        <v>0</v>
      </c>
      <c r="ES280">
        <v>0</v>
      </c>
      <c r="ET280">
        <v>0</v>
      </c>
      <c r="EU280">
        <v>0</v>
      </c>
      <c r="EV280">
        <v>0</v>
      </c>
      <c r="EW280">
        <v>0</v>
      </c>
      <c r="EX280">
        <v>0</v>
      </c>
      <c r="EY280">
        <v>0</v>
      </c>
      <c r="EZ280">
        <v>0</v>
      </c>
      <c r="FA280">
        <v>0</v>
      </c>
      <c r="FB280">
        <v>0</v>
      </c>
      <c r="FC280">
        <v>0</v>
      </c>
      <c r="FD280">
        <v>0</v>
      </c>
      <c r="FE280">
        <v>0</v>
      </c>
      <c r="FF280" t="s">
        <v>300</v>
      </c>
      <c r="FG280">
        <v>1</v>
      </c>
      <c r="FH280">
        <v>0</v>
      </c>
      <c r="FI280">
        <v>0</v>
      </c>
      <c r="FJ280">
        <v>0</v>
      </c>
      <c r="FK280">
        <v>0</v>
      </c>
      <c r="FL280">
        <v>0</v>
      </c>
      <c r="FM280">
        <v>0</v>
      </c>
      <c r="FN280">
        <v>0</v>
      </c>
      <c r="FO280">
        <v>0</v>
      </c>
      <c r="FP280">
        <v>0</v>
      </c>
      <c r="FQ280">
        <v>0</v>
      </c>
      <c r="FR280">
        <v>0</v>
      </c>
      <c r="FS280">
        <v>0</v>
      </c>
      <c r="FT280">
        <v>0</v>
      </c>
      <c r="FU280">
        <v>0</v>
      </c>
      <c r="FV280">
        <v>0</v>
      </c>
      <c r="FW280">
        <v>0</v>
      </c>
      <c r="FX280">
        <v>0</v>
      </c>
      <c r="FY280">
        <v>0</v>
      </c>
      <c r="IG280">
        <v>1</v>
      </c>
      <c r="IH280">
        <v>0</v>
      </c>
      <c r="II280">
        <v>1</v>
      </c>
      <c r="IJ280">
        <v>1</v>
      </c>
      <c r="IK280">
        <v>0</v>
      </c>
      <c r="IL280">
        <v>0</v>
      </c>
      <c r="IM280">
        <v>0</v>
      </c>
      <c r="IN280">
        <v>0</v>
      </c>
      <c r="IO280">
        <v>0</v>
      </c>
      <c r="IP280">
        <v>0</v>
      </c>
      <c r="IQ280">
        <v>0</v>
      </c>
      <c r="IS280">
        <v>2</v>
      </c>
    </row>
    <row r="281" spans="1:258" x14ac:dyDescent="0.35">
      <c r="A281">
        <v>332321</v>
      </c>
      <c r="C281">
        <v>1</v>
      </c>
    </row>
    <row r="282" spans="1:258" x14ac:dyDescent="0.35">
      <c r="A282">
        <v>363210</v>
      </c>
      <c r="C282">
        <v>1</v>
      </c>
    </row>
    <row r="283" spans="1:258" x14ac:dyDescent="0.35">
      <c r="A283">
        <v>370341</v>
      </c>
      <c r="C283">
        <v>1</v>
      </c>
    </row>
    <row r="284" spans="1:258" x14ac:dyDescent="0.35">
      <c r="A284">
        <v>370584</v>
      </c>
      <c r="C284">
        <v>1</v>
      </c>
    </row>
    <row r="285" spans="1:258" x14ac:dyDescent="0.35">
      <c r="A285">
        <v>370600</v>
      </c>
      <c r="C285">
        <v>1</v>
      </c>
    </row>
    <row r="286" spans="1:258" x14ac:dyDescent="0.35">
      <c r="A286">
        <v>370631</v>
      </c>
      <c r="C286">
        <v>1</v>
      </c>
    </row>
    <row r="287" spans="1:258" x14ac:dyDescent="0.35">
      <c r="A287">
        <v>372938</v>
      </c>
      <c r="C287">
        <v>1</v>
      </c>
    </row>
    <row r="288" spans="1:258" x14ac:dyDescent="0.35">
      <c r="A288">
        <v>373004</v>
      </c>
      <c r="C288">
        <v>1</v>
      </c>
    </row>
    <row r="289" spans="1:3" x14ac:dyDescent="0.35">
      <c r="A289">
        <v>373007</v>
      </c>
      <c r="C289">
        <v>1</v>
      </c>
    </row>
    <row r="290" spans="1:3" x14ac:dyDescent="0.35">
      <c r="A290">
        <v>373200</v>
      </c>
      <c r="C290">
        <v>1</v>
      </c>
    </row>
    <row r="291" spans="1:3" x14ac:dyDescent="0.35">
      <c r="A291">
        <v>374829</v>
      </c>
      <c r="C291">
        <v>1</v>
      </c>
    </row>
    <row r="292" spans="1:3" x14ac:dyDescent="0.35">
      <c r="A292">
        <v>393072</v>
      </c>
      <c r="C292">
        <v>1</v>
      </c>
    </row>
    <row r="293" spans="1:3" x14ac:dyDescent="0.35">
      <c r="A293">
        <v>393614</v>
      </c>
      <c r="C293">
        <v>1</v>
      </c>
    </row>
    <row r="294" spans="1:3" x14ac:dyDescent="0.35">
      <c r="A294">
        <v>393615</v>
      </c>
      <c r="C294">
        <v>1</v>
      </c>
    </row>
    <row r="295" spans="1:3" x14ac:dyDescent="0.35">
      <c r="A295">
        <v>396933</v>
      </c>
      <c r="C295">
        <v>1</v>
      </c>
    </row>
    <row r="296" spans="1:3" x14ac:dyDescent="0.35">
      <c r="A296">
        <v>397150</v>
      </c>
      <c r="C296">
        <v>1</v>
      </c>
    </row>
    <row r="297" spans="1:3" x14ac:dyDescent="0.35">
      <c r="A297">
        <v>405204</v>
      </c>
      <c r="C297">
        <v>1</v>
      </c>
    </row>
    <row r="298" spans="1:3" x14ac:dyDescent="0.35">
      <c r="A298">
        <v>405214</v>
      </c>
      <c r="C298">
        <v>1</v>
      </c>
    </row>
    <row r="299" spans="1:3" x14ac:dyDescent="0.35">
      <c r="A299">
        <v>405224</v>
      </c>
      <c r="C299">
        <v>1</v>
      </c>
    </row>
    <row r="300" spans="1:3" x14ac:dyDescent="0.35">
      <c r="A300">
        <v>405233</v>
      </c>
      <c r="C300">
        <v>1</v>
      </c>
    </row>
    <row r="301" spans="1:3" x14ac:dyDescent="0.35">
      <c r="A301">
        <v>405393</v>
      </c>
      <c r="C301">
        <v>1</v>
      </c>
    </row>
    <row r="302" spans="1:3" x14ac:dyDescent="0.35">
      <c r="A302">
        <v>405445</v>
      </c>
      <c r="C302">
        <v>1</v>
      </c>
    </row>
    <row r="303" spans="1:3" x14ac:dyDescent="0.35">
      <c r="A303">
        <v>405455</v>
      </c>
      <c r="C303">
        <v>1</v>
      </c>
    </row>
    <row r="304" spans="1:3" x14ac:dyDescent="0.35">
      <c r="A304">
        <v>405461</v>
      </c>
      <c r="C304">
        <v>1</v>
      </c>
    </row>
    <row r="305" spans="1:3" x14ac:dyDescent="0.35">
      <c r="A305">
        <v>405477</v>
      </c>
      <c r="C305">
        <v>1</v>
      </c>
    </row>
    <row r="306" spans="1:3" x14ac:dyDescent="0.35">
      <c r="A306">
        <v>405489</v>
      </c>
      <c r="C306">
        <v>1</v>
      </c>
    </row>
    <row r="307" spans="1:3" x14ac:dyDescent="0.35">
      <c r="A307">
        <v>405492</v>
      </c>
      <c r="C307">
        <v>1</v>
      </c>
    </row>
    <row r="308" spans="1:3" x14ac:dyDescent="0.35">
      <c r="A308">
        <v>405493</v>
      </c>
      <c r="C308">
        <v>1</v>
      </c>
    </row>
    <row r="309" spans="1:3" x14ac:dyDescent="0.35">
      <c r="A309">
        <v>405500</v>
      </c>
      <c r="C309">
        <v>1</v>
      </c>
    </row>
    <row r="310" spans="1:3" x14ac:dyDescent="0.35">
      <c r="A310">
        <v>405505</v>
      </c>
      <c r="C310">
        <v>1</v>
      </c>
    </row>
    <row r="311" spans="1:3" x14ac:dyDescent="0.35">
      <c r="A311">
        <v>405525</v>
      </c>
      <c r="C311">
        <v>1</v>
      </c>
    </row>
    <row r="312" spans="1:3" x14ac:dyDescent="0.35">
      <c r="A312">
        <v>405527</v>
      </c>
      <c r="C312">
        <v>1</v>
      </c>
    </row>
    <row r="313" spans="1:3" x14ac:dyDescent="0.35">
      <c r="A313">
        <v>405539</v>
      </c>
      <c r="C313">
        <v>1</v>
      </c>
    </row>
    <row r="314" spans="1:3" x14ac:dyDescent="0.35">
      <c r="A314">
        <v>405540</v>
      </c>
      <c r="C314">
        <v>1</v>
      </c>
    </row>
  </sheetData>
  <autoFilter ref="A1:IX314" xr:uid="{4030E8F7-AD92-4B8B-BDE0-5ECD003465F2}"/>
  <sortState xmlns:xlrd2="http://schemas.microsoft.com/office/spreadsheetml/2017/richdata2" ref="A2:JF280">
    <sortCondition descending="1" sortBy="fontColor" ref="F2:F280" dxfId="1"/>
    <sortCondition descending="1" sortBy="fontColor" ref="F2:F280" dxfId="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37F98-3D19-46EB-A50E-669AE635BC94}">
  <dimension ref="A1:JR260"/>
  <sheetViews>
    <sheetView zoomScaleNormal="100" workbookViewId="0">
      <pane ySplit="1" topLeftCell="A2" activePane="bottomLeft" state="frozen"/>
      <selection pane="bottomLeft" activeCell="Y1" sqref="Y1"/>
    </sheetView>
  </sheetViews>
  <sheetFormatPr defaultRowHeight="14.5" x14ac:dyDescent="0.35"/>
  <cols>
    <col min="1" max="3" width="9.453125" customWidth="1"/>
    <col min="4" max="4" width="40.1796875" customWidth="1"/>
    <col min="5" max="5" width="38.7265625" customWidth="1"/>
    <col min="6" max="6" width="14.81640625" style="5" customWidth="1"/>
    <col min="7" max="7" width="14.453125" customWidth="1"/>
    <col min="8" max="8" width="19.453125" style="5" customWidth="1"/>
    <col min="9" max="9" width="16.7265625" style="7" customWidth="1"/>
    <col min="10" max="11" width="12.81640625" style="5" customWidth="1"/>
    <col min="12" max="12" width="14.1796875" customWidth="1"/>
    <col min="13" max="13" width="14.1796875" style="13" customWidth="1"/>
    <col min="14" max="14" width="8.7265625" style="5"/>
    <col min="15" max="15" width="11.1796875" style="5" customWidth="1"/>
    <col min="16" max="16" width="11.453125" style="5" customWidth="1"/>
    <col min="17" max="17" width="14.1796875" style="5" customWidth="1"/>
    <col min="18" max="18" width="10.26953125" style="5" customWidth="1"/>
    <col min="19" max="21" width="10.7265625" style="5" customWidth="1"/>
    <col min="22" max="25" width="14.1796875" style="5" customWidth="1"/>
    <col min="26" max="26" width="9.54296875" customWidth="1"/>
    <col min="27" max="27" width="25.54296875" customWidth="1"/>
    <col min="38" max="38" width="12.1796875" customWidth="1"/>
    <col min="129" max="129" width="19.7265625" customWidth="1"/>
  </cols>
  <sheetData>
    <row r="1" spans="1:278" s="3" customFormat="1" ht="99.75" customHeight="1" x14ac:dyDescent="0.35">
      <c r="A1" s="3" t="s">
        <v>0</v>
      </c>
      <c r="B1" s="3" t="s">
        <v>1</v>
      </c>
      <c r="C1" s="3" t="s">
        <v>2</v>
      </c>
      <c r="D1" s="3" t="s">
        <v>3</v>
      </c>
      <c r="E1" s="3" t="s">
        <v>1332</v>
      </c>
      <c r="F1" s="4" t="s">
        <v>1333</v>
      </c>
      <c r="G1" s="3" t="s">
        <v>4</v>
      </c>
      <c r="H1" s="4" t="s">
        <v>1334</v>
      </c>
      <c r="I1" s="8" t="s">
        <v>1335</v>
      </c>
      <c r="J1" s="4" t="s">
        <v>1336</v>
      </c>
      <c r="K1" s="4" t="s">
        <v>1337</v>
      </c>
      <c r="L1" s="3" t="s">
        <v>5</v>
      </c>
      <c r="M1" s="12" t="s">
        <v>1338</v>
      </c>
      <c r="N1" s="4" t="s">
        <v>1339</v>
      </c>
      <c r="O1" s="4" t="s">
        <v>1340</v>
      </c>
      <c r="P1" s="4" t="s">
        <v>1341</v>
      </c>
      <c r="Q1" s="4" t="s">
        <v>1342</v>
      </c>
      <c r="R1" s="4" t="s">
        <v>1343</v>
      </c>
      <c r="S1" s="4" t="s">
        <v>1344</v>
      </c>
      <c r="T1" s="4" t="s">
        <v>1345</v>
      </c>
      <c r="U1" s="4" t="s">
        <v>1346</v>
      </c>
      <c r="V1" s="4" t="s">
        <v>1347</v>
      </c>
      <c r="W1" s="4" t="s">
        <v>1348</v>
      </c>
      <c r="X1" s="4" t="s">
        <v>1349</v>
      </c>
      <c r="Y1" s="4" t="s">
        <v>1350</v>
      </c>
      <c r="Z1" s="10" t="s">
        <v>6</v>
      </c>
      <c r="AA1" s="3" t="s">
        <v>7</v>
      </c>
      <c r="AB1" s="3" t="s">
        <v>8</v>
      </c>
      <c r="AC1" s="3" t="s">
        <v>9</v>
      </c>
      <c r="AD1" s="3" t="s">
        <v>10</v>
      </c>
      <c r="AE1" s="3" t="s">
        <v>11</v>
      </c>
      <c r="AF1" s="3" t="s">
        <v>12</v>
      </c>
      <c r="AG1" s="3" t="s">
        <v>13</v>
      </c>
      <c r="AH1" s="3" t="s">
        <v>14</v>
      </c>
      <c r="AI1" s="3" t="s">
        <v>15</v>
      </c>
      <c r="AJ1" s="3" t="s">
        <v>16</v>
      </c>
      <c r="AK1" s="10" t="s">
        <v>17</v>
      </c>
      <c r="AL1" s="3" t="s">
        <v>18</v>
      </c>
      <c r="AM1" s="3" t="s">
        <v>19</v>
      </c>
      <c r="AN1" s="3" t="s">
        <v>20</v>
      </c>
      <c r="AO1" s="3" t="s">
        <v>21</v>
      </c>
      <c r="AP1" s="3" t="s">
        <v>22</v>
      </c>
      <c r="AQ1" s="3" t="s">
        <v>23</v>
      </c>
      <c r="AR1" s="3" t="s">
        <v>24</v>
      </c>
      <c r="AS1" s="3" t="s">
        <v>25</v>
      </c>
      <c r="AT1" s="3" t="s">
        <v>26</v>
      </c>
      <c r="AU1" s="3" t="s">
        <v>27</v>
      </c>
      <c r="AV1" s="3" t="s">
        <v>28</v>
      </c>
      <c r="AW1" s="3" t="s">
        <v>29</v>
      </c>
      <c r="AX1" s="3" t="s">
        <v>30</v>
      </c>
      <c r="AY1" s="3" t="s">
        <v>31</v>
      </c>
      <c r="AZ1" s="3" t="s">
        <v>32</v>
      </c>
      <c r="BA1" s="3" t="s">
        <v>33</v>
      </c>
      <c r="BB1" s="3" t="s">
        <v>34</v>
      </c>
      <c r="BC1" s="10" t="s">
        <v>35</v>
      </c>
      <c r="BD1" s="3" t="s">
        <v>36</v>
      </c>
      <c r="BE1" s="10" t="s">
        <v>37</v>
      </c>
      <c r="BF1" s="3" t="s">
        <v>38</v>
      </c>
      <c r="BG1" s="3" t="s">
        <v>39</v>
      </c>
      <c r="BH1" s="3" t="s">
        <v>40</v>
      </c>
      <c r="BI1" s="3" t="s">
        <v>41</v>
      </c>
      <c r="BJ1" s="3" t="s">
        <v>42</v>
      </c>
      <c r="BK1" s="3" t="s">
        <v>43</v>
      </c>
      <c r="BL1" s="3" t="s">
        <v>44</v>
      </c>
      <c r="BM1" s="3" t="s">
        <v>45</v>
      </c>
      <c r="BN1" s="3" t="s">
        <v>46</v>
      </c>
      <c r="BO1" s="3" t="s">
        <v>47</v>
      </c>
      <c r="BP1" s="3" t="s">
        <v>48</v>
      </c>
      <c r="BQ1" s="3" t="s">
        <v>49</v>
      </c>
      <c r="BR1" s="3" t="s">
        <v>50</v>
      </c>
      <c r="BS1" s="3" t="s">
        <v>51</v>
      </c>
      <c r="BT1" s="3" t="s">
        <v>52</v>
      </c>
      <c r="BU1" s="3" t="s">
        <v>53</v>
      </c>
      <c r="BV1" s="3" t="s">
        <v>54</v>
      </c>
      <c r="BW1" s="3" t="s">
        <v>55</v>
      </c>
      <c r="BX1" s="3" t="s">
        <v>56</v>
      </c>
      <c r="BY1" s="3" t="s">
        <v>57</v>
      </c>
      <c r="BZ1" s="3" t="s">
        <v>58</v>
      </c>
      <c r="CA1" s="3" t="s">
        <v>59</v>
      </c>
      <c r="CB1" s="3" t="s">
        <v>60</v>
      </c>
      <c r="CC1" s="3" t="s">
        <v>61</v>
      </c>
      <c r="CD1" s="3" t="s">
        <v>62</v>
      </c>
      <c r="CE1" s="3" t="s">
        <v>63</v>
      </c>
      <c r="CF1" s="3" t="s">
        <v>64</v>
      </c>
      <c r="CG1" s="3" t="s">
        <v>65</v>
      </c>
      <c r="CH1" s="3" t="s">
        <v>66</v>
      </c>
      <c r="CI1" s="3" t="s">
        <v>67</v>
      </c>
      <c r="CJ1" s="3" t="s">
        <v>68</v>
      </c>
      <c r="CK1" s="3" t="s">
        <v>69</v>
      </c>
      <c r="CL1" s="3" t="s">
        <v>70</v>
      </c>
      <c r="CM1" s="3" t="s">
        <v>71</v>
      </c>
      <c r="CN1" s="10" t="s">
        <v>72</v>
      </c>
      <c r="CO1" s="10" t="s">
        <v>73</v>
      </c>
      <c r="CP1" s="3" t="s">
        <v>74</v>
      </c>
      <c r="CQ1" s="3" t="s">
        <v>75</v>
      </c>
      <c r="CR1" s="3" t="s">
        <v>76</v>
      </c>
      <c r="CS1" s="3" t="s">
        <v>77</v>
      </c>
      <c r="CT1" s="3" t="s">
        <v>78</v>
      </c>
      <c r="CU1" s="3" t="s">
        <v>79</v>
      </c>
      <c r="CV1" s="3" t="s">
        <v>80</v>
      </c>
      <c r="CW1" s="3" t="s">
        <v>81</v>
      </c>
      <c r="CX1" s="3" t="s">
        <v>82</v>
      </c>
      <c r="CY1" s="3" t="s">
        <v>83</v>
      </c>
      <c r="CZ1" s="3" t="s">
        <v>84</v>
      </c>
      <c r="DA1" s="3" t="s">
        <v>85</v>
      </c>
      <c r="DB1" s="3" t="s">
        <v>86</v>
      </c>
      <c r="DC1" s="3" t="s">
        <v>87</v>
      </c>
      <c r="DD1" s="3" t="s">
        <v>88</v>
      </c>
      <c r="DE1" s="3" t="s">
        <v>89</v>
      </c>
      <c r="DF1" s="3" t="s">
        <v>90</v>
      </c>
      <c r="DG1" s="3" t="s">
        <v>91</v>
      </c>
      <c r="DH1" s="3" t="s">
        <v>92</v>
      </c>
      <c r="DI1" s="3" t="s">
        <v>93</v>
      </c>
      <c r="DJ1" s="3" t="s">
        <v>94</v>
      </c>
      <c r="DK1" s="10" t="s">
        <v>95</v>
      </c>
      <c r="DL1" s="10" t="s">
        <v>96</v>
      </c>
      <c r="DM1" s="3" t="s">
        <v>97</v>
      </c>
      <c r="DN1" s="10" t="s">
        <v>98</v>
      </c>
      <c r="DO1" s="3" t="s">
        <v>99</v>
      </c>
      <c r="DP1" s="10" t="s">
        <v>100</v>
      </c>
      <c r="DQ1" s="3" t="s">
        <v>101</v>
      </c>
      <c r="DR1" s="3" t="s">
        <v>102</v>
      </c>
      <c r="DS1" s="3" t="s">
        <v>103</v>
      </c>
      <c r="DT1" s="3" t="s">
        <v>104</v>
      </c>
      <c r="DU1" s="10" t="s">
        <v>105</v>
      </c>
      <c r="DV1" s="3" t="s">
        <v>106</v>
      </c>
      <c r="DW1" s="3" t="s">
        <v>107</v>
      </c>
      <c r="DX1" s="3" t="s">
        <v>108</v>
      </c>
      <c r="DY1" s="3" t="s">
        <v>109</v>
      </c>
      <c r="DZ1" s="3" t="s">
        <v>110</v>
      </c>
      <c r="EA1" s="3" t="s">
        <v>111</v>
      </c>
      <c r="EB1" s="3" t="s">
        <v>112</v>
      </c>
      <c r="EC1" s="3" t="s">
        <v>113</v>
      </c>
      <c r="ED1" s="3" t="s">
        <v>114</v>
      </c>
      <c r="EE1" s="3" t="s">
        <v>115</v>
      </c>
      <c r="EF1" s="3" t="s">
        <v>116</v>
      </c>
      <c r="EG1" s="3" t="s">
        <v>117</v>
      </c>
      <c r="EH1" s="3" t="s">
        <v>118</v>
      </c>
      <c r="EI1" s="3" t="s">
        <v>119</v>
      </c>
      <c r="EJ1" s="3" t="s">
        <v>120</v>
      </c>
      <c r="EK1" s="3" t="s">
        <v>121</v>
      </c>
      <c r="EL1" s="3" t="s">
        <v>122</v>
      </c>
      <c r="EM1" s="3" t="s">
        <v>123</v>
      </c>
      <c r="EN1" s="3" t="s">
        <v>124</v>
      </c>
      <c r="EO1" s="3" t="s">
        <v>125</v>
      </c>
      <c r="EP1" s="3" t="s">
        <v>126</v>
      </c>
      <c r="EQ1" s="3" t="s">
        <v>127</v>
      </c>
      <c r="ER1" s="3" t="s">
        <v>128</v>
      </c>
      <c r="ES1" s="3" t="s">
        <v>129</v>
      </c>
      <c r="ET1" s="3" t="s">
        <v>130</v>
      </c>
      <c r="EU1" s="3" t="s">
        <v>131</v>
      </c>
      <c r="EV1" s="3" t="s">
        <v>132</v>
      </c>
      <c r="EW1" s="3" t="s">
        <v>133</v>
      </c>
      <c r="EX1" s="3" t="s">
        <v>134</v>
      </c>
      <c r="EY1" s="3" t="s">
        <v>135</v>
      </c>
      <c r="EZ1" s="3" t="s">
        <v>136</v>
      </c>
      <c r="FA1" s="3" t="s">
        <v>137</v>
      </c>
      <c r="FB1" s="3" t="s">
        <v>138</v>
      </c>
      <c r="FC1" s="3" t="s">
        <v>139</v>
      </c>
      <c r="FD1" s="3" t="s">
        <v>140</v>
      </c>
      <c r="FE1" s="3" t="s">
        <v>141</v>
      </c>
      <c r="FF1" s="3" t="s">
        <v>142</v>
      </c>
      <c r="FG1" s="3" t="s">
        <v>143</v>
      </c>
      <c r="FH1" s="3" t="s">
        <v>144</v>
      </c>
      <c r="FI1" s="3" t="s">
        <v>145</v>
      </c>
      <c r="FJ1" s="3" t="s">
        <v>146</v>
      </c>
      <c r="FK1" s="3" t="s">
        <v>147</v>
      </c>
      <c r="FL1" s="3" t="s">
        <v>148</v>
      </c>
      <c r="FM1" s="3" t="s">
        <v>149</v>
      </c>
      <c r="FN1" s="3" t="s">
        <v>150</v>
      </c>
      <c r="FO1" s="3" t="s">
        <v>151</v>
      </c>
      <c r="FP1" s="3" t="s">
        <v>152</v>
      </c>
      <c r="FQ1" s="3" t="s">
        <v>153</v>
      </c>
      <c r="FR1" s="3" t="s">
        <v>154</v>
      </c>
      <c r="FS1" s="3" t="s">
        <v>155</v>
      </c>
      <c r="FT1" s="3" t="s">
        <v>156</v>
      </c>
      <c r="FU1" s="3" t="s">
        <v>157</v>
      </c>
      <c r="FV1" s="3" t="s">
        <v>158</v>
      </c>
      <c r="FW1" s="3" t="s">
        <v>159</v>
      </c>
      <c r="FX1" s="3" t="s">
        <v>160</v>
      </c>
      <c r="FY1" s="3" t="s">
        <v>161</v>
      </c>
      <c r="FZ1" s="3" t="s">
        <v>162</v>
      </c>
      <c r="GA1" s="3" t="s">
        <v>163</v>
      </c>
      <c r="GB1" s="3" t="s">
        <v>164</v>
      </c>
      <c r="GC1" s="3" t="s">
        <v>165</v>
      </c>
      <c r="GD1" s="3" t="s">
        <v>166</v>
      </c>
      <c r="GE1" s="3" t="s">
        <v>167</v>
      </c>
      <c r="GF1" s="3" t="s">
        <v>168</v>
      </c>
      <c r="GG1" s="3" t="s">
        <v>169</v>
      </c>
      <c r="GH1" s="3" t="s">
        <v>170</v>
      </c>
      <c r="GI1" s="3" t="s">
        <v>171</v>
      </c>
      <c r="GJ1" s="3" t="s">
        <v>172</v>
      </c>
      <c r="GK1" s="3" t="s">
        <v>173</v>
      </c>
      <c r="GL1" s="3" t="s">
        <v>174</v>
      </c>
      <c r="GM1" s="3" t="s">
        <v>175</v>
      </c>
      <c r="GN1" s="3" t="s">
        <v>176</v>
      </c>
      <c r="GO1" s="3" t="s">
        <v>177</v>
      </c>
      <c r="GP1" s="3" t="s">
        <v>178</v>
      </c>
      <c r="GQ1" s="3" t="s">
        <v>179</v>
      </c>
      <c r="GR1" s="3" t="s">
        <v>180</v>
      </c>
      <c r="GS1" s="3" t="s">
        <v>181</v>
      </c>
      <c r="GT1" s="3" t="s">
        <v>182</v>
      </c>
      <c r="GU1" s="3" t="s">
        <v>183</v>
      </c>
      <c r="GV1" s="3" t="s">
        <v>184</v>
      </c>
      <c r="GW1" s="3" t="s">
        <v>185</v>
      </c>
      <c r="GX1" s="3" t="s">
        <v>186</v>
      </c>
      <c r="GY1" s="3" t="s">
        <v>187</v>
      </c>
      <c r="GZ1" s="3" t="s">
        <v>188</v>
      </c>
      <c r="HA1" s="3" t="s">
        <v>189</v>
      </c>
      <c r="HB1" s="3" t="s">
        <v>190</v>
      </c>
      <c r="HC1" s="3" t="s">
        <v>191</v>
      </c>
      <c r="HD1" s="3" t="s">
        <v>192</v>
      </c>
      <c r="HE1" s="3" t="s">
        <v>193</v>
      </c>
      <c r="HF1" s="3" t="s">
        <v>194</v>
      </c>
      <c r="HG1" s="3" t="s">
        <v>195</v>
      </c>
      <c r="HH1" s="3" t="s">
        <v>196</v>
      </c>
      <c r="HI1" s="3" t="s">
        <v>197</v>
      </c>
      <c r="HJ1" s="3" t="s">
        <v>198</v>
      </c>
      <c r="HK1" s="3" t="s">
        <v>199</v>
      </c>
      <c r="HL1" s="3" t="s">
        <v>200</v>
      </c>
      <c r="HM1" s="3" t="s">
        <v>201</v>
      </c>
      <c r="HN1" s="3" t="s">
        <v>202</v>
      </c>
      <c r="HO1" s="3" t="s">
        <v>203</v>
      </c>
      <c r="HP1" s="3" t="s">
        <v>204</v>
      </c>
      <c r="HQ1" s="3" t="s">
        <v>205</v>
      </c>
      <c r="HR1" s="3" t="s">
        <v>206</v>
      </c>
      <c r="HS1" s="3" t="s">
        <v>207</v>
      </c>
      <c r="HT1" s="3" t="s">
        <v>208</v>
      </c>
      <c r="HU1" s="3" t="s">
        <v>209</v>
      </c>
      <c r="HV1" s="3" t="s">
        <v>210</v>
      </c>
      <c r="HW1" s="3" t="s">
        <v>211</v>
      </c>
      <c r="HX1" s="3" t="s">
        <v>212</v>
      </c>
      <c r="HY1" s="3" t="s">
        <v>213</v>
      </c>
      <c r="HZ1" s="3" t="s">
        <v>214</v>
      </c>
      <c r="IA1" s="3" t="s">
        <v>215</v>
      </c>
      <c r="IB1" s="3" t="s">
        <v>216</v>
      </c>
      <c r="IC1" s="3" t="s">
        <v>217</v>
      </c>
      <c r="ID1" s="3" t="s">
        <v>218</v>
      </c>
      <c r="IE1" s="3" t="s">
        <v>219</v>
      </c>
      <c r="IF1" s="3" t="s">
        <v>220</v>
      </c>
      <c r="IG1" s="3" t="s">
        <v>221</v>
      </c>
      <c r="IH1" s="3" t="s">
        <v>222</v>
      </c>
      <c r="II1" s="3" t="s">
        <v>223</v>
      </c>
      <c r="IJ1" s="3" t="s">
        <v>224</v>
      </c>
      <c r="IK1" s="3" t="s">
        <v>225</v>
      </c>
      <c r="IL1" s="3" t="s">
        <v>226</v>
      </c>
      <c r="IM1" s="3" t="s">
        <v>227</v>
      </c>
      <c r="IN1" s="3" t="s">
        <v>228</v>
      </c>
      <c r="IO1" s="3" t="s">
        <v>229</v>
      </c>
      <c r="IP1" s="3" t="s">
        <v>230</v>
      </c>
      <c r="IQ1" s="3" t="s">
        <v>231</v>
      </c>
      <c r="IR1" s="3" t="s">
        <v>232</v>
      </c>
      <c r="IS1" s="3" t="s">
        <v>233</v>
      </c>
      <c r="IT1" s="3" t="s">
        <v>234</v>
      </c>
      <c r="IU1" s="3" t="s">
        <v>235</v>
      </c>
      <c r="IV1" s="3" t="s">
        <v>236</v>
      </c>
      <c r="IW1" s="3" t="s">
        <v>237</v>
      </c>
      <c r="IX1" s="3" t="s">
        <v>238</v>
      </c>
      <c r="IY1" s="3" t="s">
        <v>239</v>
      </c>
      <c r="IZ1" s="3" t="s">
        <v>240</v>
      </c>
      <c r="JA1" s="3" t="s">
        <v>241</v>
      </c>
      <c r="JB1" s="3" t="s">
        <v>242</v>
      </c>
      <c r="JC1" s="3" t="s">
        <v>243</v>
      </c>
      <c r="JD1" s="3" t="s">
        <v>244</v>
      </c>
      <c r="JE1" s="3" t="s">
        <v>245</v>
      </c>
      <c r="JF1" s="3" t="s">
        <v>246</v>
      </c>
      <c r="JG1" s="3" t="s">
        <v>247</v>
      </c>
      <c r="JH1" s="3" t="s">
        <v>248</v>
      </c>
      <c r="JI1" s="3" t="s">
        <v>249</v>
      </c>
      <c r="JJ1" s="3" t="s">
        <v>250</v>
      </c>
      <c r="JK1" s="3" t="s">
        <v>251</v>
      </c>
      <c r="JL1" s="10" t="s">
        <v>252</v>
      </c>
      <c r="JM1" s="10"/>
      <c r="JN1" s="3" t="s">
        <v>253</v>
      </c>
      <c r="JO1" s="3" t="s">
        <v>254</v>
      </c>
      <c r="JP1" s="3" t="s">
        <v>255</v>
      </c>
      <c r="JQ1" s="3" t="s">
        <v>256</v>
      </c>
      <c r="JR1" s="3" t="s">
        <v>257</v>
      </c>
    </row>
    <row r="2" spans="1:278" x14ac:dyDescent="0.35">
      <c r="A2">
        <v>363160</v>
      </c>
      <c r="C2">
        <v>1</v>
      </c>
      <c r="D2" t="s">
        <v>258</v>
      </c>
      <c r="E2" t="str">
        <f>_xlfn.XLOOKUP(I2, [1]SchoolDistrictStudyWODuplicates!$K:$K, [1]SchoolDistrictStudyWODuplicates!$E:$E, "")</f>
        <v/>
      </c>
      <c r="G2" t="s">
        <v>259</v>
      </c>
      <c r="H2" s="5" t="e">
        <f>_xlfn.XLOOKUP(A2,#REF!,#REF!, "No")</f>
        <v>#REF!</v>
      </c>
      <c r="I2" s="7">
        <v>102640</v>
      </c>
      <c r="J2" s="5" t="e">
        <f>_xlfn.XLOOKUP(I2,#REF!,#REF!,"Not Determined")</f>
        <v>#REF!</v>
      </c>
      <c r="K2" s="5" t="s">
        <v>260</v>
      </c>
      <c r="L2" t="s">
        <v>260</v>
      </c>
      <c r="M2" s="13" t="e">
        <f>_xlfn.XLOOKUP(I2,#REF!,#REF!, "No")</f>
        <v>#REF!</v>
      </c>
      <c r="N2" s="5" t="str">
        <f t="shared" ref="N2:N5" si="0">IF(AZ2 = 1, "Yes", "No")</f>
        <v>No</v>
      </c>
      <c r="O2" s="5" t="str">
        <f>IF(OR(BM2&lt;&gt;"",BH2&lt;&gt;"",BJ2&lt;&gt;"",BL2&lt;&gt;""),"Yes","No")</f>
        <v>No</v>
      </c>
      <c r="P2" s="5" t="str">
        <f>IF(BM2 = 1, "Yes", "No")</f>
        <v>No</v>
      </c>
      <c r="Q2" s="5" t="str">
        <f>IF(OR(BH2 = 1, BJ2 = 1, BL2 = 1), "Yes", "No")</f>
        <v>No</v>
      </c>
      <c r="R2" s="5" t="str">
        <f t="shared" ref="R2:R5" si="1">IF(OR(CQ2 = 1, CQ2 = 2, CQ2 = 3, CQ2 = 4, CQ2 = 5), "Yes", "No")</f>
        <v>No</v>
      </c>
      <c r="S2" s="5" t="str">
        <f>IF(OR(CR2 = 1, CR2 = 2, CR2 = 3, CR2 = 4, CR2 = 5), "Yes", "No")</f>
        <v>No</v>
      </c>
      <c r="T2" s="5" t="str">
        <f>IF(OR(CQ2 = 3, CQ2 = 4, CQ2 = 5), "Yes", "No")</f>
        <v>No</v>
      </c>
      <c r="U2" s="5" t="str">
        <f>IF(OR(CR2 = 3, CR2 = 4, CR2 = 5), "Yes", "No")</f>
        <v>No</v>
      </c>
      <c r="V2" s="5" t="str" cm="1">
        <f t="array" ref="V2">IF(OR(DB2:DG2 =1), "Yes", "No")</f>
        <v>No</v>
      </c>
      <c r="W2" s="5" t="str">
        <f>IF(JL2 =1, "Yes", "No")</f>
        <v>No</v>
      </c>
      <c r="X2" s="5" t="str">
        <f>IF(DL2 =1, "Yes", "No")</f>
        <v>No</v>
      </c>
      <c r="Y2" s="5" t="str">
        <f>IF(DN2 = 1, "Yes", "No")</f>
        <v>No</v>
      </c>
      <c r="Z2">
        <v>3</v>
      </c>
      <c r="JM2" cm="1">
        <f t="array" ref="JM2">IF(OR(JN2:JQ2 &lt;&gt; ""), 1, 0)</f>
        <v>0</v>
      </c>
    </row>
    <row r="3" spans="1:278" x14ac:dyDescent="0.35">
      <c r="A3">
        <v>405519</v>
      </c>
      <c r="C3">
        <v>1</v>
      </c>
      <c r="D3" t="s">
        <v>261</v>
      </c>
      <c r="E3" t="str">
        <f>_xlfn.XLOOKUP(I3, [1]SchoolDistrictStudyWODuplicates!$K:$K, [1]SchoolDistrictStudyWODuplicates!$E:$E, "")</f>
        <v/>
      </c>
      <c r="G3" t="s">
        <v>262</v>
      </c>
      <c r="H3" s="7">
        <v>400790</v>
      </c>
      <c r="I3" s="7">
        <v>400790</v>
      </c>
      <c r="J3" s="5" t="e">
        <f>_xlfn.XLOOKUP(I3,#REF!,#REF!,"Not Determined")</f>
        <v>#REF!</v>
      </c>
      <c r="K3" s="5" t="s">
        <v>298</v>
      </c>
      <c r="L3" t="s">
        <v>263</v>
      </c>
      <c r="M3" s="13" t="e">
        <f>_xlfn.XLOOKUP(I3,#REF!,#REF!, "No")</f>
        <v>#REF!</v>
      </c>
      <c r="N3" s="5" t="str">
        <f t="shared" si="0"/>
        <v>No</v>
      </c>
      <c r="O3" s="5" t="str">
        <f t="shared" ref="O3:O5" si="2">IF(OR(BM3&lt;&gt;"",BH3&lt;&gt;"",BJ3&lt;&gt;"",BL3&lt;&gt;""),"Yes","No")</f>
        <v>Yes</v>
      </c>
      <c r="P3" s="5" t="str">
        <f t="shared" ref="P3:P5" si="3">IF(BM3 = 1, "Yes", "No")</f>
        <v>Yes</v>
      </c>
      <c r="Q3" s="5" t="str">
        <f t="shared" ref="Q3:Q5" si="4">IF(OR(BH3 = 1, BJ3 = 1, BL3 = 1), "Yes", "No")</f>
        <v>Yes</v>
      </c>
      <c r="R3" s="5" t="str">
        <f t="shared" si="1"/>
        <v>No</v>
      </c>
      <c r="S3" s="5" t="str">
        <f t="shared" ref="S3:S5" si="5">IF(OR(CR3 = 1, CR3 = 2, CR3 = 3, CR3 = 4, CR3 = 5), "Yes", "No")</f>
        <v>Yes</v>
      </c>
      <c r="T3" s="5" t="str">
        <f t="shared" ref="T3:T5" si="6">IF(OR(CQ3 = 3, CQ3 = 4, CQ3 = 5), "Yes", "No")</f>
        <v>No</v>
      </c>
      <c r="U3" s="5" t="str">
        <f t="shared" ref="U3:U5" si="7">IF(OR(CR3 = 3, CR3 = 4, CR3 = 5), "Yes", "No")</f>
        <v>Yes</v>
      </c>
      <c r="V3" s="5" t="str" cm="1">
        <f t="array" ref="V3">IF(OR(DB3:DG3 =1), "Yes", "No")</f>
        <v>No</v>
      </c>
      <c r="W3" s="5" t="str">
        <f t="shared" ref="W3:W5" si="8">IF(JL3 =1, "Yes", "No")</f>
        <v>Yes</v>
      </c>
      <c r="X3" s="5" t="str">
        <f t="shared" ref="X3:X5" si="9">IF(DL3 =1, "Yes", "No")</f>
        <v>No</v>
      </c>
      <c r="Y3" s="5" t="str">
        <f t="shared" ref="Y3:Y5" si="10">IF(DN3 = 1, "Yes", "No")</f>
        <v>No</v>
      </c>
      <c r="Z3">
        <v>3</v>
      </c>
      <c r="AB3">
        <v>1</v>
      </c>
      <c r="AC3">
        <v>0</v>
      </c>
      <c r="AD3">
        <v>1</v>
      </c>
      <c r="AE3">
        <v>0</v>
      </c>
      <c r="AF3">
        <v>0</v>
      </c>
      <c r="AG3">
        <v>0</v>
      </c>
      <c r="AH3">
        <v>0</v>
      </c>
      <c r="AI3">
        <v>0</v>
      </c>
      <c r="AJ3">
        <v>0</v>
      </c>
      <c r="AK3">
        <v>1</v>
      </c>
      <c r="AM3">
        <v>0</v>
      </c>
      <c r="AN3">
        <v>1</v>
      </c>
      <c r="AO3">
        <v>0</v>
      </c>
      <c r="AQ3">
        <v>48</v>
      </c>
      <c r="AT3">
        <v>48</v>
      </c>
      <c r="AV3">
        <v>1</v>
      </c>
      <c r="AW3">
        <v>0</v>
      </c>
      <c r="AX3">
        <v>0</v>
      </c>
      <c r="AY3">
        <v>0</v>
      </c>
      <c r="AZ3">
        <v>0</v>
      </c>
      <c r="BA3">
        <v>0</v>
      </c>
      <c r="BC3">
        <v>1</v>
      </c>
      <c r="BE3">
        <v>1</v>
      </c>
      <c r="BG3">
        <v>1</v>
      </c>
      <c r="BH3">
        <v>1</v>
      </c>
      <c r="BI3">
        <v>3</v>
      </c>
      <c r="BJ3">
        <v>2</v>
      </c>
      <c r="BL3">
        <v>2</v>
      </c>
      <c r="BM3">
        <v>1</v>
      </c>
      <c r="BN3">
        <v>1</v>
      </c>
      <c r="BO3">
        <v>0</v>
      </c>
      <c r="BP3">
        <v>0</v>
      </c>
      <c r="BQ3">
        <v>0</v>
      </c>
      <c r="BR3">
        <v>0</v>
      </c>
      <c r="BS3">
        <v>0</v>
      </c>
      <c r="BT3">
        <v>1</v>
      </c>
      <c r="BU3" t="s">
        <v>264</v>
      </c>
      <c r="BV3">
        <v>0</v>
      </c>
      <c r="BW3">
        <v>1</v>
      </c>
      <c r="BX3">
        <v>0</v>
      </c>
      <c r="BY3">
        <v>0</v>
      </c>
      <c r="BZ3">
        <v>0</v>
      </c>
      <c r="CA3">
        <v>0</v>
      </c>
      <c r="CB3">
        <v>0</v>
      </c>
      <c r="CC3">
        <v>0</v>
      </c>
      <c r="CD3">
        <v>0</v>
      </c>
      <c r="CE3">
        <v>0</v>
      </c>
      <c r="CF3">
        <v>0</v>
      </c>
      <c r="CG3">
        <v>0</v>
      </c>
      <c r="CH3">
        <v>0</v>
      </c>
      <c r="CI3">
        <v>0</v>
      </c>
      <c r="CJ3">
        <v>0</v>
      </c>
      <c r="CK3">
        <v>0</v>
      </c>
      <c r="CL3">
        <v>0</v>
      </c>
      <c r="CN3">
        <v>9</v>
      </c>
      <c r="CO3">
        <v>3</v>
      </c>
      <c r="CP3" t="s">
        <v>265</v>
      </c>
      <c r="CQ3">
        <v>6</v>
      </c>
      <c r="CR3">
        <v>3</v>
      </c>
      <c r="EB3">
        <v>0</v>
      </c>
      <c r="EC3">
        <v>0</v>
      </c>
      <c r="ED3">
        <v>1</v>
      </c>
      <c r="EE3">
        <v>0</v>
      </c>
      <c r="EF3">
        <v>0</v>
      </c>
      <c r="EG3">
        <v>0</v>
      </c>
      <c r="EH3">
        <v>1</v>
      </c>
      <c r="EI3">
        <v>0</v>
      </c>
      <c r="EJ3">
        <v>0</v>
      </c>
      <c r="EK3">
        <v>0</v>
      </c>
      <c r="EM3">
        <v>0</v>
      </c>
      <c r="EN3">
        <v>0</v>
      </c>
      <c r="EO3">
        <v>0</v>
      </c>
      <c r="EP3">
        <v>1</v>
      </c>
      <c r="EQ3">
        <v>1</v>
      </c>
      <c r="ER3">
        <v>1</v>
      </c>
      <c r="ES3">
        <v>0</v>
      </c>
      <c r="ET3">
        <v>0</v>
      </c>
      <c r="EU3">
        <v>1</v>
      </c>
      <c r="EV3">
        <v>1</v>
      </c>
      <c r="EW3">
        <v>1</v>
      </c>
      <c r="EX3">
        <v>0</v>
      </c>
      <c r="EY3">
        <v>0</v>
      </c>
      <c r="HC3" t="s">
        <v>266</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1</v>
      </c>
      <c r="IP3">
        <v>0</v>
      </c>
      <c r="IQ3">
        <v>0</v>
      </c>
      <c r="IR3">
        <v>0</v>
      </c>
      <c r="IS3">
        <v>0</v>
      </c>
      <c r="IT3">
        <v>0</v>
      </c>
      <c r="IU3">
        <v>0</v>
      </c>
      <c r="IV3">
        <v>0</v>
      </c>
      <c r="IW3">
        <v>0</v>
      </c>
      <c r="IZ3">
        <v>1</v>
      </c>
      <c r="JA3">
        <v>1</v>
      </c>
      <c r="JB3">
        <v>1</v>
      </c>
      <c r="JC3">
        <v>0</v>
      </c>
      <c r="JD3">
        <v>0</v>
      </c>
      <c r="JE3">
        <v>0</v>
      </c>
      <c r="JF3">
        <v>0</v>
      </c>
      <c r="JG3">
        <v>0</v>
      </c>
      <c r="JH3">
        <v>0</v>
      </c>
      <c r="JI3">
        <v>0</v>
      </c>
      <c r="JJ3">
        <v>0</v>
      </c>
      <c r="JL3">
        <v>1</v>
      </c>
      <c r="JM3" cm="1">
        <f t="array" ref="JM3">IF(OR(JN3:JQ3 &lt;&gt; ""), 1, 0)</f>
        <v>1</v>
      </c>
      <c r="JN3">
        <v>0</v>
      </c>
      <c r="JO3">
        <v>0</v>
      </c>
      <c r="JP3">
        <v>1</v>
      </c>
      <c r="JQ3">
        <v>0</v>
      </c>
    </row>
    <row r="4" spans="1:278" x14ac:dyDescent="0.35">
      <c r="A4">
        <v>393603</v>
      </c>
      <c r="C4">
        <v>1</v>
      </c>
      <c r="D4" t="s">
        <v>267</v>
      </c>
      <c r="E4" t="str">
        <f>_xlfn.XLOOKUP(I4, [1]SchoolDistrictStudyWODuplicates!$K:$K, [1]SchoolDistrictStudyWODuplicates!$E:$E, "")</f>
        <v>Cave Creek Uniifed</v>
      </c>
      <c r="G4" t="s">
        <v>268</v>
      </c>
      <c r="H4" s="5" t="e">
        <f>_xlfn.XLOOKUP(A4,#REF!,#REF!, "No")</f>
        <v>#REF!</v>
      </c>
      <c r="I4" s="7">
        <v>400001</v>
      </c>
      <c r="J4" s="5" t="e">
        <f>_xlfn.XLOOKUP(I4,#REF!,#REF!,"Not Determined")</f>
        <v>#REF!</v>
      </c>
      <c r="K4" s="5" t="s">
        <v>298</v>
      </c>
      <c r="L4" t="s">
        <v>269</v>
      </c>
      <c r="M4" s="13" t="e">
        <f>_xlfn.XLOOKUP(I4,#REF!,#REF!, "No")</f>
        <v>#REF!</v>
      </c>
      <c r="N4" s="5" t="str">
        <f t="shared" si="0"/>
        <v>No</v>
      </c>
      <c r="O4" s="5" t="str">
        <f t="shared" si="2"/>
        <v>Yes</v>
      </c>
      <c r="P4" s="5" t="str">
        <f t="shared" si="3"/>
        <v>Yes</v>
      </c>
      <c r="Q4" s="5" t="str">
        <f t="shared" si="4"/>
        <v>Yes</v>
      </c>
      <c r="R4" s="5" t="str">
        <f t="shared" si="1"/>
        <v>Yes</v>
      </c>
      <c r="S4" s="5" t="str">
        <f t="shared" si="5"/>
        <v>Yes</v>
      </c>
      <c r="T4" s="5" t="str">
        <f t="shared" si="6"/>
        <v>Yes</v>
      </c>
      <c r="U4" s="5" t="str">
        <f t="shared" si="7"/>
        <v>Yes</v>
      </c>
      <c r="V4" s="5" t="str" cm="1">
        <f t="array" ref="V4">IF(OR(DB4:DG4 =1), "Yes", "No")</f>
        <v>No</v>
      </c>
      <c r="W4" s="5" t="str">
        <f t="shared" si="8"/>
        <v>No</v>
      </c>
      <c r="X4" s="5" t="str">
        <f t="shared" si="9"/>
        <v>No</v>
      </c>
      <c r="Y4" s="5" t="str">
        <f t="shared" si="10"/>
        <v>No</v>
      </c>
      <c r="Z4">
        <v>5</v>
      </c>
      <c r="AB4">
        <v>0</v>
      </c>
      <c r="AC4">
        <v>0</v>
      </c>
      <c r="AD4">
        <v>1</v>
      </c>
      <c r="AE4">
        <v>0</v>
      </c>
      <c r="AF4">
        <v>0</v>
      </c>
      <c r="AG4">
        <v>0</v>
      </c>
      <c r="AH4">
        <v>0</v>
      </c>
      <c r="AI4">
        <v>0</v>
      </c>
      <c r="AJ4">
        <v>0</v>
      </c>
      <c r="AK4">
        <v>1</v>
      </c>
      <c r="AM4">
        <v>1</v>
      </c>
      <c r="AN4">
        <v>1</v>
      </c>
      <c r="AO4">
        <v>0</v>
      </c>
      <c r="AP4">
        <v>15</v>
      </c>
      <c r="AQ4">
        <v>25</v>
      </c>
      <c r="AS4">
        <v>15</v>
      </c>
      <c r="AT4">
        <v>25</v>
      </c>
      <c r="AV4">
        <v>1</v>
      </c>
      <c r="AW4">
        <v>1</v>
      </c>
      <c r="AX4">
        <v>0</v>
      </c>
      <c r="AY4">
        <v>0</v>
      </c>
      <c r="AZ4">
        <v>0</v>
      </c>
      <c r="BA4">
        <v>0</v>
      </c>
      <c r="BC4">
        <v>1</v>
      </c>
      <c r="BE4">
        <v>1</v>
      </c>
      <c r="BG4">
        <v>1</v>
      </c>
      <c r="BH4">
        <v>1</v>
      </c>
      <c r="BI4">
        <v>4</v>
      </c>
      <c r="BJ4">
        <v>1</v>
      </c>
      <c r="BK4">
        <v>6</v>
      </c>
      <c r="BL4">
        <v>2</v>
      </c>
      <c r="BM4">
        <v>1</v>
      </c>
      <c r="BN4">
        <v>2</v>
      </c>
      <c r="BV4">
        <v>0</v>
      </c>
      <c r="BW4">
        <v>0</v>
      </c>
      <c r="BX4">
        <v>0</v>
      </c>
      <c r="BY4">
        <v>0</v>
      </c>
      <c r="BZ4">
        <v>0</v>
      </c>
      <c r="CA4">
        <v>0</v>
      </c>
      <c r="CB4">
        <v>0</v>
      </c>
      <c r="CC4">
        <v>0</v>
      </c>
      <c r="CD4">
        <v>0</v>
      </c>
      <c r="CE4">
        <v>0</v>
      </c>
      <c r="CF4">
        <v>0</v>
      </c>
      <c r="CG4">
        <v>0</v>
      </c>
      <c r="CH4">
        <v>0</v>
      </c>
      <c r="CI4">
        <v>0</v>
      </c>
      <c r="CJ4">
        <v>0</v>
      </c>
      <c r="CK4">
        <v>0</v>
      </c>
      <c r="CL4">
        <v>1</v>
      </c>
      <c r="CM4" t="s">
        <v>270</v>
      </c>
      <c r="CN4">
        <v>9</v>
      </c>
      <c r="CO4">
        <v>4</v>
      </c>
      <c r="CQ4">
        <v>4</v>
      </c>
      <c r="CR4">
        <v>4</v>
      </c>
      <c r="EB4">
        <v>0</v>
      </c>
      <c r="EC4">
        <v>0</v>
      </c>
      <c r="ED4">
        <v>0</v>
      </c>
      <c r="EE4">
        <v>0</v>
      </c>
      <c r="EF4">
        <v>0</v>
      </c>
      <c r="EG4">
        <v>1</v>
      </c>
      <c r="EH4">
        <v>0</v>
      </c>
      <c r="EI4">
        <v>0</v>
      </c>
      <c r="EJ4">
        <v>0</v>
      </c>
      <c r="EK4">
        <v>0</v>
      </c>
      <c r="EM4">
        <v>0</v>
      </c>
      <c r="EN4">
        <v>0</v>
      </c>
      <c r="EO4">
        <v>0</v>
      </c>
      <c r="EP4">
        <v>0</v>
      </c>
      <c r="EQ4">
        <v>0</v>
      </c>
      <c r="ER4">
        <v>0</v>
      </c>
      <c r="ES4">
        <v>0</v>
      </c>
      <c r="ET4">
        <v>0</v>
      </c>
      <c r="EU4">
        <v>0</v>
      </c>
      <c r="EV4">
        <v>0</v>
      </c>
      <c r="EW4">
        <v>1</v>
      </c>
      <c r="EX4">
        <v>0</v>
      </c>
      <c r="EY4">
        <v>0</v>
      </c>
      <c r="IZ4">
        <v>1</v>
      </c>
      <c r="JA4">
        <v>1</v>
      </c>
      <c r="JB4">
        <v>1</v>
      </c>
      <c r="JC4">
        <v>0</v>
      </c>
      <c r="JD4">
        <v>0</v>
      </c>
      <c r="JE4">
        <v>0</v>
      </c>
      <c r="JF4">
        <v>0</v>
      </c>
      <c r="JG4">
        <v>0</v>
      </c>
      <c r="JH4">
        <v>0</v>
      </c>
      <c r="JI4">
        <v>0</v>
      </c>
      <c r="JJ4">
        <v>0</v>
      </c>
      <c r="JL4">
        <v>2</v>
      </c>
      <c r="JM4" cm="1">
        <f t="array" ref="JM4">IF(OR(JN4:JQ4 &lt;&gt; ""), 1, 0)</f>
        <v>0</v>
      </c>
    </row>
    <row r="5" spans="1:278" x14ac:dyDescent="0.35">
      <c r="A5">
        <v>397007</v>
      </c>
      <c r="C5">
        <v>1</v>
      </c>
      <c r="D5" t="s">
        <v>271</v>
      </c>
      <c r="E5" t="str">
        <f>_xlfn.XLOOKUP(I5, [1]SchoolDistrictStudyWODuplicates!$K:$K, [1]SchoolDistrictStudyWODuplicates!$E:$E, "")</f>
        <v/>
      </c>
      <c r="G5" t="s">
        <v>272</v>
      </c>
      <c r="H5" s="5" t="e">
        <f>_xlfn.XLOOKUP(A5,#REF!,#REF!, "No")</f>
        <v>#REF!</v>
      </c>
      <c r="I5" s="7">
        <v>402430</v>
      </c>
      <c r="J5" s="5" t="e">
        <f>_xlfn.XLOOKUP(I5,#REF!,#REF!,"Not Determined")</f>
        <v>#REF!</v>
      </c>
      <c r="K5" s="5" t="s">
        <v>298</v>
      </c>
      <c r="L5" t="s">
        <v>263</v>
      </c>
      <c r="M5" s="13" t="e">
        <f>_xlfn.XLOOKUP(I5,#REF!,#REF!, "No")</f>
        <v>#REF!</v>
      </c>
      <c r="N5" s="5" t="str">
        <f t="shared" si="0"/>
        <v>No</v>
      </c>
      <c r="O5" s="5" t="str">
        <f t="shared" si="2"/>
        <v>Yes</v>
      </c>
      <c r="P5" s="5" t="str">
        <f t="shared" si="3"/>
        <v>Yes</v>
      </c>
      <c r="Q5" s="5" t="str">
        <f t="shared" si="4"/>
        <v>Yes</v>
      </c>
      <c r="R5" s="5" t="str">
        <f t="shared" si="1"/>
        <v>Yes</v>
      </c>
      <c r="S5" s="5" t="str">
        <f t="shared" si="5"/>
        <v>Yes</v>
      </c>
      <c r="T5" s="5" t="str">
        <f t="shared" si="6"/>
        <v>Yes</v>
      </c>
      <c r="U5" s="5" t="str">
        <f t="shared" si="7"/>
        <v>Yes</v>
      </c>
      <c r="V5" s="5" t="str" cm="1">
        <f t="array" ref="V5">IF(OR(DB5:DG5 =1), "Yes", "No")</f>
        <v>No</v>
      </c>
      <c r="W5" s="5" t="str">
        <f t="shared" si="8"/>
        <v>No</v>
      </c>
      <c r="X5" s="5" t="str">
        <f t="shared" si="9"/>
        <v>No</v>
      </c>
      <c r="Y5" s="5" t="str">
        <f t="shared" si="10"/>
        <v>No</v>
      </c>
      <c r="Z5">
        <v>4</v>
      </c>
      <c r="AB5">
        <v>0</v>
      </c>
      <c r="AC5">
        <v>0</v>
      </c>
      <c r="AD5">
        <v>1</v>
      </c>
      <c r="AE5">
        <v>1</v>
      </c>
      <c r="AF5">
        <v>0</v>
      </c>
      <c r="AG5">
        <v>0</v>
      </c>
      <c r="AH5">
        <v>0</v>
      </c>
      <c r="AI5">
        <v>1</v>
      </c>
      <c r="AJ5">
        <v>0</v>
      </c>
      <c r="AK5">
        <v>1</v>
      </c>
      <c r="AM5">
        <v>1</v>
      </c>
      <c r="AN5">
        <v>1</v>
      </c>
      <c r="AO5">
        <v>1</v>
      </c>
      <c r="AP5">
        <v>1</v>
      </c>
      <c r="AQ5">
        <v>17</v>
      </c>
      <c r="AR5">
        <v>7</v>
      </c>
      <c r="AS5">
        <v>1</v>
      </c>
      <c r="AT5">
        <v>17</v>
      </c>
      <c r="AU5">
        <v>7</v>
      </c>
      <c r="AV5">
        <v>1</v>
      </c>
      <c r="AW5">
        <v>1</v>
      </c>
      <c r="AX5">
        <v>0</v>
      </c>
      <c r="AY5">
        <v>0</v>
      </c>
      <c r="AZ5">
        <v>0</v>
      </c>
      <c r="BA5">
        <v>0</v>
      </c>
      <c r="BC5">
        <v>1</v>
      </c>
      <c r="BE5">
        <v>1</v>
      </c>
      <c r="BG5">
        <v>1</v>
      </c>
      <c r="BH5">
        <v>1</v>
      </c>
      <c r="BI5">
        <v>2</v>
      </c>
      <c r="BJ5">
        <v>1</v>
      </c>
      <c r="BK5">
        <v>6</v>
      </c>
      <c r="BL5">
        <v>2</v>
      </c>
      <c r="BM5">
        <v>1</v>
      </c>
      <c r="BN5">
        <v>1</v>
      </c>
      <c r="BO5">
        <v>1</v>
      </c>
      <c r="BP5">
        <v>1</v>
      </c>
      <c r="BQ5">
        <v>0</v>
      </c>
      <c r="BR5">
        <v>0</v>
      </c>
      <c r="BS5">
        <v>0</v>
      </c>
      <c r="BT5">
        <v>0</v>
      </c>
      <c r="BV5">
        <v>0</v>
      </c>
      <c r="BW5">
        <v>0</v>
      </c>
      <c r="BX5">
        <v>0</v>
      </c>
      <c r="BY5">
        <v>0</v>
      </c>
      <c r="BZ5">
        <v>0</v>
      </c>
      <c r="CA5">
        <v>0</v>
      </c>
      <c r="CB5">
        <v>0</v>
      </c>
      <c r="CC5">
        <v>0</v>
      </c>
      <c r="CD5">
        <v>0</v>
      </c>
      <c r="CE5">
        <v>0</v>
      </c>
      <c r="CF5">
        <v>0</v>
      </c>
      <c r="CG5">
        <v>0</v>
      </c>
      <c r="CH5">
        <v>0</v>
      </c>
      <c r="CI5">
        <v>1</v>
      </c>
      <c r="CJ5">
        <v>0</v>
      </c>
      <c r="CK5">
        <v>0</v>
      </c>
      <c r="CL5">
        <v>0</v>
      </c>
      <c r="CN5">
        <v>14</v>
      </c>
      <c r="CO5">
        <v>4</v>
      </c>
      <c r="CQ5">
        <v>3</v>
      </c>
      <c r="CR5">
        <v>4</v>
      </c>
      <c r="EB5">
        <v>0</v>
      </c>
      <c r="EC5">
        <v>0</v>
      </c>
      <c r="ED5">
        <v>1</v>
      </c>
      <c r="EE5">
        <v>0</v>
      </c>
      <c r="EF5">
        <v>0</v>
      </c>
      <c r="EG5">
        <v>0</v>
      </c>
      <c r="EH5">
        <v>0</v>
      </c>
      <c r="EI5">
        <v>0</v>
      </c>
      <c r="EJ5">
        <v>1</v>
      </c>
      <c r="EK5">
        <v>0</v>
      </c>
      <c r="EL5" t="s">
        <v>273</v>
      </c>
      <c r="EM5">
        <v>0</v>
      </c>
      <c r="EN5">
        <v>1</v>
      </c>
      <c r="EO5">
        <v>0</v>
      </c>
      <c r="EP5">
        <v>1</v>
      </c>
      <c r="EQ5">
        <v>1</v>
      </c>
      <c r="ER5">
        <v>0</v>
      </c>
      <c r="ES5">
        <v>0</v>
      </c>
      <c r="ET5">
        <v>0</v>
      </c>
      <c r="EU5">
        <v>0</v>
      </c>
      <c r="EV5">
        <v>0</v>
      </c>
      <c r="EW5">
        <v>1</v>
      </c>
      <c r="EX5">
        <v>0</v>
      </c>
      <c r="EY5">
        <v>0</v>
      </c>
      <c r="FB5" t="s">
        <v>274</v>
      </c>
      <c r="FC5">
        <v>1</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IZ5">
        <v>0</v>
      </c>
      <c r="JA5">
        <v>0</v>
      </c>
      <c r="JB5">
        <v>1</v>
      </c>
      <c r="JC5">
        <v>1</v>
      </c>
      <c r="JD5">
        <v>0</v>
      </c>
      <c r="JE5">
        <v>0</v>
      </c>
      <c r="JF5">
        <v>0</v>
      </c>
      <c r="JG5">
        <v>0</v>
      </c>
      <c r="JH5">
        <v>1</v>
      </c>
      <c r="JI5">
        <v>0</v>
      </c>
      <c r="JJ5">
        <v>0</v>
      </c>
      <c r="JL5">
        <v>2</v>
      </c>
      <c r="JM5" cm="1">
        <f t="array" ref="JM5">IF(OR(JN5:JQ5 &lt;&gt; ""), 1, 0)</f>
        <v>0</v>
      </c>
    </row>
    <row r="6" spans="1:278" x14ac:dyDescent="0.35">
      <c r="A6">
        <v>405403</v>
      </c>
      <c r="C6">
        <v>1</v>
      </c>
      <c r="D6" t="s">
        <v>275</v>
      </c>
      <c r="E6" t="str">
        <f>_xlfn.XLOOKUP(I6, [1]SchoolDistrictStudyWODuplicates!$K:$K, [1]SchoolDistrictStudyWODuplicates!$E:$E, "")</f>
        <v/>
      </c>
      <c r="G6" t="s">
        <v>276</v>
      </c>
      <c r="H6" s="5" t="e">
        <f>_xlfn.XLOOKUP(A6,#REF!,#REF!, "No")</f>
        <v>#REF!</v>
      </c>
      <c r="I6" s="7">
        <v>404320</v>
      </c>
      <c r="J6" s="5" t="e">
        <f>_xlfn.XLOOKUP(I6,#REF!,#REF!,"Not Determined")</f>
        <v>#REF!</v>
      </c>
      <c r="K6" s="5" t="s">
        <v>298</v>
      </c>
      <c r="L6" t="s">
        <v>277</v>
      </c>
      <c r="M6" s="13" t="e">
        <f>_xlfn.XLOOKUP(I6,#REF!,#REF!, "No")</f>
        <v>#REF!</v>
      </c>
      <c r="N6" s="5" t="str">
        <f t="shared" ref="N6:N69" si="11">IF(AZ6 = 1, "Yes", "No")</f>
        <v>Yes</v>
      </c>
      <c r="O6" s="5" t="str">
        <f t="shared" ref="O6:O69" si="12">IF(OR(BM6&lt;&gt;"",BH6&lt;&gt;"",BJ6&lt;&gt;"",BL6&lt;&gt;""),"Yes","No")</f>
        <v>Yes</v>
      </c>
      <c r="P6" s="5" t="str">
        <f t="shared" ref="P6:P69" si="13">IF(BM6 = 1, "Yes", "No")</f>
        <v>No</v>
      </c>
      <c r="Q6" s="5" t="str">
        <f t="shared" ref="Q6:Q69" si="14">IF(OR(BH6 = 1, BJ6 = 1, BL6 = 1), "Yes", "No")</f>
        <v>Yes</v>
      </c>
      <c r="R6" s="5" t="str">
        <f t="shared" ref="R6:R69" si="15">IF(OR(CQ6 = 1, CQ6 = 2, CQ6 = 3, CQ6 = 4, CQ6 = 5), "Yes", "No")</f>
        <v>Yes</v>
      </c>
      <c r="S6" s="5" t="str">
        <f t="shared" ref="S6:S69" si="16">IF(OR(CR6 = 1, CR6 = 2, CR6 = 3, CR6 = 4, CR6 = 5), "Yes", "No")</f>
        <v>Yes</v>
      </c>
      <c r="T6" s="5" t="str">
        <f t="shared" ref="T6:T69" si="17">IF(OR(CQ6 = 3, CQ6 = 4, CQ6 = 5), "Yes", "No")</f>
        <v>Yes</v>
      </c>
      <c r="U6" s="5" t="str">
        <f t="shared" ref="U6:U69" si="18">IF(OR(CR6 = 3, CR6 = 4, CR6 = 5), "Yes", "No")</f>
        <v>Yes</v>
      </c>
      <c r="V6" s="5" t="str" cm="1">
        <f t="array" ref="V6">IF(OR(DB6:DG6 =1), "Yes", "No")</f>
        <v>Yes</v>
      </c>
      <c r="W6" s="5" t="str">
        <f t="shared" ref="W6:W69" si="19">IF(JL6 =1, "Yes", "No")</f>
        <v>No</v>
      </c>
      <c r="X6" s="5" t="str">
        <f t="shared" ref="X6:X69" si="20">IF(DL6 =1, "Yes", "No")</f>
        <v>Yes</v>
      </c>
      <c r="Y6" s="5" t="str">
        <f t="shared" ref="Y6:Y69" si="21">IF(DN6 = 1, "Yes", "No")</f>
        <v>No</v>
      </c>
      <c r="Z6">
        <v>10</v>
      </c>
      <c r="AB6">
        <v>0</v>
      </c>
      <c r="AC6">
        <v>1</v>
      </c>
      <c r="AD6">
        <v>1</v>
      </c>
      <c r="AE6">
        <v>0</v>
      </c>
      <c r="AF6">
        <v>0</v>
      </c>
      <c r="AG6">
        <v>0</v>
      </c>
      <c r="AH6">
        <v>0</v>
      </c>
      <c r="AI6">
        <v>0</v>
      </c>
      <c r="AJ6">
        <v>0</v>
      </c>
      <c r="AK6">
        <v>1</v>
      </c>
      <c r="AM6">
        <v>1</v>
      </c>
      <c r="AN6">
        <v>1</v>
      </c>
      <c r="AO6">
        <v>1</v>
      </c>
      <c r="AP6">
        <v>14</v>
      </c>
      <c r="AQ6">
        <v>8</v>
      </c>
      <c r="AR6">
        <v>12</v>
      </c>
      <c r="AS6">
        <v>14</v>
      </c>
      <c r="AT6">
        <v>8</v>
      </c>
      <c r="AU6">
        <v>12</v>
      </c>
      <c r="AV6">
        <v>1</v>
      </c>
      <c r="AW6">
        <v>0</v>
      </c>
      <c r="AX6">
        <v>0</v>
      </c>
      <c r="AY6">
        <v>0</v>
      </c>
      <c r="AZ6">
        <v>1</v>
      </c>
      <c r="BA6">
        <v>0</v>
      </c>
      <c r="BC6">
        <v>1</v>
      </c>
      <c r="BE6">
        <v>1</v>
      </c>
      <c r="BG6">
        <v>1</v>
      </c>
      <c r="BH6">
        <v>1</v>
      </c>
      <c r="BI6">
        <v>2</v>
      </c>
      <c r="BJ6">
        <v>2</v>
      </c>
      <c r="BL6">
        <v>2</v>
      </c>
      <c r="BM6">
        <v>3</v>
      </c>
      <c r="CQ6">
        <v>3</v>
      </c>
      <c r="CR6">
        <v>3</v>
      </c>
      <c r="CS6">
        <v>0</v>
      </c>
      <c r="CT6">
        <v>0</v>
      </c>
      <c r="CU6">
        <v>0</v>
      </c>
      <c r="CV6">
        <v>0</v>
      </c>
      <c r="CW6">
        <v>0</v>
      </c>
      <c r="CX6">
        <v>0</v>
      </c>
      <c r="CY6">
        <v>0</v>
      </c>
      <c r="CZ6">
        <v>0</v>
      </c>
      <c r="DA6">
        <v>1</v>
      </c>
      <c r="DB6">
        <v>0</v>
      </c>
      <c r="DC6">
        <v>0</v>
      </c>
      <c r="DD6">
        <v>1</v>
      </c>
      <c r="DE6">
        <v>0</v>
      </c>
      <c r="DF6">
        <v>0</v>
      </c>
      <c r="DG6">
        <v>0</v>
      </c>
      <c r="DH6">
        <v>0</v>
      </c>
      <c r="DJ6" t="s">
        <v>278</v>
      </c>
      <c r="DK6">
        <v>1</v>
      </c>
      <c r="DL6">
        <v>1</v>
      </c>
      <c r="DN6">
        <v>4</v>
      </c>
      <c r="DP6">
        <v>4</v>
      </c>
      <c r="DS6">
        <v>1</v>
      </c>
      <c r="DU6">
        <v>13</v>
      </c>
      <c r="DW6" t="s">
        <v>279</v>
      </c>
      <c r="DX6">
        <v>3</v>
      </c>
      <c r="DY6" t="s">
        <v>279</v>
      </c>
      <c r="DZ6">
        <v>4</v>
      </c>
      <c r="EB6">
        <v>0</v>
      </c>
      <c r="EC6">
        <v>0</v>
      </c>
      <c r="ED6">
        <v>0</v>
      </c>
      <c r="EE6">
        <v>0</v>
      </c>
      <c r="EF6">
        <v>0</v>
      </c>
      <c r="EG6">
        <v>1</v>
      </c>
      <c r="EH6">
        <v>0</v>
      </c>
      <c r="EI6">
        <v>0</v>
      </c>
      <c r="EJ6">
        <v>0</v>
      </c>
      <c r="EK6">
        <v>0</v>
      </c>
      <c r="EM6">
        <v>0</v>
      </c>
      <c r="EN6">
        <v>0</v>
      </c>
      <c r="EO6">
        <v>0</v>
      </c>
      <c r="EP6">
        <v>1</v>
      </c>
      <c r="EQ6">
        <v>1</v>
      </c>
      <c r="ER6">
        <v>0</v>
      </c>
      <c r="ES6">
        <v>0</v>
      </c>
      <c r="ET6">
        <v>1</v>
      </c>
      <c r="EU6">
        <v>0</v>
      </c>
      <c r="EV6">
        <v>0</v>
      </c>
      <c r="EW6">
        <v>1</v>
      </c>
      <c r="EX6">
        <v>0</v>
      </c>
      <c r="EY6">
        <v>0</v>
      </c>
      <c r="IZ6">
        <v>0</v>
      </c>
      <c r="JA6">
        <v>0</v>
      </c>
      <c r="JB6">
        <v>0</v>
      </c>
      <c r="JC6">
        <v>0</v>
      </c>
      <c r="JD6">
        <v>0</v>
      </c>
      <c r="JE6">
        <v>0</v>
      </c>
      <c r="JF6">
        <v>0</v>
      </c>
      <c r="JG6">
        <v>0</v>
      </c>
      <c r="JH6">
        <v>0</v>
      </c>
      <c r="JI6">
        <v>0</v>
      </c>
      <c r="JJ6">
        <v>1</v>
      </c>
      <c r="JL6">
        <v>2</v>
      </c>
      <c r="JM6" cm="1">
        <f t="array" ref="JM6">IF(OR(JN6:JQ6 &lt;&gt; ""), 1, 0)</f>
        <v>0</v>
      </c>
    </row>
    <row r="7" spans="1:278" x14ac:dyDescent="0.35">
      <c r="A7">
        <v>405446</v>
      </c>
      <c r="C7">
        <v>1</v>
      </c>
      <c r="D7" t="s">
        <v>280</v>
      </c>
      <c r="E7" t="str">
        <f>_xlfn.XLOOKUP(I7, [1]SchoolDistrictStudyWODuplicates!$K:$K, [1]SchoolDistrictStudyWODuplicates!$E:$E, "")</f>
        <v/>
      </c>
      <c r="G7" t="s">
        <v>281</v>
      </c>
      <c r="H7" s="5" t="e">
        <f>_xlfn.XLOOKUP(A7,#REF!,#REF!, "No")</f>
        <v>#REF!</v>
      </c>
      <c r="I7" s="7">
        <v>407890</v>
      </c>
      <c r="J7" s="5" t="e">
        <f>_xlfn.XLOOKUP(I7,#REF!,#REF!,"Not Determined")</f>
        <v>#REF!</v>
      </c>
      <c r="K7" s="5" t="s">
        <v>298</v>
      </c>
      <c r="L7" t="s">
        <v>263</v>
      </c>
      <c r="M7" s="13" t="e">
        <f>_xlfn.XLOOKUP(I7,#REF!,#REF!, "No")</f>
        <v>#REF!</v>
      </c>
      <c r="N7" s="5" t="str">
        <f t="shared" si="11"/>
        <v>Yes</v>
      </c>
      <c r="O7" s="5" t="str">
        <f t="shared" si="12"/>
        <v>Yes</v>
      </c>
      <c r="P7" s="5" t="str">
        <f t="shared" si="13"/>
        <v>No</v>
      </c>
      <c r="Q7" s="5" t="str">
        <f t="shared" si="14"/>
        <v>Yes</v>
      </c>
      <c r="R7" s="5" t="str">
        <f t="shared" si="15"/>
        <v>Yes</v>
      </c>
      <c r="S7" s="5" t="str">
        <f t="shared" si="16"/>
        <v>Yes</v>
      </c>
      <c r="T7" s="5" t="str">
        <f t="shared" si="17"/>
        <v>Yes</v>
      </c>
      <c r="U7" s="5" t="str">
        <f t="shared" si="18"/>
        <v>Yes</v>
      </c>
      <c r="V7" s="5" t="str" cm="1">
        <f t="array" ref="V7">IF(OR(DB7:DG7 =1), "Yes", "No")</f>
        <v>Yes</v>
      </c>
      <c r="W7" s="5" t="str">
        <f t="shared" si="19"/>
        <v>No</v>
      </c>
      <c r="X7" s="5" t="str">
        <f t="shared" si="20"/>
        <v>Yes</v>
      </c>
      <c r="Y7" s="5" t="str">
        <f t="shared" si="21"/>
        <v>Yes</v>
      </c>
      <c r="Z7">
        <v>3</v>
      </c>
      <c r="AB7">
        <v>1</v>
      </c>
      <c r="AC7">
        <v>0</v>
      </c>
      <c r="AD7">
        <v>1</v>
      </c>
      <c r="AE7">
        <v>0</v>
      </c>
      <c r="AF7">
        <v>0</v>
      </c>
      <c r="AG7">
        <v>0</v>
      </c>
      <c r="AH7">
        <v>0</v>
      </c>
      <c r="AI7">
        <v>0</v>
      </c>
      <c r="AJ7">
        <v>0</v>
      </c>
      <c r="AK7">
        <v>1</v>
      </c>
      <c r="AM7">
        <v>1</v>
      </c>
      <c r="AN7">
        <v>1</v>
      </c>
      <c r="AO7">
        <v>1</v>
      </c>
      <c r="AP7">
        <v>3</v>
      </c>
      <c r="AQ7">
        <v>4</v>
      </c>
      <c r="AR7">
        <v>11</v>
      </c>
      <c r="AS7">
        <v>3</v>
      </c>
      <c r="AT7">
        <v>4</v>
      </c>
      <c r="AU7">
        <v>11</v>
      </c>
      <c r="AV7">
        <v>1</v>
      </c>
      <c r="AW7">
        <v>0</v>
      </c>
      <c r="AX7">
        <v>0</v>
      </c>
      <c r="AY7">
        <v>0</v>
      </c>
      <c r="AZ7">
        <v>1</v>
      </c>
      <c r="BA7">
        <v>0</v>
      </c>
      <c r="BC7">
        <v>5</v>
      </c>
      <c r="BE7">
        <v>1</v>
      </c>
      <c r="BG7">
        <v>1</v>
      </c>
      <c r="BH7">
        <v>1</v>
      </c>
      <c r="BI7">
        <v>2</v>
      </c>
      <c r="BJ7">
        <v>1</v>
      </c>
      <c r="BK7">
        <v>1</v>
      </c>
      <c r="BL7">
        <v>2</v>
      </c>
      <c r="BM7">
        <v>3</v>
      </c>
      <c r="CQ7">
        <v>3</v>
      </c>
      <c r="CR7">
        <v>3</v>
      </c>
      <c r="CS7">
        <v>0</v>
      </c>
      <c r="CT7">
        <v>0</v>
      </c>
      <c r="CU7">
        <v>0</v>
      </c>
      <c r="CV7">
        <v>0</v>
      </c>
      <c r="CW7">
        <v>0</v>
      </c>
      <c r="CX7">
        <v>0</v>
      </c>
      <c r="CY7">
        <v>1</v>
      </c>
      <c r="CZ7">
        <v>0</v>
      </c>
      <c r="DA7">
        <v>0</v>
      </c>
      <c r="DB7">
        <v>0</v>
      </c>
      <c r="DC7">
        <v>0</v>
      </c>
      <c r="DD7">
        <v>0</v>
      </c>
      <c r="DE7">
        <v>1</v>
      </c>
      <c r="DF7">
        <v>0</v>
      </c>
      <c r="DG7">
        <v>0</v>
      </c>
      <c r="DH7">
        <v>0</v>
      </c>
      <c r="DJ7" t="s">
        <v>282</v>
      </c>
      <c r="DK7">
        <v>2</v>
      </c>
      <c r="DL7">
        <v>1</v>
      </c>
      <c r="DN7">
        <v>1</v>
      </c>
      <c r="DP7">
        <v>2</v>
      </c>
      <c r="DS7">
        <v>1</v>
      </c>
      <c r="DU7">
        <v>11</v>
      </c>
      <c r="DW7" t="s">
        <v>283</v>
      </c>
      <c r="DX7">
        <v>3</v>
      </c>
      <c r="DY7" t="s">
        <v>284</v>
      </c>
      <c r="DZ7">
        <v>4</v>
      </c>
      <c r="EB7">
        <v>0</v>
      </c>
      <c r="EC7">
        <v>1</v>
      </c>
      <c r="ED7">
        <v>0</v>
      </c>
      <c r="EE7">
        <v>1</v>
      </c>
      <c r="EF7">
        <v>1</v>
      </c>
      <c r="EG7">
        <v>1</v>
      </c>
      <c r="EH7">
        <v>0</v>
      </c>
      <c r="EI7">
        <v>0</v>
      </c>
      <c r="EJ7">
        <v>0</v>
      </c>
      <c r="EK7">
        <v>0</v>
      </c>
      <c r="EM7">
        <v>0</v>
      </c>
      <c r="EN7">
        <v>0</v>
      </c>
      <c r="EO7">
        <v>0</v>
      </c>
      <c r="EP7">
        <v>1</v>
      </c>
      <c r="EQ7">
        <v>1</v>
      </c>
      <c r="ER7">
        <v>0</v>
      </c>
      <c r="ES7">
        <v>0</v>
      </c>
      <c r="ET7">
        <v>0</v>
      </c>
      <c r="EU7">
        <v>0</v>
      </c>
      <c r="EV7">
        <v>1</v>
      </c>
      <c r="EW7">
        <v>1</v>
      </c>
      <c r="EX7">
        <v>0</v>
      </c>
      <c r="EY7">
        <v>0</v>
      </c>
      <c r="HC7" t="s">
        <v>285</v>
      </c>
      <c r="HD7">
        <v>1</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Z7">
        <v>1</v>
      </c>
      <c r="JA7">
        <v>1</v>
      </c>
      <c r="JB7">
        <v>1</v>
      </c>
      <c r="JC7">
        <v>0</v>
      </c>
      <c r="JD7">
        <v>0</v>
      </c>
      <c r="JE7">
        <v>0</v>
      </c>
      <c r="JF7">
        <v>0</v>
      </c>
      <c r="JG7">
        <v>0</v>
      </c>
      <c r="JH7">
        <v>0</v>
      </c>
      <c r="JI7">
        <v>0</v>
      </c>
      <c r="JJ7">
        <v>0</v>
      </c>
      <c r="JL7">
        <v>2</v>
      </c>
      <c r="JM7" cm="1">
        <f t="array" ref="JM7">IF(OR(JN7:JQ7 &lt;&gt; ""), 1, 0)</f>
        <v>0</v>
      </c>
    </row>
    <row r="8" spans="1:278" x14ac:dyDescent="0.35">
      <c r="A8">
        <v>393100</v>
      </c>
      <c r="C8">
        <v>1</v>
      </c>
      <c r="D8" t="s">
        <v>286</v>
      </c>
      <c r="E8" t="str">
        <f>_xlfn.XLOOKUP(I8, [1]SchoolDistrictStudyWODuplicates!$K:$K, [1]SchoolDistrictStudyWODuplicates!$E:$E, "")</f>
        <v>Union Elementary #62</v>
      </c>
      <c r="G8" t="s">
        <v>287</v>
      </c>
      <c r="H8" s="5" t="e">
        <f>_xlfn.XLOOKUP(A8,#REF!,#REF!, "No")</f>
        <v>#REF!</v>
      </c>
      <c r="I8" s="7">
        <v>408820</v>
      </c>
      <c r="J8" s="5" t="e">
        <f>_xlfn.XLOOKUP(I8,#REF!,#REF!,"Not Determined")</f>
        <v>#REF!</v>
      </c>
      <c r="K8" s="5" t="s">
        <v>298</v>
      </c>
      <c r="L8" t="s">
        <v>288</v>
      </c>
      <c r="M8" s="13" t="e">
        <f>_xlfn.XLOOKUP(I8,#REF!,#REF!, "No")</f>
        <v>#REF!</v>
      </c>
      <c r="N8" s="5" t="str">
        <f t="shared" si="11"/>
        <v>No</v>
      </c>
      <c r="O8" s="5" t="str">
        <f t="shared" si="12"/>
        <v>Yes</v>
      </c>
      <c r="P8" s="5" t="str">
        <f t="shared" si="13"/>
        <v>No</v>
      </c>
      <c r="Q8" s="5" t="str">
        <f t="shared" si="14"/>
        <v>Yes</v>
      </c>
      <c r="R8" s="5" t="str">
        <f t="shared" si="15"/>
        <v>Yes</v>
      </c>
      <c r="S8" s="5" t="str">
        <f t="shared" si="16"/>
        <v>Yes</v>
      </c>
      <c r="T8" s="5" t="str">
        <f t="shared" si="17"/>
        <v>Yes</v>
      </c>
      <c r="U8" s="5" t="str">
        <f t="shared" si="18"/>
        <v>Yes</v>
      </c>
      <c r="V8" s="5" t="str" cm="1">
        <f t="array" ref="V8">IF(OR(DB8:DG8 =1), "Yes", "No")</f>
        <v>No</v>
      </c>
      <c r="W8" s="5" t="str">
        <f t="shared" si="19"/>
        <v>Yes</v>
      </c>
      <c r="X8" s="5" t="str">
        <f t="shared" si="20"/>
        <v>No</v>
      </c>
      <c r="Y8" s="5" t="str">
        <f t="shared" si="21"/>
        <v>No</v>
      </c>
      <c r="Z8">
        <v>3</v>
      </c>
      <c r="AB8">
        <v>1</v>
      </c>
      <c r="AC8">
        <v>0</v>
      </c>
      <c r="AD8">
        <v>1</v>
      </c>
      <c r="AE8">
        <v>0</v>
      </c>
      <c r="AF8">
        <v>0</v>
      </c>
      <c r="AG8">
        <v>1</v>
      </c>
      <c r="AH8">
        <v>0</v>
      </c>
      <c r="AI8">
        <v>1</v>
      </c>
      <c r="AJ8">
        <v>0</v>
      </c>
      <c r="AK8">
        <v>1</v>
      </c>
      <c r="AM8">
        <v>1</v>
      </c>
      <c r="AN8">
        <v>1</v>
      </c>
      <c r="AO8">
        <v>0</v>
      </c>
      <c r="AP8">
        <v>3</v>
      </c>
      <c r="AQ8">
        <v>8</v>
      </c>
      <c r="AS8">
        <v>3</v>
      </c>
      <c r="AT8">
        <v>8</v>
      </c>
      <c r="AV8">
        <v>1</v>
      </c>
      <c r="AW8">
        <v>1</v>
      </c>
      <c r="AX8">
        <v>0</v>
      </c>
      <c r="AY8">
        <v>0</v>
      </c>
      <c r="AZ8">
        <v>0</v>
      </c>
      <c r="BA8">
        <v>0</v>
      </c>
      <c r="BC8">
        <v>1</v>
      </c>
      <c r="BE8">
        <v>1</v>
      </c>
      <c r="BG8">
        <v>1</v>
      </c>
      <c r="BH8">
        <v>1</v>
      </c>
      <c r="BI8">
        <v>5</v>
      </c>
      <c r="BJ8">
        <v>1</v>
      </c>
      <c r="BK8">
        <v>6</v>
      </c>
      <c r="BL8">
        <v>1</v>
      </c>
      <c r="BM8">
        <v>3</v>
      </c>
      <c r="BN8">
        <v>1</v>
      </c>
      <c r="BO8">
        <v>1</v>
      </c>
      <c r="BP8">
        <v>0</v>
      </c>
      <c r="BQ8">
        <v>0</v>
      </c>
      <c r="BR8">
        <v>0</v>
      </c>
      <c r="BS8">
        <v>0</v>
      </c>
      <c r="BT8">
        <v>0</v>
      </c>
      <c r="BV8">
        <v>0</v>
      </c>
      <c r="BW8">
        <v>0</v>
      </c>
      <c r="BX8">
        <v>0</v>
      </c>
      <c r="BY8">
        <v>0</v>
      </c>
      <c r="BZ8">
        <v>0</v>
      </c>
      <c r="CA8">
        <v>0</v>
      </c>
      <c r="CB8">
        <v>0</v>
      </c>
      <c r="CC8">
        <v>0</v>
      </c>
      <c r="CD8">
        <v>1</v>
      </c>
      <c r="CE8">
        <v>1</v>
      </c>
      <c r="CF8">
        <v>0</v>
      </c>
      <c r="CG8">
        <v>0</v>
      </c>
      <c r="CH8">
        <v>0</v>
      </c>
      <c r="CI8">
        <v>0</v>
      </c>
      <c r="CJ8">
        <v>1</v>
      </c>
      <c r="CK8">
        <v>0</v>
      </c>
      <c r="CL8">
        <v>0</v>
      </c>
      <c r="CN8">
        <v>9</v>
      </c>
      <c r="CO8">
        <v>3</v>
      </c>
      <c r="CP8" t="s">
        <v>289</v>
      </c>
      <c r="CQ8">
        <v>5</v>
      </c>
      <c r="CR8">
        <v>4</v>
      </c>
      <c r="EB8">
        <v>0</v>
      </c>
      <c r="EC8">
        <v>0</v>
      </c>
      <c r="ED8">
        <v>0</v>
      </c>
      <c r="EE8">
        <v>0</v>
      </c>
      <c r="EF8">
        <v>0</v>
      </c>
      <c r="EG8">
        <v>0</v>
      </c>
      <c r="EH8">
        <v>0</v>
      </c>
      <c r="EI8">
        <v>0</v>
      </c>
      <c r="EJ8">
        <v>1</v>
      </c>
      <c r="EK8">
        <v>0</v>
      </c>
      <c r="EL8" t="s">
        <v>290</v>
      </c>
      <c r="EM8">
        <v>0</v>
      </c>
      <c r="EN8">
        <v>0</v>
      </c>
      <c r="EO8">
        <v>0</v>
      </c>
      <c r="EP8">
        <v>1</v>
      </c>
      <c r="EQ8">
        <v>1</v>
      </c>
      <c r="ER8">
        <v>0</v>
      </c>
      <c r="ES8">
        <v>0</v>
      </c>
      <c r="ET8">
        <v>0</v>
      </c>
      <c r="EU8">
        <v>1</v>
      </c>
      <c r="EV8">
        <v>0</v>
      </c>
      <c r="EW8">
        <v>1</v>
      </c>
      <c r="EX8">
        <v>0</v>
      </c>
      <c r="EY8">
        <v>0</v>
      </c>
      <c r="IZ8">
        <v>0</v>
      </c>
      <c r="JA8">
        <v>0</v>
      </c>
      <c r="JB8">
        <v>0</v>
      </c>
      <c r="JC8">
        <v>0</v>
      </c>
      <c r="JD8">
        <v>0</v>
      </c>
      <c r="JE8">
        <v>0</v>
      </c>
      <c r="JF8">
        <v>0</v>
      </c>
      <c r="JG8">
        <v>0</v>
      </c>
      <c r="JH8">
        <v>0</v>
      </c>
      <c r="JI8">
        <v>0</v>
      </c>
      <c r="JJ8">
        <v>1</v>
      </c>
      <c r="JL8">
        <v>1</v>
      </c>
      <c r="JM8" cm="1">
        <f t="array" ref="JM8">IF(OR(JN8:JQ8 &lt;&gt; ""), 1, 0)</f>
        <v>1</v>
      </c>
      <c r="JN8">
        <v>1</v>
      </c>
      <c r="JO8">
        <v>1</v>
      </c>
      <c r="JP8">
        <v>0</v>
      </c>
      <c r="JQ8">
        <v>0</v>
      </c>
    </row>
    <row r="9" spans="1:278" x14ac:dyDescent="0.35">
      <c r="A9">
        <v>370466</v>
      </c>
      <c r="C9">
        <v>1</v>
      </c>
      <c r="D9" t="s">
        <v>291</v>
      </c>
      <c r="E9" t="str">
        <f>_xlfn.XLOOKUP(I9, [1]SchoolDistrictStudyWODuplicates!$K:$K, [1]SchoolDistrictStudyWODuplicates!$E:$E, "")</f>
        <v/>
      </c>
      <c r="G9" t="s">
        <v>292</v>
      </c>
      <c r="H9" s="7">
        <v>500070</v>
      </c>
      <c r="I9" s="7">
        <v>500070</v>
      </c>
      <c r="J9" s="5" t="e">
        <f>_xlfn.XLOOKUP(I9,#REF!,#REF!,"Not Determined")</f>
        <v>#REF!</v>
      </c>
      <c r="K9" s="5" t="s">
        <v>1351</v>
      </c>
      <c r="L9" t="s">
        <v>293</v>
      </c>
      <c r="M9" s="13" t="e">
        <f>_xlfn.XLOOKUP(I9,#REF!,#REF!, "No")</f>
        <v>#REF!</v>
      </c>
      <c r="N9" s="5" t="str">
        <f t="shared" si="11"/>
        <v>No</v>
      </c>
      <c r="O9" s="5" t="str">
        <f t="shared" si="12"/>
        <v>Yes</v>
      </c>
      <c r="P9" s="5" t="str">
        <f t="shared" si="13"/>
        <v>Yes</v>
      </c>
      <c r="Q9" s="5" t="str">
        <f t="shared" si="14"/>
        <v>Yes</v>
      </c>
      <c r="R9" s="5" t="str">
        <f t="shared" si="15"/>
        <v>Yes</v>
      </c>
      <c r="S9" s="5" t="str">
        <f t="shared" si="16"/>
        <v>Yes</v>
      </c>
      <c r="T9" s="5" t="str">
        <f t="shared" si="17"/>
        <v>Yes</v>
      </c>
      <c r="U9" s="5" t="str">
        <f t="shared" si="18"/>
        <v>Yes</v>
      </c>
      <c r="V9" s="5" t="str" cm="1">
        <f t="array" ref="V9">IF(OR(DB9:DG9 =1), "Yes", "No")</f>
        <v>No</v>
      </c>
      <c r="W9" s="5" t="str">
        <f t="shared" si="19"/>
        <v>No</v>
      </c>
      <c r="X9" s="5" t="str">
        <f t="shared" si="20"/>
        <v>No</v>
      </c>
      <c r="Y9" s="5" t="str">
        <f t="shared" si="21"/>
        <v>No</v>
      </c>
      <c r="Z9">
        <v>3</v>
      </c>
      <c r="AB9">
        <v>0</v>
      </c>
      <c r="AC9">
        <v>0</v>
      </c>
      <c r="AD9">
        <v>1</v>
      </c>
      <c r="AE9">
        <v>0</v>
      </c>
      <c r="AF9">
        <v>0</v>
      </c>
      <c r="AG9">
        <v>0</v>
      </c>
      <c r="AH9">
        <v>0</v>
      </c>
      <c r="AI9">
        <v>0</v>
      </c>
      <c r="AJ9">
        <v>0</v>
      </c>
      <c r="AK9">
        <v>1</v>
      </c>
      <c r="AM9">
        <v>1</v>
      </c>
      <c r="AN9">
        <v>1</v>
      </c>
      <c r="AO9">
        <v>1</v>
      </c>
      <c r="AP9">
        <v>5</v>
      </c>
      <c r="AQ9">
        <v>3</v>
      </c>
      <c r="AR9">
        <v>11</v>
      </c>
      <c r="AS9">
        <v>5</v>
      </c>
      <c r="AT9">
        <v>3</v>
      </c>
      <c r="AU9">
        <v>11</v>
      </c>
      <c r="AV9">
        <v>1</v>
      </c>
      <c r="AW9">
        <v>1</v>
      </c>
      <c r="AX9">
        <v>0</v>
      </c>
      <c r="AY9">
        <v>0</v>
      </c>
      <c r="AZ9">
        <v>0</v>
      </c>
      <c r="BA9">
        <v>0</v>
      </c>
      <c r="BC9">
        <v>2</v>
      </c>
      <c r="BE9">
        <v>1</v>
      </c>
      <c r="BG9">
        <v>1</v>
      </c>
      <c r="BH9">
        <v>1</v>
      </c>
      <c r="BI9">
        <v>5</v>
      </c>
      <c r="BJ9">
        <v>2</v>
      </c>
      <c r="BL9">
        <v>2</v>
      </c>
      <c r="BM9">
        <v>1</v>
      </c>
      <c r="BN9">
        <v>2</v>
      </c>
      <c r="BV9">
        <v>0</v>
      </c>
      <c r="BW9">
        <v>0</v>
      </c>
      <c r="BX9">
        <v>1</v>
      </c>
      <c r="BY9">
        <v>0</v>
      </c>
      <c r="BZ9">
        <v>0</v>
      </c>
      <c r="CA9">
        <v>0</v>
      </c>
      <c r="CB9">
        <v>0</v>
      </c>
      <c r="CC9">
        <v>0</v>
      </c>
      <c r="CD9">
        <v>1</v>
      </c>
      <c r="CE9">
        <v>0</v>
      </c>
      <c r="CF9">
        <v>0</v>
      </c>
      <c r="CG9">
        <v>0</v>
      </c>
      <c r="CH9">
        <v>0</v>
      </c>
      <c r="CI9">
        <v>1</v>
      </c>
      <c r="CJ9">
        <v>0</v>
      </c>
      <c r="CK9">
        <v>1</v>
      </c>
      <c r="CL9">
        <v>0</v>
      </c>
      <c r="CN9">
        <v>16</v>
      </c>
      <c r="CO9">
        <v>4</v>
      </c>
      <c r="CQ9">
        <v>4</v>
      </c>
      <c r="CR9">
        <v>4</v>
      </c>
      <c r="EB9">
        <v>1</v>
      </c>
      <c r="EC9">
        <v>0</v>
      </c>
      <c r="ED9">
        <v>1</v>
      </c>
      <c r="EE9">
        <v>0</v>
      </c>
      <c r="EF9">
        <v>0</v>
      </c>
      <c r="EG9">
        <v>1</v>
      </c>
      <c r="EH9">
        <v>0</v>
      </c>
      <c r="EI9">
        <v>0</v>
      </c>
      <c r="EJ9">
        <v>0</v>
      </c>
      <c r="EK9">
        <v>0</v>
      </c>
      <c r="EM9">
        <v>1</v>
      </c>
      <c r="EN9">
        <v>1</v>
      </c>
      <c r="EO9">
        <v>0</v>
      </c>
      <c r="EP9">
        <v>0</v>
      </c>
      <c r="EQ9">
        <v>0</v>
      </c>
      <c r="ER9">
        <v>0</v>
      </c>
      <c r="ES9">
        <v>0</v>
      </c>
      <c r="ET9">
        <v>0</v>
      </c>
      <c r="EU9">
        <v>0</v>
      </c>
      <c r="EV9">
        <v>0</v>
      </c>
      <c r="EW9">
        <v>1</v>
      </c>
      <c r="EX9">
        <v>0</v>
      </c>
      <c r="EY9">
        <v>0</v>
      </c>
      <c r="EZ9" t="s">
        <v>294</v>
      </c>
      <c r="FA9">
        <v>1</v>
      </c>
      <c r="FB9" t="s">
        <v>295</v>
      </c>
      <c r="FC9">
        <v>0</v>
      </c>
      <c r="FD9">
        <v>0</v>
      </c>
      <c r="FE9">
        <v>0</v>
      </c>
      <c r="FF9">
        <v>0</v>
      </c>
      <c r="FG9">
        <v>0</v>
      </c>
      <c r="FH9">
        <v>0</v>
      </c>
      <c r="FI9">
        <v>0</v>
      </c>
      <c r="FJ9">
        <v>0</v>
      </c>
      <c r="FK9">
        <v>0</v>
      </c>
      <c r="FL9">
        <v>0</v>
      </c>
      <c r="FM9">
        <v>0</v>
      </c>
      <c r="FN9">
        <v>0</v>
      </c>
      <c r="FO9">
        <v>0</v>
      </c>
      <c r="FP9">
        <v>0</v>
      </c>
      <c r="FQ9">
        <v>0</v>
      </c>
      <c r="FR9">
        <v>1</v>
      </c>
      <c r="FS9">
        <v>0</v>
      </c>
      <c r="FT9">
        <v>0</v>
      </c>
      <c r="FU9">
        <v>0</v>
      </c>
      <c r="FV9">
        <v>0</v>
      </c>
      <c r="FW9">
        <v>0</v>
      </c>
      <c r="FX9">
        <v>0</v>
      </c>
      <c r="IZ9">
        <v>1</v>
      </c>
      <c r="JA9">
        <v>1</v>
      </c>
      <c r="JB9">
        <v>0</v>
      </c>
      <c r="JC9">
        <v>1</v>
      </c>
      <c r="JD9">
        <v>0</v>
      </c>
      <c r="JE9">
        <v>0</v>
      </c>
      <c r="JF9">
        <v>0</v>
      </c>
      <c r="JG9">
        <v>0</v>
      </c>
      <c r="JH9">
        <v>0</v>
      </c>
      <c r="JI9">
        <v>0</v>
      </c>
      <c r="JJ9">
        <v>0</v>
      </c>
      <c r="JL9">
        <v>2</v>
      </c>
      <c r="JM9" cm="1">
        <f t="array" ref="JM9">IF(OR(JN9:JQ9 &lt;&gt; ""), 1, 0)</f>
        <v>0</v>
      </c>
    </row>
    <row r="10" spans="1:278" x14ac:dyDescent="0.35">
      <c r="A10">
        <v>397212</v>
      </c>
      <c r="C10">
        <v>1</v>
      </c>
      <c r="D10" t="s">
        <v>296</v>
      </c>
      <c r="E10" t="str">
        <f>_xlfn.XLOOKUP(I10, [1]SchoolDistrictStudyWODuplicates!$K:$K, [1]SchoolDistrictStudyWODuplicates!$E:$E, "")</f>
        <v>Concho Elementary School District #6</v>
      </c>
      <c r="G10" t="s">
        <v>297</v>
      </c>
      <c r="H10" s="5" t="e">
        <f>_xlfn.XLOOKUP(A10,#REF!,#REF!, "No")</f>
        <v>#REF!</v>
      </c>
      <c r="I10" s="7">
        <v>402190</v>
      </c>
      <c r="J10" s="5" t="e">
        <f>_xlfn.XLOOKUP(I10,#REF!,#REF!,"Not Determined")</f>
        <v>#REF!</v>
      </c>
      <c r="K10" s="5" t="s">
        <v>298</v>
      </c>
      <c r="L10" t="s">
        <v>298</v>
      </c>
      <c r="M10" s="13" t="e">
        <f>_xlfn.XLOOKUP(I10,#REF!,#REF!, "No")</f>
        <v>#REF!</v>
      </c>
      <c r="N10" s="5" t="str">
        <f t="shared" si="11"/>
        <v>No</v>
      </c>
      <c r="O10" s="5" t="str">
        <f t="shared" si="12"/>
        <v>Yes</v>
      </c>
      <c r="P10" s="5" t="str">
        <f t="shared" si="13"/>
        <v>Yes</v>
      </c>
      <c r="Q10" s="5" t="str">
        <f t="shared" si="14"/>
        <v>Yes</v>
      </c>
      <c r="R10" s="5" t="str">
        <f t="shared" si="15"/>
        <v>Yes</v>
      </c>
      <c r="S10" s="5" t="str">
        <f t="shared" si="16"/>
        <v>Yes</v>
      </c>
      <c r="T10" s="5" t="str">
        <f t="shared" si="17"/>
        <v>Yes</v>
      </c>
      <c r="U10" s="5" t="str">
        <f t="shared" si="18"/>
        <v>Yes</v>
      </c>
      <c r="V10" s="5" t="str" cm="1">
        <f t="array" ref="V10">IF(OR(DB10:DG10 =1), "Yes", "No")</f>
        <v>No</v>
      </c>
      <c r="W10" s="5" t="str">
        <f t="shared" si="19"/>
        <v>Yes</v>
      </c>
      <c r="X10" s="5" t="str">
        <f t="shared" si="20"/>
        <v>No</v>
      </c>
      <c r="Y10" s="5" t="str">
        <f t="shared" si="21"/>
        <v>No</v>
      </c>
      <c r="Z10">
        <v>4</v>
      </c>
      <c r="AB10">
        <v>1</v>
      </c>
      <c r="AC10">
        <v>0</v>
      </c>
      <c r="AD10">
        <v>0</v>
      </c>
      <c r="AE10">
        <v>1</v>
      </c>
      <c r="AF10">
        <v>0</v>
      </c>
      <c r="AG10">
        <v>0</v>
      </c>
      <c r="AH10">
        <v>0</v>
      </c>
      <c r="AI10">
        <v>1</v>
      </c>
      <c r="AJ10">
        <v>0</v>
      </c>
      <c r="AK10">
        <v>1</v>
      </c>
      <c r="AM10">
        <v>1</v>
      </c>
      <c r="AN10">
        <v>1</v>
      </c>
      <c r="AO10">
        <v>1</v>
      </c>
      <c r="AP10">
        <v>4</v>
      </c>
      <c r="AQ10">
        <v>7</v>
      </c>
      <c r="AR10">
        <v>2</v>
      </c>
      <c r="AS10">
        <v>4</v>
      </c>
      <c r="AT10">
        <v>7</v>
      </c>
      <c r="AU10">
        <v>2</v>
      </c>
      <c r="AV10">
        <v>1</v>
      </c>
      <c r="AW10">
        <v>1</v>
      </c>
      <c r="AX10">
        <v>0</v>
      </c>
      <c r="AY10">
        <v>0</v>
      </c>
      <c r="AZ10">
        <v>0</v>
      </c>
      <c r="BA10">
        <v>0</v>
      </c>
      <c r="BC10">
        <v>1</v>
      </c>
      <c r="BE10">
        <v>1</v>
      </c>
      <c r="BG10">
        <v>1</v>
      </c>
      <c r="BH10">
        <v>1</v>
      </c>
      <c r="BI10">
        <v>4</v>
      </c>
      <c r="BJ10">
        <v>1</v>
      </c>
      <c r="BK10">
        <v>5</v>
      </c>
      <c r="BL10">
        <v>1</v>
      </c>
      <c r="BM10">
        <v>1</v>
      </c>
      <c r="BN10">
        <v>2</v>
      </c>
      <c r="BV10">
        <v>0</v>
      </c>
      <c r="BW10">
        <v>0</v>
      </c>
      <c r="BX10">
        <v>0</v>
      </c>
      <c r="BY10">
        <v>0</v>
      </c>
      <c r="BZ10">
        <v>1</v>
      </c>
      <c r="CA10">
        <v>0</v>
      </c>
      <c r="CB10">
        <v>0</v>
      </c>
      <c r="CC10">
        <v>0</v>
      </c>
      <c r="CD10">
        <v>0</v>
      </c>
      <c r="CE10">
        <v>0</v>
      </c>
      <c r="CF10">
        <v>0</v>
      </c>
      <c r="CG10">
        <v>0</v>
      </c>
      <c r="CH10">
        <v>0</v>
      </c>
      <c r="CI10">
        <v>0</v>
      </c>
      <c r="CJ10">
        <v>0</v>
      </c>
      <c r="CK10">
        <v>0</v>
      </c>
      <c r="CL10">
        <v>1</v>
      </c>
      <c r="CM10" t="s">
        <v>299</v>
      </c>
      <c r="CN10">
        <v>5</v>
      </c>
      <c r="CO10">
        <v>4</v>
      </c>
      <c r="CQ10">
        <v>5</v>
      </c>
      <c r="CR10">
        <v>4</v>
      </c>
      <c r="EB10">
        <v>0</v>
      </c>
      <c r="EC10">
        <v>0</v>
      </c>
      <c r="ED10">
        <v>1</v>
      </c>
      <c r="EE10">
        <v>0</v>
      </c>
      <c r="EF10">
        <v>0</v>
      </c>
      <c r="EG10">
        <v>1</v>
      </c>
      <c r="EH10">
        <v>0</v>
      </c>
      <c r="EI10">
        <v>0</v>
      </c>
      <c r="EJ10">
        <v>0</v>
      </c>
      <c r="EK10">
        <v>0</v>
      </c>
      <c r="EM10">
        <v>0</v>
      </c>
      <c r="EN10">
        <v>0</v>
      </c>
      <c r="EO10">
        <v>1</v>
      </c>
      <c r="EP10">
        <v>1</v>
      </c>
      <c r="EQ10">
        <v>0</v>
      </c>
      <c r="ER10">
        <v>0</v>
      </c>
      <c r="ES10">
        <v>0</v>
      </c>
      <c r="ET10">
        <v>0</v>
      </c>
      <c r="EU10">
        <v>0</v>
      </c>
      <c r="EV10">
        <v>0</v>
      </c>
      <c r="EW10">
        <v>1</v>
      </c>
      <c r="EX10">
        <v>0</v>
      </c>
      <c r="EY10">
        <v>0</v>
      </c>
      <c r="FY10" t="s">
        <v>300</v>
      </c>
      <c r="FZ10">
        <v>1</v>
      </c>
      <c r="GA10">
        <v>0</v>
      </c>
      <c r="GB10">
        <v>0</v>
      </c>
      <c r="GC10">
        <v>0</v>
      </c>
      <c r="GD10">
        <v>0</v>
      </c>
      <c r="GE10">
        <v>0</v>
      </c>
      <c r="GF10">
        <v>0</v>
      </c>
      <c r="GG10">
        <v>0</v>
      </c>
      <c r="GH10">
        <v>0</v>
      </c>
      <c r="GI10">
        <v>0</v>
      </c>
      <c r="GJ10">
        <v>0</v>
      </c>
      <c r="GK10">
        <v>0</v>
      </c>
      <c r="GL10">
        <v>0</v>
      </c>
      <c r="GM10">
        <v>0</v>
      </c>
      <c r="GN10">
        <v>0</v>
      </c>
      <c r="GO10">
        <v>0</v>
      </c>
      <c r="GP10">
        <v>0</v>
      </c>
      <c r="GQ10">
        <v>0</v>
      </c>
      <c r="GR10">
        <v>0</v>
      </c>
      <c r="IZ10">
        <v>1</v>
      </c>
      <c r="JA10">
        <v>0</v>
      </c>
      <c r="JB10">
        <v>1</v>
      </c>
      <c r="JC10">
        <v>0</v>
      </c>
      <c r="JD10">
        <v>0</v>
      </c>
      <c r="JE10">
        <v>0</v>
      </c>
      <c r="JF10">
        <v>0</v>
      </c>
      <c r="JG10">
        <v>0</v>
      </c>
      <c r="JH10">
        <v>0</v>
      </c>
      <c r="JI10">
        <v>0</v>
      </c>
      <c r="JJ10">
        <v>0</v>
      </c>
      <c r="JL10">
        <v>1</v>
      </c>
      <c r="JM10" cm="1">
        <f t="array" ref="JM10">IF(OR(JN10:JQ10 &lt;&gt; ""), 1, 0)</f>
        <v>1</v>
      </c>
      <c r="JN10">
        <v>0</v>
      </c>
      <c r="JO10">
        <v>1</v>
      </c>
      <c r="JP10">
        <v>0</v>
      </c>
      <c r="JQ10">
        <v>0</v>
      </c>
    </row>
    <row r="11" spans="1:278" x14ac:dyDescent="0.35">
      <c r="A11">
        <v>405231</v>
      </c>
      <c r="C11">
        <v>1</v>
      </c>
      <c r="D11" t="s">
        <v>301</v>
      </c>
      <c r="E11" t="str">
        <f>_xlfn.XLOOKUP(I11, [1]SchoolDistrictStudyWODuplicates!$K:$K, [1]SchoolDistrictStudyWODuplicates!$E:$E, "")</f>
        <v/>
      </c>
      <c r="G11" t="s">
        <v>302</v>
      </c>
      <c r="H11" s="7">
        <v>403780</v>
      </c>
      <c r="I11" s="7">
        <v>403780</v>
      </c>
      <c r="J11" s="5" t="e">
        <f>_xlfn.XLOOKUP(I11,#REF!,#REF!,"Not Determined")</f>
        <v>#REF!</v>
      </c>
      <c r="K11" s="5" t="s">
        <v>298</v>
      </c>
      <c r="L11" t="s">
        <v>298</v>
      </c>
      <c r="M11" s="13" t="e">
        <f>_xlfn.XLOOKUP(I11,#REF!,#REF!, "No")</f>
        <v>#REF!</v>
      </c>
      <c r="N11" s="5" t="str">
        <f t="shared" si="11"/>
        <v>No</v>
      </c>
      <c r="O11" s="5" t="str">
        <f t="shared" si="12"/>
        <v>Yes</v>
      </c>
      <c r="P11" s="5" t="str">
        <f t="shared" si="13"/>
        <v>Yes</v>
      </c>
      <c r="Q11" s="5" t="str">
        <f t="shared" si="14"/>
        <v>Yes</v>
      </c>
      <c r="R11" s="5" t="str">
        <f t="shared" si="15"/>
        <v>Yes</v>
      </c>
      <c r="S11" s="5" t="str">
        <f t="shared" si="16"/>
        <v>Yes</v>
      </c>
      <c r="T11" s="5" t="str">
        <f t="shared" si="17"/>
        <v>Yes</v>
      </c>
      <c r="U11" s="5" t="str">
        <f t="shared" si="18"/>
        <v>Yes</v>
      </c>
      <c r="V11" s="5" t="str" cm="1">
        <f t="array" ref="V11">IF(OR(DB11:DG11 =1), "Yes", "No")</f>
        <v>No</v>
      </c>
      <c r="W11" s="5" t="str">
        <f t="shared" si="19"/>
        <v>No</v>
      </c>
      <c r="X11" s="5" t="str">
        <f t="shared" si="20"/>
        <v>No</v>
      </c>
      <c r="Y11" s="5" t="str">
        <f t="shared" si="21"/>
        <v>No</v>
      </c>
      <c r="Z11">
        <v>13</v>
      </c>
      <c r="AB11">
        <v>1</v>
      </c>
      <c r="AC11">
        <v>0</v>
      </c>
      <c r="AD11">
        <v>1</v>
      </c>
      <c r="AE11">
        <v>0</v>
      </c>
      <c r="AF11">
        <v>0</v>
      </c>
      <c r="AG11">
        <v>0</v>
      </c>
      <c r="AH11">
        <v>0</v>
      </c>
      <c r="AI11">
        <v>1</v>
      </c>
      <c r="AJ11">
        <v>0</v>
      </c>
      <c r="AK11">
        <v>1</v>
      </c>
      <c r="AM11">
        <v>1</v>
      </c>
      <c r="AN11">
        <v>1</v>
      </c>
      <c r="AO11">
        <v>1</v>
      </c>
      <c r="AP11">
        <v>25</v>
      </c>
      <c r="AQ11">
        <v>45</v>
      </c>
      <c r="AR11">
        <v>0</v>
      </c>
      <c r="AS11">
        <v>25</v>
      </c>
      <c r="AT11">
        <v>45</v>
      </c>
      <c r="AV11">
        <v>1</v>
      </c>
      <c r="AW11">
        <v>1</v>
      </c>
      <c r="AX11">
        <v>0</v>
      </c>
      <c r="AY11">
        <v>0</v>
      </c>
      <c r="AZ11">
        <v>0</v>
      </c>
      <c r="BA11">
        <v>0</v>
      </c>
      <c r="BC11">
        <v>1</v>
      </c>
      <c r="BE11">
        <v>1</v>
      </c>
      <c r="BG11">
        <v>1</v>
      </c>
      <c r="BH11">
        <v>1</v>
      </c>
      <c r="BI11">
        <v>4</v>
      </c>
      <c r="BJ11">
        <v>1</v>
      </c>
      <c r="BK11">
        <v>4</v>
      </c>
      <c r="BL11">
        <v>1</v>
      </c>
      <c r="BM11">
        <v>1</v>
      </c>
      <c r="BN11">
        <v>2</v>
      </c>
      <c r="BV11">
        <v>1</v>
      </c>
      <c r="BW11">
        <v>1</v>
      </c>
      <c r="BX11">
        <v>0</v>
      </c>
      <c r="BY11">
        <v>1</v>
      </c>
      <c r="BZ11">
        <v>0</v>
      </c>
      <c r="CA11">
        <v>1</v>
      </c>
      <c r="CB11">
        <v>0</v>
      </c>
      <c r="CC11">
        <v>1</v>
      </c>
      <c r="CD11">
        <v>1</v>
      </c>
      <c r="CE11">
        <v>1</v>
      </c>
      <c r="CF11">
        <v>0</v>
      </c>
      <c r="CG11">
        <v>1</v>
      </c>
      <c r="CH11">
        <v>0</v>
      </c>
      <c r="CI11">
        <v>1</v>
      </c>
      <c r="CJ11">
        <v>0</v>
      </c>
      <c r="CK11">
        <v>1</v>
      </c>
      <c r="CL11">
        <v>0</v>
      </c>
      <c r="CN11">
        <v>16</v>
      </c>
      <c r="CO11">
        <v>4</v>
      </c>
      <c r="CQ11">
        <v>3</v>
      </c>
      <c r="CR11">
        <v>3</v>
      </c>
      <c r="EB11">
        <v>0</v>
      </c>
      <c r="EC11">
        <v>0</v>
      </c>
      <c r="ED11">
        <v>0</v>
      </c>
      <c r="EE11">
        <v>0</v>
      </c>
      <c r="EF11">
        <v>0</v>
      </c>
      <c r="EG11">
        <v>0</v>
      </c>
      <c r="EH11">
        <v>0</v>
      </c>
      <c r="EI11">
        <v>0</v>
      </c>
      <c r="EJ11">
        <v>0</v>
      </c>
      <c r="EK11">
        <v>1</v>
      </c>
      <c r="EM11">
        <v>0</v>
      </c>
      <c r="EN11">
        <v>0</v>
      </c>
      <c r="EO11">
        <v>0</v>
      </c>
      <c r="EP11">
        <v>0</v>
      </c>
      <c r="EQ11">
        <v>0</v>
      </c>
      <c r="ER11">
        <v>0</v>
      </c>
      <c r="ES11">
        <v>0</v>
      </c>
      <c r="ET11">
        <v>0</v>
      </c>
      <c r="EU11">
        <v>0</v>
      </c>
      <c r="EV11">
        <v>0</v>
      </c>
      <c r="EW11">
        <v>0</v>
      </c>
      <c r="EX11">
        <v>0</v>
      </c>
      <c r="EY11">
        <v>1</v>
      </c>
      <c r="IZ11">
        <v>1</v>
      </c>
      <c r="JA11">
        <v>1</v>
      </c>
      <c r="JB11">
        <v>1</v>
      </c>
      <c r="JC11">
        <v>0</v>
      </c>
      <c r="JD11">
        <v>0</v>
      </c>
      <c r="JE11">
        <v>0</v>
      </c>
      <c r="JF11">
        <v>0</v>
      </c>
      <c r="JG11">
        <v>0</v>
      </c>
      <c r="JH11">
        <v>0</v>
      </c>
      <c r="JI11">
        <v>0</v>
      </c>
      <c r="JJ11">
        <v>0</v>
      </c>
      <c r="JL11">
        <v>2</v>
      </c>
      <c r="JM11" cm="1">
        <f t="array" ref="JM11">IF(OR(JN11:JQ11 &lt;&gt; ""), 1, 0)</f>
        <v>0</v>
      </c>
    </row>
    <row r="12" spans="1:278" x14ac:dyDescent="0.35">
      <c r="A12">
        <v>375749</v>
      </c>
      <c r="C12">
        <v>1</v>
      </c>
      <c r="D12" t="s">
        <v>306</v>
      </c>
      <c r="E12" t="str">
        <f>_xlfn.XLOOKUP(I12, [1]SchoolDistrictStudyWODuplicates!$K:$K, [1]SchoolDistrictStudyWODuplicates!$E:$E, "")</f>
        <v>Fontana Unified School District</v>
      </c>
      <c r="G12" t="s">
        <v>307</v>
      </c>
      <c r="H12" s="5" t="e">
        <f>_xlfn.XLOOKUP(A12,#REF!,#REF!, "No")</f>
        <v>#REF!</v>
      </c>
      <c r="I12" s="7">
        <v>613920</v>
      </c>
      <c r="J12" s="5" t="e">
        <f>_xlfn.XLOOKUP(I12,#REF!,#REF!,"Not Determined")</f>
        <v>#REF!</v>
      </c>
      <c r="K12" s="5" t="s">
        <v>305</v>
      </c>
      <c r="L12" t="s">
        <v>305</v>
      </c>
      <c r="M12" s="13" t="e">
        <f>_xlfn.XLOOKUP(I12,#REF!,#REF!, "No")</f>
        <v>#REF!</v>
      </c>
      <c r="N12" s="5" t="str">
        <f t="shared" si="11"/>
        <v>Yes</v>
      </c>
      <c r="O12" s="5" t="str">
        <f t="shared" si="12"/>
        <v>No</v>
      </c>
      <c r="P12" s="5" t="str">
        <f t="shared" si="13"/>
        <v>No</v>
      </c>
      <c r="Q12" s="5" t="str">
        <f t="shared" si="14"/>
        <v>No</v>
      </c>
      <c r="R12" s="5" t="str">
        <f t="shared" si="15"/>
        <v>No</v>
      </c>
      <c r="S12" s="5" t="str">
        <f t="shared" si="16"/>
        <v>No</v>
      </c>
      <c r="T12" s="5" t="str">
        <f t="shared" si="17"/>
        <v>No</v>
      </c>
      <c r="U12" s="5" t="str">
        <f t="shared" si="18"/>
        <v>No</v>
      </c>
      <c r="V12" s="5" t="str" cm="1">
        <f t="array" ref="V12">IF(OR(DB12:DG12 =1), "Yes", "No")</f>
        <v>No</v>
      </c>
      <c r="W12" s="5" t="str">
        <f t="shared" si="19"/>
        <v>No</v>
      </c>
      <c r="X12" s="5" t="str">
        <f t="shared" si="20"/>
        <v>No</v>
      </c>
      <c r="Y12" s="5" t="str">
        <f t="shared" si="21"/>
        <v>No</v>
      </c>
      <c r="Z12">
        <v>7</v>
      </c>
      <c r="AB12">
        <v>0</v>
      </c>
      <c r="AC12">
        <v>1</v>
      </c>
      <c r="AD12">
        <v>1</v>
      </c>
      <c r="AE12">
        <v>0</v>
      </c>
      <c r="AF12">
        <v>0</v>
      </c>
      <c r="AG12">
        <v>0</v>
      </c>
      <c r="AH12">
        <v>1</v>
      </c>
      <c r="AI12">
        <v>0</v>
      </c>
      <c r="AJ12">
        <v>0</v>
      </c>
      <c r="AK12">
        <v>1</v>
      </c>
      <c r="AM12">
        <v>1</v>
      </c>
      <c r="AN12">
        <v>1</v>
      </c>
      <c r="AO12">
        <v>1</v>
      </c>
      <c r="AP12">
        <v>2</v>
      </c>
      <c r="AQ12">
        <v>8</v>
      </c>
      <c r="AR12">
        <v>39</v>
      </c>
      <c r="AS12">
        <v>2</v>
      </c>
      <c r="AT12">
        <v>8</v>
      </c>
      <c r="AU12">
        <v>39</v>
      </c>
      <c r="AV12">
        <v>0</v>
      </c>
      <c r="AW12">
        <v>0</v>
      </c>
      <c r="AX12">
        <v>1</v>
      </c>
      <c r="AY12">
        <v>0</v>
      </c>
      <c r="AZ12">
        <v>1</v>
      </c>
      <c r="BA12">
        <v>0</v>
      </c>
      <c r="BC12">
        <v>3</v>
      </c>
      <c r="BE12">
        <v>1</v>
      </c>
      <c r="BG12">
        <v>1</v>
      </c>
      <c r="JM12" cm="1">
        <f t="array" ref="JM12">IF(OR(JN12:JQ12 &lt;&gt; ""), 1, 0)</f>
        <v>0</v>
      </c>
    </row>
    <row r="13" spans="1:278" x14ac:dyDescent="0.35">
      <c r="A13">
        <v>405482</v>
      </c>
      <c r="C13">
        <v>1</v>
      </c>
      <c r="D13" t="s">
        <v>308</v>
      </c>
      <c r="E13" t="str">
        <f>_xlfn.XLOOKUP(I13, [1]SchoolDistrictStudyWODuplicates!$K:$K, [1]SchoolDistrictStudyWODuplicates!$E:$E, "")</f>
        <v/>
      </c>
      <c r="G13" t="s">
        <v>309</v>
      </c>
      <c r="H13" s="5" t="e">
        <f>_xlfn.XLOOKUP(A13,#REF!,#REF!, "No")</f>
        <v>#REF!</v>
      </c>
      <c r="I13" s="7">
        <v>633110</v>
      </c>
      <c r="J13" s="5" t="e">
        <f>_xlfn.XLOOKUP(I13,#REF!,#REF!,"Not Determined")</f>
        <v>#REF!</v>
      </c>
      <c r="K13" s="5" t="s">
        <v>305</v>
      </c>
      <c r="L13" t="s">
        <v>305</v>
      </c>
      <c r="M13" s="13" t="e">
        <f>_xlfn.XLOOKUP(I13,#REF!,#REF!, "No")</f>
        <v>#REF!</v>
      </c>
      <c r="N13" s="5" t="str">
        <f t="shared" si="11"/>
        <v>No</v>
      </c>
      <c r="O13" s="5" t="str">
        <f t="shared" si="12"/>
        <v>Yes</v>
      </c>
      <c r="P13" s="5" t="str">
        <f t="shared" si="13"/>
        <v>Yes</v>
      </c>
      <c r="Q13" s="5" t="str">
        <f t="shared" si="14"/>
        <v>Yes</v>
      </c>
      <c r="R13" s="5" t="str">
        <f t="shared" si="15"/>
        <v>Yes</v>
      </c>
      <c r="S13" s="5" t="str">
        <f t="shared" si="16"/>
        <v>Yes</v>
      </c>
      <c r="T13" s="5" t="str">
        <f t="shared" si="17"/>
        <v>Yes</v>
      </c>
      <c r="U13" s="5" t="str">
        <f t="shared" si="18"/>
        <v>Yes</v>
      </c>
      <c r="V13" s="5" t="str" cm="1">
        <f t="array" ref="V13">IF(OR(DB13:DG13 =1), "Yes", "No")</f>
        <v>No</v>
      </c>
      <c r="W13" s="5" t="str">
        <f t="shared" si="19"/>
        <v>Yes</v>
      </c>
      <c r="X13" s="5" t="str">
        <f t="shared" si="20"/>
        <v>No</v>
      </c>
      <c r="Y13" s="5" t="str">
        <f t="shared" si="21"/>
        <v>No</v>
      </c>
      <c r="Z13">
        <v>2</v>
      </c>
      <c r="AB13">
        <v>1</v>
      </c>
      <c r="AC13">
        <v>0</v>
      </c>
      <c r="AD13">
        <v>0</v>
      </c>
      <c r="AE13">
        <v>0</v>
      </c>
      <c r="AF13">
        <v>0</v>
      </c>
      <c r="AG13">
        <v>0</v>
      </c>
      <c r="AH13">
        <v>0</v>
      </c>
      <c r="AI13">
        <v>0</v>
      </c>
      <c r="AJ13">
        <v>0</v>
      </c>
      <c r="AK13">
        <v>1</v>
      </c>
      <c r="AM13">
        <v>0</v>
      </c>
      <c r="AN13">
        <v>1</v>
      </c>
      <c r="AO13">
        <v>0</v>
      </c>
      <c r="AQ13">
        <v>12</v>
      </c>
      <c r="AT13">
        <v>12</v>
      </c>
      <c r="AV13">
        <v>1</v>
      </c>
      <c r="AW13">
        <v>0</v>
      </c>
      <c r="AX13">
        <v>0</v>
      </c>
      <c r="AY13">
        <v>0</v>
      </c>
      <c r="AZ13">
        <v>0</v>
      </c>
      <c r="BA13">
        <v>0</v>
      </c>
      <c r="BC13">
        <v>1</v>
      </c>
      <c r="BE13">
        <v>1</v>
      </c>
      <c r="BG13">
        <v>1</v>
      </c>
      <c r="BH13">
        <v>1</v>
      </c>
      <c r="BI13">
        <v>2</v>
      </c>
      <c r="BJ13">
        <v>2</v>
      </c>
      <c r="BL13">
        <v>2</v>
      </c>
      <c r="BM13">
        <v>1</v>
      </c>
      <c r="BN13">
        <v>1</v>
      </c>
      <c r="BO13">
        <v>0</v>
      </c>
      <c r="BP13">
        <v>0</v>
      </c>
      <c r="BQ13">
        <v>0</v>
      </c>
      <c r="BR13">
        <v>1</v>
      </c>
      <c r="BS13">
        <v>0</v>
      </c>
      <c r="BT13">
        <v>0</v>
      </c>
      <c r="BV13">
        <v>0</v>
      </c>
      <c r="BW13">
        <v>0</v>
      </c>
      <c r="BX13">
        <v>0</v>
      </c>
      <c r="BY13">
        <v>0</v>
      </c>
      <c r="BZ13">
        <v>0</v>
      </c>
      <c r="CA13">
        <v>0</v>
      </c>
      <c r="CB13">
        <v>0</v>
      </c>
      <c r="CC13">
        <v>0</v>
      </c>
      <c r="CD13">
        <v>0</v>
      </c>
      <c r="CE13">
        <v>0</v>
      </c>
      <c r="CF13">
        <v>0</v>
      </c>
      <c r="CG13">
        <v>0</v>
      </c>
      <c r="CH13">
        <v>0</v>
      </c>
      <c r="CI13">
        <v>0</v>
      </c>
      <c r="CJ13">
        <v>1</v>
      </c>
      <c r="CK13">
        <v>0</v>
      </c>
      <c r="CL13">
        <v>0</v>
      </c>
      <c r="CN13">
        <v>5</v>
      </c>
      <c r="CO13">
        <v>1</v>
      </c>
      <c r="CP13" t="s">
        <v>310</v>
      </c>
      <c r="CQ13">
        <v>3</v>
      </c>
      <c r="CR13">
        <v>3</v>
      </c>
      <c r="EB13">
        <v>0</v>
      </c>
      <c r="EC13">
        <v>0</v>
      </c>
      <c r="ED13">
        <v>1</v>
      </c>
      <c r="EE13">
        <v>0</v>
      </c>
      <c r="EF13">
        <v>0</v>
      </c>
      <c r="EG13">
        <v>1</v>
      </c>
      <c r="EH13">
        <v>0</v>
      </c>
      <c r="EI13">
        <v>0</v>
      </c>
      <c r="EJ13">
        <v>0</v>
      </c>
      <c r="EK13">
        <v>0</v>
      </c>
      <c r="EM13">
        <v>0</v>
      </c>
      <c r="EN13">
        <v>0</v>
      </c>
      <c r="EO13">
        <v>0</v>
      </c>
      <c r="EP13">
        <v>1</v>
      </c>
      <c r="EQ13">
        <v>0</v>
      </c>
      <c r="ER13">
        <v>0</v>
      </c>
      <c r="ES13">
        <v>0</v>
      </c>
      <c r="ET13">
        <v>0</v>
      </c>
      <c r="EU13">
        <v>1</v>
      </c>
      <c r="EV13">
        <v>0</v>
      </c>
      <c r="EW13">
        <v>0</v>
      </c>
      <c r="EX13">
        <v>0</v>
      </c>
      <c r="EY13">
        <v>0</v>
      </c>
      <c r="IZ13">
        <v>1</v>
      </c>
      <c r="JA13">
        <v>1</v>
      </c>
      <c r="JB13">
        <v>0</v>
      </c>
      <c r="JC13">
        <v>0</v>
      </c>
      <c r="JD13">
        <v>0</v>
      </c>
      <c r="JE13">
        <v>1</v>
      </c>
      <c r="JF13">
        <v>0</v>
      </c>
      <c r="JG13">
        <v>0</v>
      </c>
      <c r="JH13">
        <v>0</v>
      </c>
      <c r="JI13">
        <v>0</v>
      </c>
      <c r="JJ13">
        <v>0</v>
      </c>
      <c r="JL13">
        <v>1</v>
      </c>
      <c r="JM13" cm="1">
        <f t="array" ref="JM13">IF(OR(JN13:JQ13 &lt;&gt; ""), 1, 0)</f>
        <v>1</v>
      </c>
      <c r="JN13">
        <v>0</v>
      </c>
      <c r="JO13">
        <v>1</v>
      </c>
      <c r="JP13">
        <v>0</v>
      </c>
      <c r="JQ13">
        <v>0</v>
      </c>
    </row>
    <row r="14" spans="1:278" x14ac:dyDescent="0.35">
      <c r="A14">
        <v>363300</v>
      </c>
      <c r="C14">
        <v>1</v>
      </c>
      <c r="D14" t="s">
        <v>311</v>
      </c>
      <c r="E14" t="str">
        <f>_xlfn.XLOOKUP(I14, [1]SchoolDistrictStudyWODuplicates!$K:$K, [1]SchoolDistrictStudyWODuplicates!$E:$E, "")</f>
        <v/>
      </c>
      <c r="G14" t="s">
        <v>312</v>
      </c>
      <c r="H14" s="5" t="e">
        <f>_xlfn.XLOOKUP(A14,#REF!,#REF!, "No")</f>
        <v>#REF!</v>
      </c>
      <c r="I14" s="7">
        <v>635430</v>
      </c>
      <c r="J14" s="5" t="e">
        <f>_xlfn.XLOOKUP(I14,#REF!,#REF!,"Not Determined")</f>
        <v>#REF!</v>
      </c>
      <c r="K14" s="5" t="s">
        <v>305</v>
      </c>
      <c r="L14" t="s">
        <v>305</v>
      </c>
      <c r="M14" s="13" t="e">
        <f>_xlfn.XLOOKUP(I14,#REF!,#REF!, "No")</f>
        <v>#REF!</v>
      </c>
      <c r="N14" s="5" t="str">
        <f t="shared" si="11"/>
        <v>Yes</v>
      </c>
      <c r="O14" s="5" t="str">
        <f t="shared" si="12"/>
        <v>Yes</v>
      </c>
      <c r="P14" s="5" t="str">
        <f t="shared" si="13"/>
        <v>Yes</v>
      </c>
      <c r="Q14" s="5" t="str">
        <f t="shared" si="14"/>
        <v>Yes</v>
      </c>
      <c r="R14" s="5" t="str">
        <f t="shared" si="15"/>
        <v>Yes</v>
      </c>
      <c r="S14" s="5" t="str">
        <f t="shared" si="16"/>
        <v>Yes</v>
      </c>
      <c r="T14" s="5" t="str">
        <f t="shared" si="17"/>
        <v>Yes</v>
      </c>
      <c r="U14" s="5" t="str">
        <f t="shared" si="18"/>
        <v>Yes</v>
      </c>
      <c r="V14" s="5" t="str" cm="1">
        <f t="array" ref="V14">IF(OR(DB14:DG14 =1), "Yes", "No")</f>
        <v>Yes</v>
      </c>
      <c r="W14" s="5" t="str">
        <f t="shared" si="19"/>
        <v>No</v>
      </c>
      <c r="X14" s="5" t="str">
        <f t="shared" si="20"/>
        <v>No</v>
      </c>
      <c r="Y14" s="5" t="str">
        <f t="shared" si="21"/>
        <v>No</v>
      </c>
      <c r="Z14">
        <v>13</v>
      </c>
      <c r="AB14">
        <v>0</v>
      </c>
      <c r="AC14">
        <v>0</v>
      </c>
      <c r="AD14">
        <v>0</v>
      </c>
      <c r="AE14">
        <v>1</v>
      </c>
      <c r="AF14">
        <v>0</v>
      </c>
      <c r="AG14">
        <v>0</v>
      </c>
      <c r="AH14">
        <v>0</v>
      </c>
      <c r="AI14">
        <v>0</v>
      </c>
      <c r="AJ14">
        <v>0</v>
      </c>
      <c r="AK14">
        <v>1</v>
      </c>
      <c r="AM14">
        <v>0</v>
      </c>
      <c r="AN14">
        <v>0</v>
      </c>
      <c r="AO14">
        <v>1</v>
      </c>
      <c r="AR14">
        <v>25</v>
      </c>
      <c r="AU14">
        <v>25</v>
      </c>
      <c r="AV14">
        <v>1</v>
      </c>
      <c r="AW14">
        <v>0</v>
      </c>
      <c r="AX14">
        <v>0</v>
      </c>
      <c r="AY14">
        <v>0</v>
      </c>
      <c r="AZ14">
        <v>1</v>
      </c>
      <c r="BA14">
        <v>0</v>
      </c>
      <c r="BC14">
        <v>1</v>
      </c>
      <c r="BE14">
        <v>1</v>
      </c>
      <c r="BG14">
        <v>1</v>
      </c>
      <c r="BH14">
        <v>1</v>
      </c>
      <c r="BI14">
        <v>3</v>
      </c>
      <c r="BJ14">
        <v>2</v>
      </c>
      <c r="BL14">
        <v>2</v>
      </c>
      <c r="BM14">
        <v>1</v>
      </c>
      <c r="CQ14">
        <v>4</v>
      </c>
      <c r="CR14">
        <v>5</v>
      </c>
      <c r="CS14">
        <v>0</v>
      </c>
      <c r="CT14">
        <v>0</v>
      </c>
      <c r="CU14">
        <v>1</v>
      </c>
      <c r="CV14">
        <v>0</v>
      </c>
      <c r="CW14">
        <v>1</v>
      </c>
      <c r="CX14">
        <v>0</v>
      </c>
      <c r="CY14">
        <v>1</v>
      </c>
      <c r="CZ14">
        <v>0</v>
      </c>
      <c r="DA14">
        <v>0</v>
      </c>
      <c r="DB14">
        <v>1</v>
      </c>
      <c r="DC14">
        <v>0</v>
      </c>
      <c r="DD14">
        <v>0</v>
      </c>
      <c r="DE14">
        <v>0</v>
      </c>
      <c r="DF14">
        <v>0</v>
      </c>
      <c r="DG14">
        <v>0</v>
      </c>
      <c r="DH14">
        <v>0</v>
      </c>
      <c r="DJ14" t="s">
        <v>313</v>
      </c>
      <c r="DK14">
        <v>1</v>
      </c>
      <c r="DL14">
        <v>2</v>
      </c>
      <c r="DN14">
        <v>3</v>
      </c>
      <c r="DO14" t="s">
        <v>314</v>
      </c>
      <c r="DP14">
        <v>3</v>
      </c>
      <c r="DQ14" t="s">
        <v>315</v>
      </c>
      <c r="DS14">
        <v>3</v>
      </c>
      <c r="DT14" t="s">
        <v>316</v>
      </c>
      <c r="DU14">
        <v>12</v>
      </c>
      <c r="DV14" t="s">
        <v>317</v>
      </c>
      <c r="DW14" t="s">
        <v>318</v>
      </c>
      <c r="DX14">
        <v>2</v>
      </c>
      <c r="DZ14">
        <v>4</v>
      </c>
      <c r="EB14">
        <v>0</v>
      </c>
      <c r="EC14">
        <v>1</v>
      </c>
      <c r="ED14">
        <v>1</v>
      </c>
      <c r="EE14">
        <v>1</v>
      </c>
      <c r="EF14">
        <v>0</v>
      </c>
      <c r="EG14">
        <v>1</v>
      </c>
      <c r="EH14">
        <v>0</v>
      </c>
      <c r="EI14">
        <v>1</v>
      </c>
      <c r="EJ14">
        <v>0</v>
      </c>
      <c r="EK14">
        <v>0</v>
      </c>
      <c r="EM14">
        <v>0</v>
      </c>
      <c r="EN14">
        <v>1</v>
      </c>
      <c r="EO14">
        <v>1</v>
      </c>
      <c r="EP14">
        <v>0</v>
      </c>
      <c r="EQ14">
        <v>0</v>
      </c>
      <c r="ER14">
        <v>0</v>
      </c>
      <c r="ES14">
        <v>1</v>
      </c>
      <c r="ET14">
        <v>0</v>
      </c>
      <c r="EU14">
        <v>0</v>
      </c>
      <c r="EV14">
        <v>0</v>
      </c>
      <c r="EW14">
        <v>1</v>
      </c>
      <c r="EX14">
        <v>0</v>
      </c>
      <c r="EY14">
        <v>0</v>
      </c>
      <c r="FB14" t="s">
        <v>285</v>
      </c>
      <c r="FC14">
        <v>0</v>
      </c>
      <c r="FD14">
        <v>1</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t="s">
        <v>285</v>
      </c>
      <c r="FZ14">
        <v>0</v>
      </c>
      <c r="GA14">
        <v>0</v>
      </c>
      <c r="GB14">
        <v>0</v>
      </c>
      <c r="GC14">
        <v>0</v>
      </c>
      <c r="GD14">
        <v>0</v>
      </c>
      <c r="GE14">
        <v>0</v>
      </c>
      <c r="GF14">
        <v>0</v>
      </c>
      <c r="GG14">
        <v>0</v>
      </c>
      <c r="GH14">
        <v>0</v>
      </c>
      <c r="GI14">
        <v>0</v>
      </c>
      <c r="GJ14">
        <v>1</v>
      </c>
      <c r="GK14">
        <v>0</v>
      </c>
      <c r="GL14">
        <v>0</v>
      </c>
      <c r="GM14">
        <v>0</v>
      </c>
      <c r="GN14">
        <v>0</v>
      </c>
      <c r="GO14">
        <v>0</v>
      </c>
      <c r="GP14">
        <v>0</v>
      </c>
      <c r="GQ14">
        <v>0</v>
      </c>
      <c r="GR14">
        <v>0</v>
      </c>
      <c r="GS14" t="s">
        <v>319</v>
      </c>
      <c r="GT14">
        <v>0</v>
      </c>
      <c r="GU14">
        <v>0</v>
      </c>
      <c r="GV14">
        <v>1</v>
      </c>
      <c r="GW14">
        <v>0</v>
      </c>
      <c r="GX14">
        <v>0</v>
      </c>
      <c r="GY14">
        <v>0</v>
      </c>
      <c r="GZ14">
        <v>0</v>
      </c>
      <c r="HA14">
        <v>0</v>
      </c>
      <c r="HB14">
        <v>0</v>
      </c>
      <c r="IZ14">
        <v>1</v>
      </c>
      <c r="JA14">
        <v>0</v>
      </c>
      <c r="JB14">
        <v>0</v>
      </c>
      <c r="JC14">
        <v>0</v>
      </c>
      <c r="JD14">
        <v>0</v>
      </c>
      <c r="JE14">
        <v>0</v>
      </c>
      <c r="JF14">
        <v>0</v>
      </c>
      <c r="JG14">
        <v>0</v>
      </c>
      <c r="JH14">
        <v>0</v>
      </c>
      <c r="JI14">
        <v>0</v>
      </c>
      <c r="JJ14">
        <v>0</v>
      </c>
      <c r="JL14">
        <v>2</v>
      </c>
      <c r="JM14" cm="1">
        <f t="array" ref="JM14">IF(OR(JN14:JQ14 &lt;&gt; ""), 1, 0)</f>
        <v>0</v>
      </c>
    </row>
    <row r="15" spans="1:278" x14ac:dyDescent="0.35">
      <c r="A15">
        <v>396941</v>
      </c>
      <c r="C15">
        <v>1</v>
      </c>
      <c r="D15" t="s">
        <v>320</v>
      </c>
      <c r="E15" t="str">
        <f>_xlfn.XLOOKUP(I15, [1]SchoolDistrictStudyWODuplicates!$K:$K, [1]SchoolDistrictStudyWODuplicates!$E:$E, "")</f>
        <v/>
      </c>
      <c r="G15" t="s">
        <v>321</v>
      </c>
      <c r="H15" s="7">
        <v>640680</v>
      </c>
      <c r="I15" s="7">
        <v>640680</v>
      </c>
      <c r="J15" s="5" t="e">
        <f>_xlfn.XLOOKUP(I15,#REF!,#REF!,"Not Determined")</f>
        <v>#REF!</v>
      </c>
      <c r="K15" s="5" t="s">
        <v>305</v>
      </c>
      <c r="L15" t="s">
        <v>305</v>
      </c>
      <c r="M15" s="13" t="e">
        <f>_xlfn.XLOOKUP(I15,#REF!,#REF!, "No")</f>
        <v>#REF!</v>
      </c>
      <c r="N15" s="5" t="str">
        <f t="shared" si="11"/>
        <v>No</v>
      </c>
      <c r="O15" s="5" t="str">
        <f t="shared" si="12"/>
        <v>Yes</v>
      </c>
      <c r="P15" s="5" t="str">
        <f t="shared" si="13"/>
        <v>Yes</v>
      </c>
      <c r="Q15" s="5" t="str">
        <f t="shared" si="14"/>
        <v>Yes</v>
      </c>
      <c r="R15" s="5" t="str">
        <f t="shared" si="15"/>
        <v>Yes</v>
      </c>
      <c r="S15" s="5" t="str">
        <f t="shared" si="16"/>
        <v>Yes</v>
      </c>
      <c r="T15" s="5" t="str">
        <f t="shared" si="17"/>
        <v>No</v>
      </c>
      <c r="U15" s="5" t="str">
        <f t="shared" si="18"/>
        <v>Yes</v>
      </c>
      <c r="V15" s="5" t="str" cm="1">
        <f t="array" ref="V15">IF(OR(DB15:DG15 =1), "Yes", "No")</f>
        <v>No</v>
      </c>
      <c r="W15" s="5" t="str">
        <f t="shared" si="19"/>
        <v>No</v>
      </c>
      <c r="X15" s="5" t="str">
        <f t="shared" si="20"/>
        <v>No</v>
      </c>
      <c r="Y15" s="5" t="str">
        <f t="shared" si="21"/>
        <v>No</v>
      </c>
      <c r="Z15">
        <v>3</v>
      </c>
      <c r="AB15">
        <v>1</v>
      </c>
      <c r="AC15">
        <v>0</v>
      </c>
      <c r="AD15">
        <v>1</v>
      </c>
      <c r="AE15">
        <v>0</v>
      </c>
      <c r="AF15">
        <v>0</v>
      </c>
      <c r="AG15">
        <v>1</v>
      </c>
      <c r="AH15">
        <v>0</v>
      </c>
      <c r="AI15">
        <v>0</v>
      </c>
      <c r="AJ15">
        <v>0</v>
      </c>
      <c r="AK15">
        <v>1</v>
      </c>
      <c r="AM15">
        <v>1</v>
      </c>
      <c r="AN15">
        <v>0</v>
      </c>
      <c r="AO15">
        <v>1</v>
      </c>
      <c r="AP15">
        <v>2</v>
      </c>
      <c r="AR15">
        <v>5</v>
      </c>
      <c r="AS15">
        <v>2</v>
      </c>
      <c r="AU15">
        <v>5</v>
      </c>
      <c r="AV15">
        <v>1</v>
      </c>
      <c r="AW15">
        <v>1</v>
      </c>
      <c r="AX15">
        <v>0</v>
      </c>
      <c r="AY15">
        <v>0</v>
      </c>
      <c r="AZ15">
        <v>0</v>
      </c>
      <c r="BA15">
        <v>0</v>
      </c>
      <c r="BC15">
        <v>1</v>
      </c>
      <c r="BE15">
        <v>1</v>
      </c>
      <c r="BG15">
        <v>1</v>
      </c>
      <c r="BH15">
        <v>1</v>
      </c>
      <c r="BI15">
        <v>3</v>
      </c>
      <c r="BJ15">
        <v>2</v>
      </c>
      <c r="BL15">
        <v>1</v>
      </c>
      <c r="BM15">
        <v>1</v>
      </c>
      <c r="BN15">
        <v>1</v>
      </c>
      <c r="BO15">
        <v>1</v>
      </c>
      <c r="BP15">
        <v>0</v>
      </c>
      <c r="BQ15">
        <v>0</v>
      </c>
      <c r="BR15">
        <v>1</v>
      </c>
      <c r="BS15">
        <v>0</v>
      </c>
      <c r="BT15">
        <v>0</v>
      </c>
      <c r="BV15">
        <v>0</v>
      </c>
      <c r="BW15">
        <v>0</v>
      </c>
      <c r="BX15">
        <v>1</v>
      </c>
      <c r="BY15">
        <v>0</v>
      </c>
      <c r="BZ15">
        <v>1</v>
      </c>
      <c r="CA15">
        <v>0</v>
      </c>
      <c r="CB15">
        <v>0</v>
      </c>
      <c r="CC15">
        <v>0</v>
      </c>
      <c r="CD15">
        <v>0</v>
      </c>
      <c r="CE15">
        <v>0</v>
      </c>
      <c r="CF15">
        <v>0</v>
      </c>
      <c r="CG15">
        <v>0</v>
      </c>
      <c r="CH15">
        <v>0</v>
      </c>
      <c r="CI15">
        <v>0</v>
      </c>
      <c r="CJ15">
        <v>0</v>
      </c>
      <c r="CK15">
        <v>0</v>
      </c>
      <c r="CL15">
        <v>0</v>
      </c>
      <c r="CN15">
        <v>5</v>
      </c>
      <c r="CO15">
        <v>4</v>
      </c>
      <c r="CQ15">
        <v>2</v>
      </c>
      <c r="CR15">
        <v>4</v>
      </c>
      <c r="EB15">
        <v>1</v>
      </c>
      <c r="EC15">
        <v>0</v>
      </c>
      <c r="ED15">
        <v>1</v>
      </c>
      <c r="EE15">
        <v>0</v>
      </c>
      <c r="EF15">
        <v>0</v>
      </c>
      <c r="EG15">
        <v>0</v>
      </c>
      <c r="EH15">
        <v>0</v>
      </c>
      <c r="EI15">
        <v>0</v>
      </c>
      <c r="EJ15">
        <v>0</v>
      </c>
      <c r="EK15">
        <v>0</v>
      </c>
      <c r="EM15">
        <v>0</v>
      </c>
      <c r="EN15">
        <v>1</v>
      </c>
      <c r="EO15">
        <v>0</v>
      </c>
      <c r="EP15">
        <v>0</v>
      </c>
      <c r="EQ15">
        <v>1</v>
      </c>
      <c r="ER15">
        <v>0</v>
      </c>
      <c r="ES15">
        <v>0</v>
      </c>
      <c r="ET15">
        <v>0</v>
      </c>
      <c r="EU15">
        <v>0</v>
      </c>
      <c r="EV15">
        <v>0</v>
      </c>
      <c r="EW15">
        <v>0</v>
      </c>
      <c r="EX15">
        <v>0</v>
      </c>
      <c r="EY15">
        <v>0</v>
      </c>
      <c r="FB15" t="s">
        <v>274</v>
      </c>
      <c r="FC15">
        <v>1</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IZ15">
        <v>1</v>
      </c>
      <c r="JA15">
        <v>0</v>
      </c>
      <c r="JB15">
        <v>1</v>
      </c>
      <c r="JC15">
        <v>0</v>
      </c>
      <c r="JD15">
        <v>0</v>
      </c>
      <c r="JE15">
        <v>0</v>
      </c>
      <c r="JF15">
        <v>0</v>
      </c>
      <c r="JG15">
        <v>0</v>
      </c>
      <c r="JH15">
        <v>1</v>
      </c>
      <c r="JI15">
        <v>0</v>
      </c>
      <c r="JJ15">
        <v>0</v>
      </c>
      <c r="JL15">
        <v>2</v>
      </c>
      <c r="JM15" cm="1">
        <f t="array" ref="JM15">IF(OR(JN15:JQ15 &lt;&gt; ""), 1, 0)</f>
        <v>0</v>
      </c>
    </row>
    <row r="16" spans="1:278" x14ac:dyDescent="0.35">
      <c r="A16">
        <v>405535</v>
      </c>
      <c r="C16">
        <v>1</v>
      </c>
      <c r="D16" t="s">
        <v>324</v>
      </c>
      <c r="E16" t="str">
        <f>_xlfn.XLOOKUP(I16, [1]SchoolDistrictStudyWODuplicates!$K:$K, [1]SchoolDistrictStudyWODuplicates!$E:$E, "")</f>
        <v/>
      </c>
      <c r="G16" t="s">
        <v>325</v>
      </c>
      <c r="H16" s="5" t="e">
        <f>_xlfn.XLOOKUP(A16,#REF!,#REF!, "No")</f>
        <v>#REF!</v>
      </c>
      <c r="I16" s="7">
        <v>643080</v>
      </c>
      <c r="J16" s="5" t="e">
        <f>_xlfn.XLOOKUP(I16,#REF!,#REF!,"Not Determined")</f>
        <v>#REF!</v>
      </c>
      <c r="K16" s="5" t="s">
        <v>305</v>
      </c>
      <c r="L16" t="s">
        <v>305</v>
      </c>
      <c r="M16" s="13" t="e">
        <f>_xlfn.XLOOKUP(I16,#REF!,#REF!, "No")</f>
        <v>#REF!</v>
      </c>
      <c r="N16" s="5" t="str">
        <f t="shared" si="11"/>
        <v>Yes</v>
      </c>
      <c r="O16" s="5" t="str">
        <f t="shared" si="12"/>
        <v>Yes</v>
      </c>
      <c r="P16" s="5" t="str">
        <f t="shared" si="13"/>
        <v>Yes</v>
      </c>
      <c r="Q16" s="5" t="str">
        <f t="shared" si="14"/>
        <v>Yes</v>
      </c>
      <c r="R16" s="5" t="str">
        <f t="shared" si="15"/>
        <v>Yes</v>
      </c>
      <c r="S16" s="5" t="str">
        <f t="shared" si="16"/>
        <v>Yes</v>
      </c>
      <c r="T16" s="5" t="str">
        <f t="shared" si="17"/>
        <v>Yes</v>
      </c>
      <c r="U16" s="5" t="str">
        <f t="shared" si="18"/>
        <v>Yes</v>
      </c>
      <c r="V16" s="5" t="str" cm="1">
        <f t="array" ref="V16">IF(OR(DB16:DG16 =1), "Yes", "No")</f>
        <v>Yes</v>
      </c>
      <c r="W16" s="5" t="str">
        <f t="shared" si="19"/>
        <v>No</v>
      </c>
      <c r="X16" s="5" t="str">
        <f t="shared" si="20"/>
        <v>No</v>
      </c>
      <c r="Y16" s="5" t="str">
        <f t="shared" si="21"/>
        <v>No</v>
      </c>
      <c r="Z16">
        <v>3</v>
      </c>
      <c r="AB16">
        <v>0</v>
      </c>
      <c r="AC16">
        <v>0</v>
      </c>
      <c r="AD16">
        <v>1</v>
      </c>
      <c r="AE16">
        <v>0</v>
      </c>
      <c r="AF16">
        <v>0</v>
      </c>
      <c r="AG16">
        <v>0</v>
      </c>
      <c r="AH16">
        <v>0</v>
      </c>
      <c r="AI16">
        <v>0</v>
      </c>
      <c r="AJ16">
        <v>0</v>
      </c>
      <c r="AK16">
        <v>1</v>
      </c>
      <c r="AM16">
        <v>1</v>
      </c>
      <c r="AN16">
        <v>1</v>
      </c>
      <c r="AO16">
        <v>0</v>
      </c>
      <c r="AP16">
        <v>25</v>
      </c>
      <c r="AQ16">
        <v>25</v>
      </c>
      <c r="AS16">
        <v>25</v>
      </c>
      <c r="AT16">
        <v>25</v>
      </c>
      <c r="AV16">
        <v>1</v>
      </c>
      <c r="AW16">
        <v>1</v>
      </c>
      <c r="AX16">
        <v>0</v>
      </c>
      <c r="AY16">
        <v>1</v>
      </c>
      <c r="AZ16">
        <v>1</v>
      </c>
      <c r="BA16">
        <v>0</v>
      </c>
      <c r="BC16">
        <v>5</v>
      </c>
      <c r="BE16">
        <v>1</v>
      </c>
      <c r="BG16">
        <v>1</v>
      </c>
      <c r="BH16">
        <v>1</v>
      </c>
      <c r="BI16">
        <v>1</v>
      </c>
      <c r="BJ16">
        <v>1</v>
      </c>
      <c r="BK16">
        <v>2</v>
      </c>
      <c r="BL16">
        <v>2</v>
      </c>
      <c r="BM16">
        <v>1</v>
      </c>
      <c r="CQ16">
        <v>5</v>
      </c>
      <c r="CR16">
        <v>5</v>
      </c>
      <c r="CS16">
        <v>0</v>
      </c>
      <c r="CT16">
        <v>1</v>
      </c>
      <c r="CU16">
        <v>1</v>
      </c>
      <c r="CV16">
        <v>0</v>
      </c>
      <c r="CW16">
        <v>0</v>
      </c>
      <c r="CX16">
        <v>0</v>
      </c>
      <c r="CY16">
        <v>0</v>
      </c>
      <c r="CZ16">
        <v>0</v>
      </c>
      <c r="DA16">
        <v>0</v>
      </c>
      <c r="DB16">
        <v>1</v>
      </c>
      <c r="DC16">
        <v>0</v>
      </c>
      <c r="DD16">
        <v>1</v>
      </c>
      <c r="DE16">
        <v>0</v>
      </c>
      <c r="DF16">
        <v>0</v>
      </c>
      <c r="DG16">
        <v>0</v>
      </c>
      <c r="DH16">
        <v>0</v>
      </c>
      <c r="DJ16" t="s">
        <v>326</v>
      </c>
      <c r="DK16">
        <v>1</v>
      </c>
      <c r="DL16">
        <v>2</v>
      </c>
      <c r="DN16">
        <v>2</v>
      </c>
      <c r="DP16">
        <v>2</v>
      </c>
      <c r="DS16">
        <v>3</v>
      </c>
      <c r="DT16" t="s">
        <v>327</v>
      </c>
      <c r="DU16">
        <v>4</v>
      </c>
      <c r="DW16" t="s">
        <v>328</v>
      </c>
      <c r="DX16">
        <v>3</v>
      </c>
      <c r="DY16" t="s">
        <v>329</v>
      </c>
      <c r="DZ16">
        <v>3</v>
      </c>
      <c r="JM16" cm="1">
        <f t="array" ref="JM16">IF(OR(JN16:JQ16 &lt;&gt; ""), 1, 0)</f>
        <v>0</v>
      </c>
    </row>
    <row r="17" spans="1:278" x14ac:dyDescent="0.35">
      <c r="A17">
        <v>393132</v>
      </c>
      <c r="C17">
        <v>1</v>
      </c>
      <c r="D17" t="s">
        <v>337</v>
      </c>
      <c r="E17" t="str">
        <f>_xlfn.XLOOKUP(I17, [1]SchoolDistrictStudyWODuplicates!$K:$K, [1]SchoolDistrictStudyWODuplicates!$E:$E, "")</f>
        <v/>
      </c>
      <c r="G17" t="s">
        <v>338</v>
      </c>
      <c r="H17" s="5" t="e">
        <f>_xlfn.XLOOKUP(A17,#REF!,#REF!, "No")</f>
        <v>#REF!</v>
      </c>
      <c r="I17" s="7">
        <v>609850</v>
      </c>
      <c r="J17" s="5" t="e">
        <f>_xlfn.XLOOKUP(I17,#REF!,#REF!,"Not Determined")</f>
        <v>#REF!</v>
      </c>
      <c r="K17" s="5" t="s">
        <v>305</v>
      </c>
      <c r="L17" t="s">
        <v>332</v>
      </c>
      <c r="M17" s="13" t="e">
        <f>_xlfn.XLOOKUP(I17,#REF!,#REF!, "No")</f>
        <v>#REF!</v>
      </c>
      <c r="N17" s="5" t="str">
        <f t="shared" si="11"/>
        <v>No</v>
      </c>
      <c r="O17" s="5" t="str">
        <f t="shared" si="12"/>
        <v>Yes</v>
      </c>
      <c r="P17" s="5" t="str">
        <f t="shared" si="13"/>
        <v>Yes</v>
      </c>
      <c r="Q17" s="5" t="str">
        <f t="shared" si="14"/>
        <v>Yes</v>
      </c>
      <c r="R17" s="5" t="str">
        <f t="shared" si="15"/>
        <v>Yes</v>
      </c>
      <c r="S17" s="5" t="str">
        <f t="shared" si="16"/>
        <v>Yes</v>
      </c>
      <c r="T17" s="5" t="str">
        <f t="shared" si="17"/>
        <v>Yes</v>
      </c>
      <c r="U17" s="5" t="str">
        <f t="shared" si="18"/>
        <v>No</v>
      </c>
      <c r="V17" s="5" t="str" cm="1">
        <f t="array" ref="V17">IF(OR(DB17:DG17 =1), "Yes", "No")</f>
        <v>No</v>
      </c>
      <c r="W17" s="5" t="str">
        <f t="shared" si="19"/>
        <v>Yes</v>
      </c>
      <c r="X17" s="5" t="str">
        <f t="shared" si="20"/>
        <v>No</v>
      </c>
      <c r="Y17" s="5" t="str">
        <f t="shared" si="21"/>
        <v>No</v>
      </c>
      <c r="Z17">
        <v>3</v>
      </c>
      <c r="AB17">
        <v>0</v>
      </c>
      <c r="AC17">
        <v>0</v>
      </c>
      <c r="AD17">
        <v>0</v>
      </c>
      <c r="AE17">
        <v>0</v>
      </c>
      <c r="AF17">
        <v>0</v>
      </c>
      <c r="AG17">
        <v>0</v>
      </c>
      <c r="AH17">
        <v>0</v>
      </c>
      <c r="AI17">
        <v>0</v>
      </c>
      <c r="AJ17">
        <v>1</v>
      </c>
      <c r="AK17">
        <v>1</v>
      </c>
      <c r="AM17">
        <v>1</v>
      </c>
      <c r="AN17">
        <v>0</v>
      </c>
      <c r="AO17">
        <v>1</v>
      </c>
      <c r="AP17">
        <v>160</v>
      </c>
      <c r="AR17">
        <v>40</v>
      </c>
      <c r="AS17">
        <v>160</v>
      </c>
      <c r="AU17">
        <v>40</v>
      </c>
      <c r="AV17">
        <v>0</v>
      </c>
      <c r="AW17">
        <v>1</v>
      </c>
      <c r="AX17">
        <v>1</v>
      </c>
      <c r="AY17">
        <v>0</v>
      </c>
      <c r="AZ17">
        <v>0</v>
      </c>
      <c r="BA17">
        <v>0</v>
      </c>
      <c r="BC17">
        <v>2</v>
      </c>
      <c r="BE17">
        <v>2</v>
      </c>
      <c r="BG17">
        <v>1</v>
      </c>
      <c r="BH17">
        <v>1</v>
      </c>
      <c r="BI17">
        <v>5</v>
      </c>
      <c r="BJ17">
        <v>2</v>
      </c>
      <c r="BL17">
        <v>2</v>
      </c>
      <c r="BM17">
        <v>1</v>
      </c>
      <c r="BN17">
        <v>2</v>
      </c>
      <c r="BV17">
        <v>0</v>
      </c>
      <c r="BW17">
        <v>1</v>
      </c>
      <c r="BX17">
        <v>0</v>
      </c>
      <c r="BY17">
        <v>1</v>
      </c>
      <c r="BZ17">
        <v>1</v>
      </c>
      <c r="CA17">
        <v>0</v>
      </c>
      <c r="CB17">
        <v>0</v>
      </c>
      <c r="CC17">
        <v>0</v>
      </c>
      <c r="CD17">
        <v>1</v>
      </c>
      <c r="CE17">
        <v>0</v>
      </c>
      <c r="CF17">
        <v>0</v>
      </c>
      <c r="CG17">
        <v>0</v>
      </c>
      <c r="CH17">
        <v>0</v>
      </c>
      <c r="CI17">
        <v>0</v>
      </c>
      <c r="CJ17">
        <v>0</v>
      </c>
      <c r="CK17">
        <v>0</v>
      </c>
      <c r="CL17">
        <v>1</v>
      </c>
      <c r="CM17" t="s">
        <v>339</v>
      </c>
      <c r="CN17">
        <v>17</v>
      </c>
      <c r="CO17">
        <v>4</v>
      </c>
      <c r="CQ17">
        <v>3</v>
      </c>
      <c r="CR17">
        <v>2</v>
      </c>
      <c r="EB17">
        <v>0</v>
      </c>
      <c r="EC17">
        <v>0</v>
      </c>
      <c r="ED17">
        <v>1</v>
      </c>
      <c r="EE17">
        <v>0</v>
      </c>
      <c r="EF17">
        <v>0</v>
      </c>
      <c r="EG17">
        <v>0</v>
      </c>
      <c r="EH17">
        <v>0</v>
      </c>
      <c r="EI17">
        <v>0</v>
      </c>
      <c r="EJ17">
        <v>1</v>
      </c>
      <c r="EK17">
        <v>0</v>
      </c>
      <c r="EL17" t="s">
        <v>340</v>
      </c>
      <c r="EM17">
        <v>0</v>
      </c>
      <c r="EN17">
        <v>1</v>
      </c>
      <c r="EO17">
        <v>0</v>
      </c>
      <c r="EP17">
        <v>0</v>
      </c>
      <c r="EQ17">
        <v>0</v>
      </c>
      <c r="ER17">
        <v>0</v>
      </c>
      <c r="ES17">
        <v>0</v>
      </c>
      <c r="ET17">
        <v>0</v>
      </c>
      <c r="EU17">
        <v>0</v>
      </c>
      <c r="EV17">
        <v>0</v>
      </c>
      <c r="EW17">
        <v>0</v>
      </c>
      <c r="EX17">
        <v>1</v>
      </c>
      <c r="EY17">
        <v>0</v>
      </c>
      <c r="FB17" t="s">
        <v>285</v>
      </c>
      <c r="FC17">
        <v>0</v>
      </c>
      <c r="FD17">
        <v>1</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IX17" t="s">
        <v>341</v>
      </c>
      <c r="IY17">
        <v>4</v>
      </c>
      <c r="IZ17">
        <v>0</v>
      </c>
      <c r="JA17">
        <v>0</v>
      </c>
      <c r="JB17">
        <v>0</v>
      </c>
      <c r="JC17">
        <v>0</v>
      </c>
      <c r="JD17">
        <v>0</v>
      </c>
      <c r="JE17">
        <v>0</v>
      </c>
      <c r="JF17">
        <v>0</v>
      </c>
      <c r="JG17">
        <v>0</v>
      </c>
      <c r="JH17">
        <v>0</v>
      </c>
      <c r="JI17">
        <v>0</v>
      </c>
      <c r="JJ17">
        <v>1</v>
      </c>
      <c r="JL17">
        <v>1</v>
      </c>
      <c r="JM17" cm="1">
        <f t="array" ref="JM17">IF(OR(JN17:JQ17 &lt;&gt; ""), 1, 0)</f>
        <v>1</v>
      </c>
      <c r="JN17">
        <v>0</v>
      </c>
      <c r="JO17">
        <v>0</v>
      </c>
      <c r="JP17">
        <v>0</v>
      </c>
      <c r="JQ17">
        <v>1</v>
      </c>
      <c r="JR17" t="s">
        <v>342</v>
      </c>
    </row>
    <row r="18" spans="1:278" x14ac:dyDescent="0.35">
      <c r="A18">
        <v>385521</v>
      </c>
      <c r="C18">
        <v>1</v>
      </c>
      <c r="D18" t="s">
        <v>343</v>
      </c>
      <c r="E18" t="str">
        <f>_xlfn.XLOOKUP(I18, [1]SchoolDistrictStudyWODuplicates!$K:$K, [1]SchoolDistrictStudyWODuplicates!$E:$E, "")</f>
        <v/>
      </c>
      <c r="G18" t="s">
        <v>344</v>
      </c>
      <c r="H18" s="5" t="e">
        <f>_xlfn.XLOOKUP(A18,#REF!,#REF!, "No")</f>
        <v>#REF!</v>
      </c>
      <c r="I18" s="7">
        <v>611110</v>
      </c>
      <c r="J18" s="5" t="e">
        <f>_xlfn.XLOOKUP(I18,#REF!,#REF!,"Not Determined")</f>
        <v>#REF!</v>
      </c>
      <c r="K18" s="5" t="s">
        <v>305</v>
      </c>
      <c r="L18" t="s">
        <v>332</v>
      </c>
      <c r="M18" s="13" t="e">
        <f>_xlfn.XLOOKUP(I18,#REF!,#REF!, "No")</f>
        <v>#REF!</v>
      </c>
      <c r="N18" s="5" t="str">
        <f t="shared" si="11"/>
        <v>No</v>
      </c>
      <c r="O18" s="5" t="str">
        <f t="shared" si="12"/>
        <v>Yes</v>
      </c>
      <c r="P18" s="5" t="str">
        <f t="shared" si="13"/>
        <v>Yes</v>
      </c>
      <c r="Q18" s="5" t="str">
        <f t="shared" si="14"/>
        <v>Yes</v>
      </c>
      <c r="R18" s="5" t="str">
        <f t="shared" si="15"/>
        <v>Yes</v>
      </c>
      <c r="S18" s="5" t="str">
        <f t="shared" si="16"/>
        <v>Yes</v>
      </c>
      <c r="T18" s="5" t="str">
        <f t="shared" si="17"/>
        <v>Yes</v>
      </c>
      <c r="U18" s="5" t="str">
        <f t="shared" si="18"/>
        <v>Yes</v>
      </c>
      <c r="V18" s="5" t="str" cm="1">
        <f t="array" ref="V18">IF(OR(DB18:DG18 =1), "Yes", "No")</f>
        <v>No</v>
      </c>
      <c r="W18" s="5" t="str">
        <f t="shared" si="19"/>
        <v>Yes</v>
      </c>
      <c r="X18" s="5" t="str">
        <f t="shared" si="20"/>
        <v>No</v>
      </c>
      <c r="Y18" s="5" t="str">
        <f t="shared" si="21"/>
        <v>No</v>
      </c>
      <c r="Z18">
        <v>5</v>
      </c>
      <c r="AB18">
        <v>0</v>
      </c>
      <c r="AC18">
        <v>0</v>
      </c>
      <c r="AD18">
        <v>0</v>
      </c>
      <c r="AE18">
        <v>1</v>
      </c>
      <c r="AF18">
        <v>1</v>
      </c>
      <c r="AG18">
        <v>0</v>
      </c>
      <c r="AH18">
        <v>0</v>
      </c>
      <c r="AI18">
        <v>0</v>
      </c>
      <c r="AJ18">
        <v>0</v>
      </c>
      <c r="AK18">
        <v>1</v>
      </c>
      <c r="AM18">
        <v>1</v>
      </c>
      <c r="AN18">
        <v>0</v>
      </c>
      <c r="AO18">
        <v>1</v>
      </c>
      <c r="AP18">
        <v>57</v>
      </c>
      <c r="AR18">
        <v>71</v>
      </c>
      <c r="AS18">
        <v>57</v>
      </c>
      <c r="AU18">
        <v>71</v>
      </c>
      <c r="AV18">
        <v>0</v>
      </c>
      <c r="AW18">
        <v>1</v>
      </c>
      <c r="AX18">
        <v>1</v>
      </c>
      <c r="AY18">
        <v>1</v>
      </c>
      <c r="AZ18">
        <v>0</v>
      </c>
      <c r="BA18">
        <v>0</v>
      </c>
      <c r="BC18">
        <v>3</v>
      </c>
      <c r="BE18">
        <v>1</v>
      </c>
      <c r="BG18">
        <v>1</v>
      </c>
      <c r="BH18">
        <v>1</v>
      </c>
      <c r="BI18">
        <v>2</v>
      </c>
      <c r="BJ18">
        <v>1</v>
      </c>
      <c r="BK18">
        <v>6</v>
      </c>
      <c r="BL18">
        <v>2</v>
      </c>
      <c r="BM18">
        <v>1</v>
      </c>
      <c r="BN18">
        <v>1</v>
      </c>
      <c r="BO18">
        <v>0</v>
      </c>
      <c r="BP18">
        <v>0</v>
      </c>
      <c r="BQ18">
        <v>0</v>
      </c>
      <c r="BR18">
        <v>0</v>
      </c>
      <c r="BS18">
        <v>0</v>
      </c>
      <c r="BT18">
        <v>1</v>
      </c>
      <c r="BU18" t="s">
        <v>345</v>
      </c>
      <c r="BV18">
        <v>0</v>
      </c>
      <c r="BW18">
        <v>0</v>
      </c>
      <c r="BX18">
        <v>1</v>
      </c>
      <c r="BY18">
        <v>0</v>
      </c>
      <c r="BZ18">
        <v>0</v>
      </c>
      <c r="CA18">
        <v>0</v>
      </c>
      <c r="CB18">
        <v>0</v>
      </c>
      <c r="CC18">
        <v>0</v>
      </c>
      <c r="CD18">
        <v>1</v>
      </c>
      <c r="CE18">
        <v>0</v>
      </c>
      <c r="CF18">
        <v>0</v>
      </c>
      <c r="CG18">
        <v>0</v>
      </c>
      <c r="CH18">
        <v>0</v>
      </c>
      <c r="CI18">
        <v>0</v>
      </c>
      <c r="CJ18">
        <v>1</v>
      </c>
      <c r="CK18">
        <v>0</v>
      </c>
      <c r="CL18">
        <v>0</v>
      </c>
      <c r="CN18">
        <v>9</v>
      </c>
      <c r="CO18">
        <v>4</v>
      </c>
      <c r="CQ18">
        <v>3</v>
      </c>
      <c r="CR18">
        <v>3</v>
      </c>
      <c r="EB18">
        <v>0</v>
      </c>
      <c r="EC18">
        <v>0</v>
      </c>
      <c r="ED18">
        <v>1</v>
      </c>
      <c r="EE18">
        <v>0</v>
      </c>
      <c r="EF18">
        <v>0</v>
      </c>
      <c r="EG18">
        <v>1</v>
      </c>
      <c r="EH18">
        <v>0</v>
      </c>
      <c r="EI18">
        <v>0</v>
      </c>
      <c r="EJ18">
        <v>0</v>
      </c>
      <c r="EK18">
        <v>0</v>
      </c>
      <c r="EM18">
        <v>0</v>
      </c>
      <c r="EN18">
        <v>1</v>
      </c>
      <c r="EO18">
        <v>0</v>
      </c>
      <c r="EP18">
        <v>0</v>
      </c>
      <c r="EQ18">
        <v>0</v>
      </c>
      <c r="ER18">
        <v>0</v>
      </c>
      <c r="ES18">
        <v>0</v>
      </c>
      <c r="ET18">
        <v>0</v>
      </c>
      <c r="EU18">
        <v>0</v>
      </c>
      <c r="EV18">
        <v>0</v>
      </c>
      <c r="EW18">
        <v>0</v>
      </c>
      <c r="EX18">
        <v>0</v>
      </c>
      <c r="EY18">
        <v>0</v>
      </c>
      <c r="FB18" t="s">
        <v>346</v>
      </c>
      <c r="FC18">
        <v>0</v>
      </c>
      <c r="FD18">
        <v>1</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IZ18">
        <v>1</v>
      </c>
      <c r="JA18">
        <v>1</v>
      </c>
      <c r="JB18">
        <v>1</v>
      </c>
      <c r="JC18">
        <v>0</v>
      </c>
      <c r="JD18">
        <v>0</v>
      </c>
      <c r="JE18">
        <v>0</v>
      </c>
      <c r="JF18">
        <v>0</v>
      </c>
      <c r="JG18">
        <v>0</v>
      </c>
      <c r="JH18">
        <v>0</v>
      </c>
      <c r="JI18">
        <v>0</v>
      </c>
      <c r="JJ18">
        <v>0</v>
      </c>
      <c r="JL18">
        <v>1</v>
      </c>
      <c r="JM18" cm="1">
        <f t="array" ref="JM18">IF(OR(JN18:JQ18 &lt;&gt; ""), 1, 0)</f>
        <v>1</v>
      </c>
      <c r="JN18">
        <v>0</v>
      </c>
      <c r="JO18">
        <v>1</v>
      </c>
      <c r="JP18">
        <v>0</v>
      </c>
      <c r="JQ18">
        <v>0</v>
      </c>
    </row>
    <row r="19" spans="1:278" x14ac:dyDescent="0.35">
      <c r="A19">
        <v>376498</v>
      </c>
      <c r="C19">
        <v>1</v>
      </c>
      <c r="D19" t="s">
        <v>347</v>
      </c>
      <c r="E19" t="str">
        <f>_xlfn.XLOOKUP(I19, [1]SchoolDistrictStudyWODuplicates!$K:$K, [1]SchoolDistrictStudyWODuplicates!$E:$E, "")</f>
        <v/>
      </c>
      <c r="G19" t="s">
        <v>348</v>
      </c>
      <c r="H19" s="7">
        <v>684500</v>
      </c>
      <c r="I19" s="7">
        <v>684500</v>
      </c>
      <c r="J19" s="5" t="e">
        <f>_xlfn.XLOOKUP(I19,#REF!,#REF!,"Not Determined")</f>
        <v>#REF!</v>
      </c>
      <c r="K19" s="5" t="s">
        <v>305</v>
      </c>
      <c r="L19" t="s">
        <v>332</v>
      </c>
      <c r="M19" s="13" t="e">
        <f>_xlfn.XLOOKUP(I19,#REF!,#REF!, "No")</f>
        <v>#REF!</v>
      </c>
      <c r="N19" s="5" t="str">
        <f t="shared" si="11"/>
        <v>No</v>
      </c>
      <c r="O19" s="5" t="str">
        <f t="shared" si="12"/>
        <v>Yes</v>
      </c>
      <c r="P19" s="5" t="str">
        <f t="shared" si="13"/>
        <v>Yes</v>
      </c>
      <c r="Q19" s="5" t="str">
        <f t="shared" si="14"/>
        <v>Yes</v>
      </c>
      <c r="R19" s="5" t="str">
        <f t="shared" si="15"/>
        <v>Yes</v>
      </c>
      <c r="S19" s="5" t="str">
        <f t="shared" si="16"/>
        <v>Yes</v>
      </c>
      <c r="T19" s="5" t="str">
        <f t="shared" si="17"/>
        <v>No</v>
      </c>
      <c r="U19" s="5" t="str">
        <f t="shared" si="18"/>
        <v>No</v>
      </c>
      <c r="V19" s="5" t="str" cm="1">
        <f t="array" ref="V19">IF(OR(DB19:DG19 =1), "Yes", "No")</f>
        <v>No</v>
      </c>
      <c r="W19" s="5" t="str">
        <f t="shared" si="19"/>
        <v>No</v>
      </c>
      <c r="X19" s="5" t="str">
        <f t="shared" si="20"/>
        <v>No</v>
      </c>
      <c r="Y19" s="5" t="str">
        <f t="shared" si="21"/>
        <v>No</v>
      </c>
      <c r="Z19">
        <v>4</v>
      </c>
      <c r="AB19">
        <v>0</v>
      </c>
      <c r="AC19">
        <v>0</v>
      </c>
      <c r="AD19">
        <v>0</v>
      </c>
      <c r="AE19">
        <v>1</v>
      </c>
      <c r="AF19">
        <v>0</v>
      </c>
      <c r="AG19">
        <v>0</v>
      </c>
      <c r="AH19">
        <v>0</v>
      </c>
      <c r="AI19">
        <v>0</v>
      </c>
      <c r="AJ19">
        <v>0</v>
      </c>
      <c r="AK19">
        <v>1</v>
      </c>
      <c r="AM19">
        <v>1</v>
      </c>
      <c r="AN19">
        <v>0</v>
      </c>
      <c r="AO19">
        <v>0</v>
      </c>
      <c r="AP19">
        <v>860</v>
      </c>
      <c r="AS19">
        <v>860</v>
      </c>
      <c r="AV19">
        <v>0</v>
      </c>
      <c r="AW19">
        <v>1</v>
      </c>
      <c r="AX19">
        <v>1</v>
      </c>
      <c r="AY19">
        <v>0</v>
      </c>
      <c r="AZ19">
        <v>0</v>
      </c>
      <c r="BA19">
        <v>0</v>
      </c>
      <c r="BC19">
        <v>3</v>
      </c>
      <c r="BE19">
        <v>2</v>
      </c>
      <c r="BG19">
        <v>1</v>
      </c>
      <c r="BH19">
        <v>1</v>
      </c>
      <c r="BI19">
        <v>1</v>
      </c>
      <c r="BJ19">
        <v>2</v>
      </c>
      <c r="BL19">
        <v>2</v>
      </c>
      <c r="BM19">
        <v>1</v>
      </c>
      <c r="BN19">
        <v>1</v>
      </c>
      <c r="BO19">
        <v>0</v>
      </c>
      <c r="BP19">
        <v>1</v>
      </c>
      <c r="BQ19">
        <v>1</v>
      </c>
      <c r="BR19">
        <v>1</v>
      </c>
      <c r="BS19">
        <v>1</v>
      </c>
      <c r="BT19">
        <v>0</v>
      </c>
      <c r="BV19">
        <v>0</v>
      </c>
      <c r="BW19">
        <v>0</v>
      </c>
      <c r="BX19">
        <v>0</v>
      </c>
      <c r="BY19">
        <v>0</v>
      </c>
      <c r="BZ19">
        <v>0</v>
      </c>
      <c r="CA19">
        <v>1</v>
      </c>
      <c r="CB19">
        <v>0</v>
      </c>
      <c r="CC19">
        <v>0</v>
      </c>
      <c r="CD19">
        <v>1</v>
      </c>
      <c r="CE19">
        <v>0</v>
      </c>
      <c r="CF19">
        <v>0</v>
      </c>
      <c r="CG19">
        <v>0</v>
      </c>
      <c r="CH19">
        <v>0</v>
      </c>
      <c r="CI19">
        <v>0</v>
      </c>
      <c r="CJ19">
        <v>0</v>
      </c>
      <c r="CK19">
        <v>0</v>
      </c>
      <c r="CL19">
        <v>0</v>
      </c>
      <c r="CN19">
        <v>6</v>
      </c>
      <c r="CO19">
        <v>3</v>
      </c>
      <c r="CP19" t="s">
        <v>349</v>
      </c>
      <c r="CQ19">
        <v>1</v>
      </c>
      <c r="CR19">
        <v>1</v>
      </c>
      <c r="EB19">
        <v>0</v>
      </c>
      <c r="EC19">
        <v>0</v>
      </c>
      <c r="ED19">
        <v>0</v>
      </c>
      <c r="EE19">
        <v>0</v>
      </c>
      <c r="EF19">
        <v>0</v>
      </c>
      <c r="EG19">
        <v>0</v>
      </c>
      <c r="EH19">
        <v>0</v>
      </c>
      <c r="EI19">
        <v>0</v>
      </c>
      <c r="EJ19">
        <v>1</v>
      </c>
      <c r="EK19">
        <v>0</v>
      </c>
      <c r="EL19" t="s">
        <v>350</v>
      </c>
      <c r="EM19">
        <v>0</v>
      </c>
      <c r="EN19">
        <v>0</v>
      </c>
      <c r="EO19">
        <v>0</v>
      </c>
      <c r="EP19">
        <v>0</v>
      </c>
      <c r="EQ19">
        <v>0</v>
      </c>
      <c r="ER19">
        <v>0</v>
      </c>
      <c r="ES19">
        <v>0</v>
      </c>
      <c r="ET19">
        <v>0</v>
      </c>
      <c r="EU19">
        <v>0</v>
      </c>
      <c r="EV19">
        <v>0</v>
      </c>
      <c r="EW19">
        <v>0</v>
      </c>
      <c r="EX19">
        <v>0</v>
      </c>
      <c r="EY19">
        <v>1</v>
      </c>
      <c r="IZ19">
        <v>0</v>
      </c>
      <c r="JA19">
        <v>0</v>
      </c>
      <c r="JB19">
        <v>0</v>
      </c>
      <c r="JC19">
        <v>0</v>
      </c>
      <c r="JD19">
        <v>0</v>
      </c>
      <c r="JE19">
        <v>0</v>
      </c>
      <c r="JF19">
        <v>0</v>
      </c>
      <c r="JG19">
        <v>0</v>
      </c>
      <c r="JH19">
        <v>0</v>
      </c>
      <c r="JI19">
        <v>0</v>
      </c>
      <c r="JJ19">
        <v>1</v>
      </c>
      <c r="JL19">
        <v>2</v>
      </c>
      <c r="JM19" cm="1">
        <f t="array" ref="JM19">IF(OR(JN19:JQ19 &lt;&gt; ""), 1, 0)</f>
        <v>0</v>
      </c>
    </row>
    <row r="20" spans="1:278" x14ac:dyDescent="0.35">
      <c r="A20">
        <v>392998</v>
      </c>
      <c r="C20">
        <v>1</v>
      </c>
      <c r="D20" t="s">
        <v>359</v>
      </c>
      <c r="E20" t="str">
        <f>_xlfn.XLOOKUP(I20, [1]SchoolDistrictStudyWODuplicates!$K:$K, [1]SchoolDistrictStudyWODuplicates!$E:$E, "")</f>
        <v>Placentia-Yorba Linda Unified School District</v>
      </c>
      <c r="G20" t="s">
        <v>360</v>
      </c>
      <c r="H20" s="5" t="e">
        <f>_xlfn.XLOOKUP(A20,#REF!,#REF!, "No")</f>
        <v>#REF!</v>
      </c>
      <c r="I20" s="7">
        <v>630660</v>
      </c>
      <c r="J20" s="5" t="e">
        <f>_xlfn.XLOOKUP(I20,#REF!,#REF!,"Not Determined")</f>
        <v>#REF!</v>
      </c>
      <c r="K20" s="5" t="s">
        <v>305</v>
      </c>
      <c r="L20" t="s">
        <v>332</v>
      </c>
      <c r="M20" s="13" t="e">
        <f>_xlfn.XLOOKUP(I20,#REF!,#REF!, "No")</f>
        <v>#REF!</v>
      </c>
      <c r="N20" s="5" t="str">
        <f t="shared" si="11"/>
        <v>Yes</v>
      </c>
      <c r="O20" s="5" t="str">
        <f t="shared" si="12"/>
        <v>Yes</v>
      </c>
      <c r="P20" s="5" t="str">
        <f t="shared" si="13"/>
        <v>Yes</v>
      </c>
      <c r="Q20" s="5" t="str">
        <f t="shared" si="14"/>
        <v>Yes</v>
      </c>
      <c r="R20" s="5" t="str">
        <f t="shared" si="15"/>
        <v>Yes</v>
      </c>
      <c r="S20" s="5" t="str">
        <f t="shared" si="16"/>
        <v>Yes</v>
      </c>
      <c r="T20" s="5" t="str">
        <f t="shared" si="17"/>
        <v>Yes</v>
      </c>
      <c r="U20" s="5" t="str">
        <f t="shared" si="18"/>
        <v>Yes</v>
      </c>
      <c r="V20" s="5" t="str" cm="1">
        <f t="array" ref="V20">IF(OR(DB20:DG20 =1), "Yes", "No")</f>
        <v>Yes</v>
      </c>
      <c r="W20" s="5" t="str">
        <f t="shared" si="19"/>
        <v>No</v>
      </c>
      <c r="X20" s="5" t="str">
        <f t="shared" si="20"/>
        <v>No</v>
      </c>
      <c r="Y20" s="5" t="str">
        <f t="shared" si="21"/>
        <v>No</v>
      </c>
      <c r="Z20">
        <v>3</v>
      </c>
      <c r="AB20">
        <v>0</v>
      </c>
      <c r="AC20">
        <v>0</v>
      </c>
      <c r="AD20">
        <v>1</v>
      </c>
      <c r="AE20">
        <v>0</v>
      </c>
      <c r="AF20">
        <v>0</v>
      </c>
      <c r="AG20">
        <v>0</v>
      </c>
      <c r="AH20">
        <v>0</v>
      </c>
      <c r="AI20">
        <v>0</v>
      </c>
      <c r="AJ20">
        <v>0</v>
      </c>
      <c r="AK20">
        <v>1</v>
      </c>
      <c r="AM20">
        <v>1</v>
      </c>
      <c r="AN20">
        <v>1</v>
      </c>
      <c r="AO20">
        <v>1</v>
      </c>
      <c r="AP20">
        <v>43</v>
      </c>
      <c r="AQ20">
        <v>17</v>
      </c>
      <c r="AR20">
        <v>30</v>
      </c>
      <c r="AS20">
        <v>43</v>
      </c>
      <c r="AT20">
        <v>17</v>
      </c>
      <c r="AU20">
        <v>30</v>
      </c>
      <c r="AV20">
        <v>1</v>
      </c>
      <c r="AW20">
        <v>1</v>
      </c>
      <c r="AX20">
        <v>1</v>
      </c>
      <c r="AY20">
        <v>0</v>
      </c>
      <c r="AZ20">
        <v>1</v>
      </c>
      <c r="BA20">
        <v>0</v>
      </c>
      <c r="BC20">
        <v>1</v>
      </c>
      <c r="BE20">
        <v>1</v>
      </c>
      <c r="BG20">
        <v>1</v>
      </c>
      <c r="BH20">
        <v>1</v>
      </c>
      <c r="BI20">
        <v>4</v>
      </c>
      <c r="BJ20">
        <v>1</v>
      </c>
      <c r="BK20">
        <v>4</v>
      </c>
      <c r="BL20">
        <v>2</v>
      </c>
      <c r="BM20">
        <v>1</v>
      </c>
      <c r="CQ20">
        <v>4</v>
      </c>
      <c r="CR20">
        <v>4</v>
      </c>
      <c r="CS20">
        <v>0</v>
      </c>
      <c r="CT20">
        <v>1</v>
      </c>
      <c r="CU20">
        <v>1</v>
      </c>
      <c r="CV20">
        <v>0</v>
      </c>
      <c r="CW20">
        <v>0</v>
      </c>
      <c r="CX20">
        <v>1</v>
      </c>
      <c r="CY20">
        <v>1</v>
      </c>
      <c r="CZ20">
        <v>0</v>
      </c>
      <c r="DA20">
        <v>0</v>
      </c>
      <c r="DB20">
        <v>1</v>
      </c>
      <c r="DC20">
        <v>0</v>
      </c>
      <c r="DD20">
        <v>1</v>
      </c>
      <c r="DE20">
        <v>1</v>
      </c>
      <c r="DF20">
        <v>0</v>
      </c>
      <c r="DG20">
        <v>0</v>
      </c>
      <c r="DH20">
        <v>0</v>
      </c>
      <c r="DJ20" t="s">
        <v>361</v>
      </c>
      <c r="DK20">
        <v>1</v>
      </c>
      <c r="DL20">
        <v>2</v>
      </c>
      <c r="DN20">
        <v>2</v>
      </c>
      <c r="DP20">
        <v>1</v>
      </c>
      <c r="DR20" t="s">
        <v>362</v>
      </c>
      <c r="DS20">
        <v>1</v>
      </c>
      <c r="DU20">
        <v>3</v>
      </c>
      <c r="DW20" t="s">
        <v>363</v>
      </c>
      <c r="DX20">
        <v>1</v>
      </c>
      <c r="DY20" t="s">
        <v>364</v>
      </c>
      <c r="DZ20">
        <v>4</v>
      </c>
      <c r="EB20">
        <v>0</v>
      </c>
      <c r="EC20">
        <v>1</v>
      </c>
      <c r="ED20">
        <v>0</v>
      </c>
      <c r="EE20">
        <v>1</v>
      </c>
      <c r="EF20">
        <v>0</v>
      </c>
      <c r="EG20">
        <v>0</v>
      </c>
      <c r="EH20">
        <v>0</v>
      </c>
      <c r="EI20">
        <v>1</v>
      </c>
      <c r="EJ20">
        <v>0</v>
      </c>
      <c r="EK20">
        <v>0</v>
      </c>
      <c r="EM20">
        <v>0</v>
      </c>
      <c r="EN20">
        <v>1</v>
      </c>
      <c r="EO20">
        <v>1</v>
      </c>
      <c r="EP20">
        <v>1</v>
      </c>
      <c r="EQ20">
        <v>1</v>
      </c>
      <c r="ER20">
        <v>0</v>
      </c>
      <c r="ES20">
        <v>0</v>
      </c>
      <c r="ET20">
        <v>1</v>
      </c>
      <c r="EU20">
        <v>0</v>
      </c>
      <c r="EV20">
        <v>1</v>
      </c>
      <c r="EW20">
        <v>1</v>
      </c>
      <c r="EX20">
        <v>0</v>
      </c>
      <c r="EY20">
        <v>0</v>
      </c>
      <c r="FB20" t="s">
        <v>365</v>
      </c>
      <c r="FC20">
        <v>1</v>
      </c>
      <c r="FD20">
        <v>1</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t="s">
        <v>366</v>
      </c>
      <c r="FZ20">
        <v>0</v>
      </c>
      <c r="GA20">
        <v>0</v>
      </c>
      <c r="GB20">
        <v>0</v>
      </c>
      <c r="GC20">
        <v>0</v>
      </c>
      <c r="GD20">
        <v>0</v>
      </c>
      <c r="GE20">
        <v>0</v>
      </c>
      <c r="GF20">
        <v>0</v>
      </c>
      <c r="GG20">
        <v>0</v>
      </c>
      <c r="GH20">
        <v>0</v>
      </c>
      <c r="GI20">
        <v>0</v>
      </c>
      <c r="GJ20">
        <v>0</v>
      </c>
      <c r="GK20">
        <v>0</v>
      </c>
      <c r="GL20">
        <v>0</v>
      </c>
      <c r="GM20">
        <v>0</v>
      </c>
      <c r="GN20">
        <v>0</v>
      </c>
      <c r="GO20">
        <v>0</v>
      </c>
      <c r="GP20">
        <v>0</v>
      </c>
      <c r="GQ20">
        <v>1</v>
      </c>
      <c r="GR20">
        <v>0</v>
      </c>
      <c r="HC20" t="s">
        <v>367</v>
      </c>
      <c r="HD20">
        <v>1</v>
      </c>
      <c r="HE20">
        <v>0</v>
      </c>
      <c r="HF20">
        <v>1</v>
      </c>
      <c r="HG20">
        <v>1</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Z20">
        <v>0</v>
      </c>
      <c r="JA20">
        <v>1</v>
      </c>
      <c r="JB20">
        <v>1</v>
      </c>
      <c r="JC20">
        <v>1</v>
      </c>
      <c r="JD20">
        <v>0</v>
      </c>
      <c r="JE20">
        <v>0</v>
      </c>
      <c r="JF20">
        <v>0</v>
      </c>
      <c r="JG20">
        <v>0</v>
      </c>
      <c r="JH20">
        <v>0</v>
      </c>
      <c r="JI20">
        <v>0</v>
      </c>
      <c r="JJ20">
        <v>0</v>
      </c>
      <c r="JL20">
        <v>2</v>
      </c>
      <c r="JM20" cm="1">
        <f t="array" ref="JM20">IF(OR(JN20:JQ20 &lt;&gt; ""), 1, 0)</f>
        <v>0</v>
      </c>
    </row>
    <row r="21" spans="1:278" x14ac:dyDescent="0.35">
      <c r="A21">
        <v>405243</v>
      </c>
      <c r="C21">
        <v>1</v>
      </c>
      <c r="D21" t="s">
        <v>514</v>
      </c>
      <c r="E21" t="str">
        <f>_xlfn.XLOOKUP(I21, [1]SchoolDistrictStudyWODuplicates!$K:$K, [1]SchoolDistrictStudyWODuplicates!$E:$E, "")</f>
        <v/>
      </c>
      <c r="G21" t="s">
        <v>515</v>
      </c>
      <c r="H21" s="5" t="e">
        <f>_xlfn.XLOOKUP(A21,#REF!,#REF!, "No")</f>
        <v>#REF!</v>
      </c>
      <c r="I21" s="7">
        <v>1801200</v>
      </c>
      <c r="J21" s="5" t="e">
        <f>_xlfn.XLOOKUP(I21,#REF!,#REF!,"Not Determined")</f>
        <v>#REF!</v>
      </c>
      <c r="K21" s="5" t="s">
        <v>516</v>
      </c>
      <c r="L21" t="s">
        <v>516</v>
      </c>
      <c r="M21" s="13" t="e">
        <f>_xlfn.XLOOKUP(I21,#REF!,#REF!, "No")</f>
        <v>#REF!</v>
      </c>
      <c r="N21" s="5" t="str">
        <f t="shared" si="11"/>
        <v>Yes</v>
      </c>
      <c r="O21" s="5" t="str">
        <f t="shared" si="12"/>
        <v>Yes</v>
      </c>
      <c r="P21" s="5" t="str">
        <f t="shared" si="13"/>
        <v>Yes</v>
      </c>
      <c r="Q21" s="5" t="str">
        <f t="shared" si="14"/>
        <v>Yes</v>
      </c>
      <c r="R21" s="5" t="str">
        <f t="shared" si="15"/>
        <v>Yes</v>
      </c>
      <c r="S21" s="5" t="str">
        <f t="shared" si="16"/>
        <v>Yes</v>
      </c>
      <c r="T21" s="5" t="str">
        <f t="shared" si="17"/>
        <v>Yes</v>
      </c>
      <c r="U21" s="5" t="str">
        <f t="shared" si="18"/>
        <v>Yes</v>
      </c>
      <c r="V21" s="5" t="str" cm="1">
        <f t="array" ref="V21">IF(OR(DB21:DG21 =1), "Yes", "No")</f>
        <v>Yes</v>
      </c>
      <c r="W21" s="5" t="str">
        <f t="shared" si="19"/>
        <v>No</v>
      </c>
      <c r="X21" s="5" t="str">
        <f t="shared" si="20"/>
        <v>Yes</v>
      </c>
      <c r="Y21" s="5" t="str">
        <f t="shared" si="21"/>
        <v>Yes</v>
      </c>
      <c r="Z21">
        <v>3</v>
      </c>
      <c r="AB21">
        <v>0</v>
      </c>
      <c r="AC21">
        <v>1</v>
      </c>
      <c r="AD21">
        <v>1</v>
      </c>
      <c r="AE21">
        <v>0</v>
      </c>
      <c r="AF21">
        <v>0</v>
      </c>
      <c r="AG21">
        <v>0</v>
      </c>
      <c r="AH21">
        <v>0</v>
      </c>
      <c r="AI21">
        <v>0</v>
      </c>
      <c r="AJ21">
        <v>0</v>
      </c>
      <c r="AK21">
        <v>1</v>
      </c>
      <c r="AM21">
        <v>1</v>
      </c>
      <c r="AN21">
        <v>1</v>
      </c>
      <c r="AO21">
        <v>1</v>
      </c>
      <c r="AP21">
        <v>28</v>
      </c>
      <c r="AQ21">
        <v>29</v>
      </c>
      <c r="AR21">
        <v>126</v>
      </c>
      <c r="AS21">
        <v>28</v>
      </c>
      <c r="AT21">
        <v>29</v>
      </c>
      <c r="AU21">
        <v>126</v>
      </c>
      <c r="AV21">
        <v>1</v>
      </c>
      <c r="AW21">
        <v>1</v>
      </c>
      <c r="AX21">
        <v>0</v>
      </c>
      <c r="AY21">
        <v>1</v>
      </c>
      <c r="AZ21">
        <v>1</v>
      </c>
      <c r="BA21">
        <v>0</v>
      </c>
      <c r="BC21">
        <v>1</v>
      </c>
      <c r="BE21">
        <v>1</v>
      </c>
      <c r="BG21">
        <v>1</v>
      </c>
      <c r="BH21">
        <v>1</v>
      </c>
      <c r="BI21">
        <v>1</v>
      </c>
      <c r="BJ21">
        <v>2</v>
      </c>
      <c r="BL21">
        <v>1</v>
      </c>
      <c r="BM21">
        <v>1</v>
      </c>
      <c r="CQ21">
        <v>4</v>
      </c>
      <c r="CR21">
        <v>3</v>
      </c>
      <c r="CS21">
        <v>0</v>
      </c>
      <c r="CT21">
        <v>1</v>
      </c>
      <c r="CU21">
        <v>0</v>
      </c>
      <c r="CV21">
        <v>0</v>
      </c>
      <c r="CW21">
        <v>1</v>
      </c>
      <c r="CX21">
        <v>0</v>
      </c>
      <c r="CY21">
        <v>0</v>
      </c>
      <c r="CZ21">
        <v>0</v>
      </c>
      <c r="DA21">
        <v>0</v>
      </c>
      <c r="DB21">
        <v>1</v>
      </c>
      <c r="DC21">
        <v>0</v>
      </c>
      <c r="DD21">
        <v>1</v>
      </c>
      <c r="DE21">
        <v>1</v>
      </c>
      <c r="DF21">
        <v>0</v>
      </c>
      <c r="DG21">
        <v>0</v>
      </c>
      <c r="DH21">
        <v>0</v>
      </c>
      <c r="DJ21" t="s">
        <v>517</v>
      </c>
      <c r="DK21">
        <v>1</v>
      </c>
      <c r="DL21">
        <v>1</v>
      </c>
      <c r="DN21">
        <v>1</v>
      </c>
      <c r="DP21">
        <v>2</v>
      </c>
      <c r="DS21">
        <v>4</v>
      </c>
      <c r="DW21" t="s">
        <v>518</v>
      </c>
      <c r="DX21">
        <v>3</v>
      </c>
      <c r="DY21" t="s">
        <v>519</v>
      </c>
      <c r="DZ21">
        <v>4</v>
      </c>
      <c r="EB21">
        <v>0</v>
      </c>
      <c r="EC21">
        <v>0</v>
      </c>
      <c r="ED21">
        <v>1</v>
      </c>
      <c r="EE21">
        <v>0</v>
      </c>
      <c r="EF21">
        <v>0</v>
      </c>
      <c r="EG21">
        <v>0</v>
      </c>
      <c r="EH21">
        <v>0</v>
      </c>
      <c r="EI21">
        <v>0</v>
      </c>
      <c r="EJ21">
        <v>1</v>
      </c>
      <c r="EK21">
        <v>0</v>
      </c>
      <c r="EL21" t="s">
        <v>520</v>
      </c>
      <c r="EM21">
        <v>0</v>
      </c>
      <c r="EN21">
        <v>1</v>
      </c>
      <c r="EO21">
        <v>1</v>
      </c>
      <c r="EP21">
        <v>0</v>
      </c>
      <c r="EQ21">
        <v>1</v>
      </c>
      <c r="ER21">
        <v>0</v>
      </c>
      <c r="ES21">
        <v>0</v>
      </c>
      <c r="ET21">
        <v>0</v>
      </c>
      <c r="EU21">
        <v>1</v>
      </c>
      <c r="EV21">
        <v>1</v>
      </c>
      <c r="EW21">
        <v>1</v>
      </c>
      <c r="EX21">
        <v>0</v>
      </c>
      <c r="EY21">
        <v>0</v>
      </c>
      <c r="FB21" t="s">
        <v>500</v>
      </c>
      <c r="FC21">
        <v>1</v>
      </c>
      <c r="FD21">
        <v>1</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t="s">
        <v>521</v>
      </c>
      <c r="FZ21">
        <v>1</v>
      </c>
      <c r="GA21">
        <v>0</v>
      </c>
      <c r="GB21">
        <v>0</v>
      </c>
      <c r="GC21">
        <v>0</v>
      </c>
      <c r="GD21">
        <v>1</v>
      </c>
      <c r="GE21">
        <v>0</v>
      </c>
      <c r="GF21">
        <v>0</v>
      </c>
      <c r="GG21">
        <v>0</v>
      </c>
      <c r="GH21">
        <v>0</v>
      </c>
      <c r="GI21">
        <v>0</v>
      </c>
      <c r="GJ21">
        <v>0</v>
      </c>
      <c r="GK21">
        <v>0</v>
      </c>
      <c r="GL21">
        <v>0</v>
      </c>
      <c r="GM21">
        <v>0</v>
      </c>
      <c r="GN21">
        <v>0</v>
      </c>
      <c r="GO21">
        <v>0</v>
      </c>
      <c r="GP21">
        <v>0</v>
      </c>
      <c r="GQ21">
        <v>0</v>
      </c>
      <c r="GR21">
        <v>0</v>
      </c>
      <c r="HC21" t="s">
        <v>522</v>
      </c>
      <c r="HD21">
        <v>0</v>
      </c>
      <c r="HE21">
        <v>0</v>
      </c>
      <c r="HF21">
        <v>0</v>
      </c>
      <c r="HG21">
        <v>0</v>
      </c>
      <c r="HH21">
        <v>0</v>
      </c>
      <c r="HI21">
        <v>0</v>
      </c>
      <c r="HJ21">
        <v>0</v>
      </c>
      <c r="HK21">
        <v>0</v>
      </c>
      <c r="HL21">
        <v>0</v>
      </c>
      <c r="HM21">
        <v>0</v>
      </c>
      <c r="HN21">
        <v>0</v>
      </c>
      <c r="HO21">
        <v>0</v>
      </c>
      <c r="HP21">
        <v>0</v>
      </c>
      <c r="HQ21">
        <v>0</v>
      </c>
      <c r="HR21">
        <v>0</v>
      </c>
      <c r="HS21">
        <v>0</v>
      </c>
      <c r="HT21">
        <v>0</v>
      </c>
      <c r="HU21">
        <v>0</v>
      </c>
      <c r="HV21">
        <v>1</v>
      </c>
      <c r="HW21">
        <v>0</v>
      </c>
      <c r="HX21">
        <v>0</v>
      </c>
      <c r="HY21">
        <v>0</v>
      </c>
      <c r="HZ21">
        <v>0</v>
      </c>
      <c r="IA21">
        <v>0</v>
      </c>
      <c r="IB21">
        <v>0</v>
      </c>
      <c r="IC21">
        <v>0</v>
      </c>
      <c r="ID21">
        <v>0</v>
      </c>
      <c r="IE21">
        <v>0</v>
      </c>
      <c r="IF21">
        <v>0</v>
      </c>
      <c r="IG21">
        <v>0</v>
      </c>
      <c r="IH21">
        <v>0</v>
      </c>
      <c r="II21">
        <v>0</v>
      </c>
      <c r="IJ21">
        <v>0</v>
      </c>
      <c r="IK21">
        <v>1</v>
      </c>
      <c r="IL21">
        <v>0</v>
      </c>
      <c r="IM21">
        <v>0</v>
      </c>
      <c r="IN21">
        <v>0</v>
      </c>
      <c r="IO21">
        <v>0</v>
      </c>
      <c r="IP21">
        <v>0</v>
      </c>
      <c r="IQ21">
        <v>0</v>
      </c>
      <c r="IR21">
        <v>0</v>
      </c>
      <c r="IS21">
        <v>0</v>
      </c>
      <c r="IT21">
        <v>0</v>
      </c>
      <c r="IU21">
        <v>0</v>
      </c>
      <c r="IV21">
        <v>0</v>
      </c>
      <c r="IW21">
        <v>0</v>
      </c>
      <c r="IZ21">
        <v>1</v>
      </c>
      <c r="JA21">
        <v>0</v>
      </c>
      <c r="JB21">
        <v>1</v>
      </c>
      <c r="JC21">
        <v>1</v>
      </c>
      <c r="JD21">
        <v>0</v>
      </c>
      <c r="JE21">
        <v>0</v>
      </c>
      <c r="JF21">
        <v>0</v>
      </c>
      <c r="JG21">
        <v>0</v>
      </c>
      <c r="JH21">
        <v>0</v>
      </c>
      <c r="JI21">
        <v>0</v>
      </c>
      <c r="JJ21">
        <v>0</v>
      </c>
      <c r="JL21">
        <v>2</v>
      </c>
      <c r="JM21" cm="1">
        <f t="array" ref="JM21">IF(OR(JN21:JQ21 &lt;&gt; ""), 1, 0)</f>
        <v>0</v>
      </c>
    </row>
    <row r="22" spans="1:278" x14ac:dyDescent="0.35">
      <c r="A22">
        <v>393225</v>
      </c>
      <c r="C22">
        <v>1</v>
      </c>
      <c r="D22" t="s">
        <v>368</v>
      </c>
      <c r="E22" t="str">
        <f>_xlfn.XLOOKUP(I22, [1]SchoolDistrictStudyWODuplicates!$K:$K, [1]SchoolDistrictStudyWODuplicates!$E:$E, "")</f>
        <v>Victor Valley Union High School District</v>
      </c>
      <c r="G22" t="s">
        <v>369</v>
      </c>
      <c r="H22" s="5" t="e">
        <f>_xlfn.XLOOKUP(A22,#REF!,#REF!, "No")</f>
        <v>#REF!</v>
      </c>
      <c r="I22" s="7">
        <v>636972</v>
      </c>
      <c r="J22" s="5" t="e">
        <f>_xlfn.XLOOKUP(I22,#REF!,#REF!,"Not Determined")</f>
        <v>#REF!</v>
      </c>
      <c r="K22" s="5" t="s">
        <v>305</v>
      </c>
      <c r="L22" t="s">
        <v>332</v>
      </c>
      <c r="M22" s="13" t="e">
        <f>_xlfn.XLOOKUP(I22,#REF!,#REF!, "No")</f>
        <v>#REF!</v>
      </c>
      <c r="N22" s="5" t="str">
        <f t="shared" si="11"/>
        <v>No</v>
      </c>
      <c r="O22" s="5" t="str">
        <f t="shared" si="12"/>
        <v>Yes</v>
      </c>
      <c r="P22" s="5" t="str">
        <f t="shared" si="13"/>
        <v>No</v>
      </c>
      <c r="Q22" s="5" t="str">
        <f t="shared" si="14"/>
        <v>Yes</v>
      </c>
      <c r="R22" s="5" t="str">
        <f t="shared" si="15"/>
        <v>Yes</v>
      </c>
      <c r="S22" s="5" t="str">
        <f t="shared" si="16"/>
        <v>Yes</v>
      </c>
      <c r="T22" s="5" t="str">
        <f t="shared" si="17"/>
        <v>Yes</v>
      </c>
      <c r="U22" s="5" t="str">
        <f t="shared" si="18"/>
        <v>Yes</v>
      </c>
      <c r="V22" s="5" t="str" cm="1">
        <f t="array" ref="V22">IF(OR(DB22:DG22 =1), "Yes", "No")</f>
        <v>No</v>
      </c>
      <c r="W22" s="5" t="str">
        <f t="shared" si="19"/>
        <v>Yes</v>
      </c>
      <c r="X22" s="5" t="str">
        <f t="shared" si="20"/>
        <v>No</v>
      </c>
      <c r="Y22" s="5" t="str">
        <f t="shared" si="21"/>
        <v>No</v>
      </c>
      <c r="Z22">
        <v>12</v>
      </c>
      <c r="AB22">
        <v>0</v>
      </c>
      <c r="AC22">
        <v>0</v>
      </c>
      <c r="AD22">
        <v>1</v>
      </c>
      <c r="AE22">
        <v>0</v>
      </c>
      <c r="AF22">
        <v>0</v>
      </c>
      <c r="AG22">
        <v>1</v>
      </c>
      <c r="AH22">
        <v>1</v>
      </c>
      <c r="AI22">
        <v>1</v>
      </c>
      <c r="AJ22">
        <v>0</v>
      </c>
      <c r="AK22">
        <v>1</v>
      </c>
      <c r="AM22">
        <v>0</v>
      </c>
      <c r="AN22">
        <v>1</v>
      </c>
      <c r="AO22">
        <v>1</v>
      </c>
      <c r="AQ22">
        <v>10</v>
      </c>
      <c r="AR22">
        <v>65</v>
      </c>
      <c r="AT22">
        <v>10</v>
      </c>
      <c r="AU22">
        <v>65</v>
      </c>
      <c r="AV22">
        <v>1</v>
      </c>
      <c r="AW22">
        <v>0</v>
      </c>
      <c r="AX22">
        <v>0</v>
      </c>
      <c r="AY22">
        <v>0</v>
      </c>
      <c r="AZ22">
        <v>0</v>
      </c>
      <c r="BA22">
        <v>0</v>
      </c>
      <c r="BC22">
        <v>1</v>
      </c>
      <c r="BE22">
        <v>1</v>
      </c>
      <c r="BG22">
        <v>1</v>
      </c>
      <c r="BH22">
        <v>1</v>
      </c>
      <c r="BI22">
        <v>5</v>
      </c>
      <c r="BJ22">
        <v>1</v>
      </c>
      <c r="BK22">
        <v>6</v>
      </c>
      <c r="BL22">
        <v>2</v>
      </c>
      <c r="BM22">
        <v>2</v>
      </c>
      <c r="BN22">
        <v>1</v>
      </c>
      <c r="BO22">
        <v>0</v>
      </c>
      <c r="BP22">
        <v>0</v>
      </c>
      <c r="BQ22">
        <v>0</v>
      </c>
      <c r="BR22">
        <v>0</v>
      </c>
      <c r="BS22">
        <v>0</v>
      </c>
      <c r="BT22">
        <v>1</v>
      </c>
      <c r="BU22" t="s">
        <v>370</v>
      </c>
      <c r="BV22">
        <v>0</v>
      </c>
      <c r="BW22">
        <v>0</v>
      </c>
      <c r="BX22">
        <v>1</v>
      </c>
      <c r="BY22">
        <v>1</v>
      </c>
      <c r="BZ22">
        <v>1</v>
      </c>
      <c r="CA22">
        <v>0</v>
      </c>
      <c r="CB22">
        <v>0</v>
      </c>
      <c r="CC22">
        <v>0</v>
      </c>
      <c r="CD22">
        <v>1</v>
      </c>
      <c r="CE22">
        <v>0</v>
      </c>
      <c r="CF22">
        <v>0</v>
      </c>
      <c r="CG22">
        <v>0</v>
      </c>
      <c r="CH22">
        <v>0</v>
      </c>
      <c r="CI22">
        <v>1</v>
      </c>
      <c r="CJ22">
        <v>0</v>
      </c>
      <c r="CK22">
        <v>0</v>
      </c>
      <c r="CL22">
        <v>0</v>
      </c>
      <c r="CN22">
        <v>9</v>
      </c>
      <c r="CO22">
        <v>4</v>
      </c>
      <c r="CQ22">
        <v>3</v>
      </c>
      <c r="CR22">
        <v>3</v>
      </c>
      <c r="EB22">
        <v>0</v>
      </c>
      <c r="EC22">
        <v>1</v>
      </c>
      <c r="ED22">
        <v>1</v>
      </c>
      <c r="EE22">
        <v>1</v>
      </c>
      <c r="EF22">
        <v>0</v>
      </c>
      <c r="EG22">
        <v>1</v>
      </c>
      <c r="EH22">
        <v>0</v>
      </c>
      <c r="EI22">
        <v>0</v>
      </c>
      <c r="EJ22">
        <v>0</v>
      </c>
      <c r="EK22">
        <v>0</v>
      </c>
      <c r="EM22">
        <v>0</v>
      </c>
      <c r="EN22">
        <v>0</v>
      </c>
      <c r="EO22">
        <v>1</v>
      </c>
      <c r="EP22">
        <v>0</v>
      </c>
      <c r="EQ22">
        <v>0</v>
      </c>
      <c r="ER22">
        <v>0</v>
      </c>
      <c r="ES22">
        <v>0</v>
      </c>
      <c r="ET22">
        <v>0</v>
      </c>
      <c r="EU22">
        <v>0</v>
      </c>
      <c r="EV22">
        <v>0</v>
      </c>
      <c r="EW22">
        <v>1</v>
      </c>
      <c r="EX22">
        <v>0</v>
      </c>
      <c r="EY22">
        <v>0</v>
      </c>
      <c r="FY22" t="s">
        <v>371</v>
      </c>
      <c r="FZ22">
        <v>1</v>
      </c>
      <c r="GA22">
        <v>0</v>
      </c>
      <c r="GB22">
        <v>1</v>
      </c>
      <c r="GC22">
        <v>0</v>
      </c>
      <c r="GD22">
        <v>0</v>
      </c>
      <c r="GE22">
        <v>0</v>
      </c>
      <c r="GF22">
        <v>0</v>
      </c>
      <c r="GG22">
        <v>0</v>
      </c>
      <c r="GH22">
        <v>0</v>
      </c>
      <c r="GI22">
        <v>0</v>
      </c>
      <c r="GJ22">
        <v>0</v>
      </c>
      <c r="GK22">
        <v>0</v>
      </c>
      <c r="GL22">
        <v>0</v>
      </c>
      <c r="GM22">
        <v>0</v>
      </c>
      <c r="GN22">
        <v>0</v>
      </c>
      <c r="GO22">
        <v>0</v>
      </c>
      <c r="GP22">
        <v>0</v>
      </c>
      <c r="GQ22">
        <v>0</v>
      </c>
      <c r="GR22">
        <v>0</v>
      </c>
      <c r="IZ22">
        <v>1</v>
      </c>
      <c r="JA22">
        <v>1</v>
      </c>
      <c r="JB22">
        <v>0</v>
      </c>
      <c r="JC22">
        <v>0</v>
      </c>
      <c r="JD22">
        <v>0</v>
      </c>
      <c r="JE22">
        <v>0</v>
      </c>
      <c r="JF22">
        <v>1</v>
      </c>
      <c r="JG22">
        <v>0</v>
      </c>
      <c r="JH22">
        <v>0</v>
      </c>
      <c r="JI22">
        <v>0</v>
      </c>
      <c r="JJ22">
        <v>0</v>
      </c>
      <c r="JL22">
        <v>1</v>
      </c>
      <c r="JM22" cm="1">
        <f t="array" ref="JM22">IF(OR(JN22:JQ22 &lt;&gt; ""), 1, 0)</f>
        <v>1</v>
      </c>
      <c r="JN22">
        <v>1</v>
      </c>
      <c r="JO22">
        <v>0</v>
      </c>
      <c r="JP22">
        <v>0</v>
      </c>
      <c r="JQ22">
        <v>0</v>
      </c>
    </row>
    <row r="23" spans="1:278" x14ac:dyDescent="0.35">
      <c r="A23">
        <v>405382</v>
      </c>
      <c r="C23">
        <v>1</v>
      </c>
      <c r="D23" t="s">
        <v>372</v>
      </c>
      <c r="E23" t="str">
        <f>_xlfn.XLOOKUP(I23, [1]SchoolDistrictStudyWODuplicates!$K:$K, [1]SchoolDistrictStudyWODuplicates!$E:$E, "")</f>
        <v/>
      </c>
      <c r="G23" t="s">
        <v>373</v>
      </c>
      <c r="H23" s="7">
        <v>643470</v>
      </c>
      <c r="I23" s="7">
        <v>643470</v>
      </c>
      <c r="J23" s="5" t="e">
        <f>_xlfn.XLOOKUP(I23,#REF!,#REF!,"Not Determined")</f>
        <v>#REF!</v>
      </c>
      <c r="K23" s="5" t="s">
        <v>305</v>
      </c>
      <c r="L23" t="s">
        <v>332</v>
      </c>
      <c r="M23" s="13" t="e">
        <f>_xlfn.XLOOKUP(I23,#REF!,#REF!, "No")</f>
        <v>#REF!</v>
      </c>
      <c r="N23" s="5" t="str">
        <f t="shared" si="11"/>
        <v>No</v>
      </c>
      <c r="O23" s="5" t="str">
        <f t="shared" si="12"/>
        <v>Yes</v>
      </c>
      <c r="P23" s="5" t="str">
        <f t="shared" si="13"/>
        <v>Yes</v>
      </c>
      <c r="Q23" s="5" t="str">
        <f t="shared" si="14"/>
        <v>Yes</v>
      </c>
      <c r="R23" s="5" t="str">
        <f t="shared" si="15"/>
        <v>Yes</v>
      </c>
      <c r="S23" s="5" t="str">
        <f t="shared" si="16"/>
        <v>Yes</v>
      </c>
      <c r="T23" s="5" t="str">
        <f t="shared" si="17"/>
        <v>Yes</v>
      </c>
      <c r="U23" s="5" t="str">
        <f t="shared" si="18"/>
        <v>Yes</v>
      </c>
      <c r="V23" s="5" t="str" cm="1">
        <f t="array" ref="V23">IF(OR(DB23:DG23 =1), "Yes", "No")</f>
        <v>No</v>
      </c>
      <c r="W23" s="5" t="str">
        <f t="shared" si="19"/>
        <v>Yes</v>
      </c>
      <c r="X23" s="5" t="str">
        <f t="shared" si="20"/>
        <v>No</v>
      </c>
      <c r="Y23" s="5" t="str">
        <f t="shared" si="21"/>
        <v>No</v>
      </c>
      <c r="Z23">
        <v>3</v>
      </c>
      <c r="AB23">
        <v>1</v>
      </c>
      <c r="AC23">
        <v>0</v>
      </c>
      <c r="AD23">
        <v>1</v>
      </c>
      <c r="AE23">
        <v>0</v>
      </c>
      <c r="AF23">
        <v>0</v>
      </c>
      <c r="AG23">
        <v>1</v>
      </c>
      <c r="AH23">
        <v>0</v>
      </c>
      <c r="AI23">
        <v>1</v>
      </c>
      <c r="AJ23">
        <v>0</v>
      </c>
      <c r="AK23">
        <v>1</v>
      </c>
      <c r="AM23">
        <v>1</v>
      </c>
      <c r="AN23">
        <v>1</v>
      </c>
      <c r="AO23">
        <v>1</v>
      </c>
      <c r="AP23">
        <v>5</v>
      </c>
      <c r="AQ23">
        <v>30</v>
      </c>
      <c r="AR23">
        <v>24</v>
      </c>
      <c r="AS23">
        <v>5</v>
      </c>
      <c r="AT23">
        <v>30</v>
      </c>
      <c r="AU23">
        <v>24</v>
      </c>
      <c r="AV23">
        <v>1</v>
      </c>
      <c r="AW23">
        <v>0</v>
      </c>
      <c r="AX23">
        <v>1</v>
      </c>
      <c r="AY23">
        <v>0</v>
      </c>
      <c r="AZ23">
        <v>0</v>
      </c>
      <c r="BA23">
        <v>0</v>
      </c>
      <c r="BC23">
        <v>5</v>
      </c>
      <c r="BE23">
        <v>1</v>
      </c>
      <c r="BG23">
        <v>1</v>
      </c>
      <c r="BH23">
        <v>1</v>
      </c>
      <c r="BI23">
        <v>3</v>
      </c>
      <c r="BJ23">
        <v>2</v>
      </c>
      <c r="BL23">
        <v>2</v>
      </c>
      <c r="BM23">
        <v>1</v>
      </c>
      <c r="BN23">
        <v>1</v>
      </c>
      <c r="BO23">
        <v>1</v>
      </c>
      <c r="BP23">
        <v>1</v>
      </c>
      <c r="BQ23">
        <v>0</v>
      </c>
      <c r="BR23">
        <v>0</v>
      </c>
      <c r="BS23">
        <v>0</v>
      </c>
      <c r="BT23">
        <v>0</v>
      </c>
      <c r="BV23">
        <v>0</v>
      </c>
      <c r="BW23">
        <v>0</v>
      </c>
      <c r="BX23">
        <v>0</v>
      </c>
      <c r="BY23">
        <v>0</v>
      </c>
      <c r="BZ23">
        <v>0</v>
      </c>
      <c r="CA23">
        <v>1</v>
      </c>
      <c r="CB23">
        <v>0</v>
      </c>
      <c r="CC23">
        <v>1</v>
      </c>
      <c r="CD23">
        <v>1</v>
      </c>
      <c r="CE23">
        <v>0</v>
      </c>
      <c r="CF23">
        <v>0</v>
      </c>
      <c r="CG23">
        <v>0</v>
      </c>
      <c r="CH23">
        <v>0</v>
      </c>
      <c r="CI23">
        <v>0</v>
      </c>
      <c r="CJ23">
        <v>1</v>
      </c>
      <c r="CK23">
        <v>0</v>
      </c>
      <c r="CL23">
        <v>0</v>
      </c>
      <c r="CN23">
        <v>6</v>
      </c>
      <c r="CO23">
        <v>4</v>
      </c>
      <c r="CQ23">
        <v>4</v>
      </c>
      <c r="CR23">
        <v>3</v>
      </c>
      <c r="EB23">
        <v>0</v>
      </c>
      <c r="EC23">
        <v>0</v>
      </c>
      <c r="ED23">
        <v>1</v>
      </c>
      <c r="EE23">
        <v>0</v>
      </c>
      <c r="EF23">
        <v>0</v>
      </c>
      <c r="EG23">
        <v>1</v>
      </c>
      <c r="EH23">
        <v>0</v>
      </c>
      <c r="EI23">
        <v>0</v>
      </c>
      <c r="EJ23">
        <v>1</v>
      </c>
      <c r="EK23">
        <v>0</v>
      </c>
      <c r="EL23" t="s">
        <v>374</v>
      </c>
      <c r="EM23">
        <v>0</v>
      </c>
      <c r="EN23">
        <v>0</v>
      </c>
      <c r="EO23">
        <v>0</v>
      </c>
      <c r="EP23">
        <v>0</v>
      </c>
      <c r="EQ23">
        <v>1</v>
      </c>
      <c r="ER23">
        <v>0</v>
      </c>
      <c r="ES23">
        <v>0</v>
      </c>
      <c r="ET23">
        <v>0</v>
      </c>
      <c r="EU23">
        <v>0</v>
      </c>
      <c r="EV23">
        <v>0</v>
      </c>
      <c r="EW23">
        <v>1</v>
      </c>
      <c r="EX23">
        <v>0</v>
      </c>
      <c r="EY23">
        <v>0</v>
      </c>
      <c r="IZ23">
        <v>0</v>
      </c>
      <c r="JA23">
        <v>0</v>
      </c>
      <c r="JB23">
        <v>0</v>
      </c>
      <c r="JC23">
        <v>0</v>
      </c>
      <c r="JD23">
        <v>0</v>
      </c>
      <c r="JE23">
        <v>0</v>
      </c>
      <c r="JF23">
        <v>0</v>
      </c>
      <c r="JG23">
        <v>0</v>
      </c>
      <c r="JH23">
        <v>0</v>
      </c>
      <c r="JI23">
        <v>0</v>
      </c>
      <c r="JJ23">
        <v>1</v>
      </c>
      <c r="JL23">
        <v>1</v>
      </c>
      <c r="JM23" cm="1">
        <f t="array" ref="JM23">IF(OR(JN23:JQ23 &lt;&gt; ""), 1, 0)</f>
        <v>1</v>
      </c>
      <c r="JN23">
        <v>1</v>
      </c>
      <c r="JO23">
        <v>1</v>
      </c>
      <c r="JP23">
        <v>0</v>
      </c>
      <c r="JQ23">
        <v>0</v>
      </c>
    </row>
    <row r="24" spans="1:278" x14ac:dyDescent="0.35">
      <c r="A24">
        <v>405229</v>
      </c>
      <c r="C24">
        <v>1</v>
      </c>
      <c r="D24" t="s">
        <v>375</v>
      </c>
      <c r="E24" t="str">
        <f>_xlfn.XLOOKUP(I24, [1]SchoolDistrictStudyWODuplicates!$K:$K, [1]SchoolDistrictStudyWODuplicates!$E:$E, "")</f>
        <v/>
      </c>
      <c r="G24" t="s">
        <v>376</v>
      </c>
      <c r="H24" s="5" t="e">
        <f>_xlfn.XLOOKUP(A24,#REF!,#REF!, "No")</f>
        <v>#REF!</v>
      </c>
      <c r="I24" s="7">
        <v>803450</v>
      </c>
      <c r="J24" s="5" t="e">
        <f>_xlfn.XLOOKUP(I24,#REF!,#REF!,"Not Determined")</f>
        <v>#REF!</v>
      </c>
      <c r="K24" s="5" t="s">
        <v>377</v>
      </c>
      <c r="L24" t="s">
        <v>377</v>
      </c>
      <c r="M24" s="13" t="e">
        <f>_xlfn.XLOOKUP(I24,#REF!,#REF!, "No")</f>
        <v>#REF!</v>
      </c>
      <c r="N24" s="5" t="str">
        <f t="shared" si="11"/>
        <v>No</v>
      </c>
      <c r="O24" s="5" t="str">
        <f t="shared" si="12"/>
        <v>No</v>
      </c>
      <c r="P24" s="5" t="str">
        <f t="shared" si="13"/>
        <v>No</v>
      </c>
      <c r="Q24" s="5" t="str">
        <f t="shared" si="14"/>
        <v>No</v>
      </c>
      <c r="R24" s="5" t="str">
        <f t="shared" si="15"/>
        <v>No</v>
      </c>
      <c r="S24" s="5" t="str">
        <f t="shared" si="16"/>
        <v>No</v>
      </c>
      <c r="T24" s="5" t="str">
        <f t="shared" si="17"/>
        <v>No</v>
      </c>
      <c r="U24" s="5" t="str">
        <f t="shared" si="18"/>
        <v>No</v>
      </c>
      <c r="V24" s="5" t="str" cm="1">
        <f t="array" ref="V24">IF(OR(DB24:DG24 =1), "Yes", "No")</f>
        <v>No</v>
      </c>
      <c r="W24" s="5" t="str">
        <f t="shared" si="19"/>
        <v>No</v>
      </c>
      <c r="X24" s="5" t="str">
        <f t="shared" si="20"/>
        <v>No</v>
      </c>
      <c r="Y24" s="5" t="str">
        <f t="shared" si="21"/>
        <v>No</v>
      </c>
      <c r="Z24">
        <v>10</v>
      </c>
      <c r="JM24" cm="1">
        <f t="array" ref="JM24">IF(OR(JN24:JQ24 &lt;&gt; ""), 1, 0)</f>
        <v>0</v>
      </c>
    </row>
    <row r="25" spans="1:278" x14ac:dyDescent="0.35">
      <c r="A25">
        <v>405350</v>
      </c>
      <c r="C25">
        <v>1</v>
      </c>
      <c r="D25" t="s">
        <v>378</v>
      </c>
      <c r="E25" t="str">
        <f>_xlfn.XLOOKUP(I25, [1]SchoolDistrictStudyWODuplicates!$K:$K, [1]SchoolDistrictStudyWODuplicates!$E:$E, "")</f>
        <v/>
      </c>
      <c r="G25" t="s">
        <v>379</v>
      </c>
      <c r="H25" s="5" t="e">
        <f>_xlfn.XLOOKUP(A25,#REF!,#REF!, "No")</f>
        <v>#REF!</v>
      </c>
      <c r="I25" s="7">
        <v>800291</v>
      </c>
      <c r="J25" s="5" t="e">
        <f>_xlfn.XLOOKUP(I25,#REF!,#REF!,"Not Determined")</f>
        <v>#REF!</v>
      </c>
      <c r="K25" s="5" t="s">
        <v>377</v>
      </c>
      <c r="L25" t="s">
        <v>377</v>
      </c>
      <c r="M25" s="13" t="e">
        <f>_xlfn.XLOOKUP(I25,#REF!,#REF!, "No")</f>
        <v>#REF!</v>
      </c>
      <c r="N25" s="5" t="str">
        <f t="shared" si="11"/>
        <v>No</v>
      </c>
      <c r="O25" s="5" t="str">
        <f t="shared" si="12"/>
        <v>Yes</v>
      </c>
      <c r="P25" s="5" t="str">
        <f t="shared" si="13"/>
        <v>Yes</v>
      </c>
      <c r="Q25" s="5" t="str">
        <f t="shared" si="14"/>
        <v>Yes</v>
      </c>
      <c r="R25" s="5" t="str">
        <f t="shared" si="15"/>
        <v>Yes</v>
      </c>
      <c r="S25" s="5" t="str">
        <f t="shared" si="16"/>
        <v>Yes</v>
      </c>
      <c r="T25" s="5" t="str">
        <f t="shared" si="17"/>
        <v>Yes</v>
      </c>
      <c r="U25" s="5" t="str">
        <f t="shared" si="18"/>
        <v>No</v>
      </c>
      <c r="V25" s="5" t="str" cm="1">
        <f t="array" ref="V25">IF(OR(DB25:DG25 =1), "Yes", "No")</f>
        <v>No</v>
      </c>
      <c r="W25" s="5" t="str">
        <f t="shared" si="19"/>
        <v>Yes</v>
      </c>
      <c r="X25" s="5" t="str">
        <f t="shared" si="20"/>
        <v>No</v>
      </c>
      <c r="Y25" s="5" t="str">
        <f t="shared" si="21"/>
        <v>No</v>
      </c>
      <c r="Z25">
        <v>3</v>
      </c>
      <c r="AB25">
        <v>0</v>
      </c>
      <c r="AC25">
        <v>0</v>
      </c>
      <c r="AD25">
        <v>1</v>
      </c>
      <c r="AE25">
        <v>0</v>
      </c>
      <c r="AF25">
        <v>0</v>
      </c>
      <c r="AG25">
        <v>0</v>
      </c>
      <c r="AH25">
        <v>0</v>
      </c>
      <c r="AI25">
        <v>0</v>
      </c>
      <c r="AJ25">
        <v>0</v>
      </c>
      <c r="AK25">
        <v>1</v>
      </c>
      <c r="AM25">
        <v>1</v>
      </c>
      <c r="AN25">
        <v>1</v>
      </c>
      <c r="AO25">
        <v>1</v>
      </c>
      <c r="AP25">
        <v>12</v>
      </c>
      <c r="AQ25">
        <v>24</v>
      </c>
      <c r="AR25">
        <v>14</v>
      </c>
      <c r="AS25">
        <v>12</v>
      </c>
      <c r="AT25">
        <v>24</v>
      </c>
      <c r="AU25">
        <v>14</v>
      </c>
      <c r="AV25">
        <v>1</v>
      </c>
      <c r="AW25">
        <v>1</v>
      </c>
      <c r="AX25">
        <v>0</v>
      </c>
      <c r="AY25">
        <v>0</v>
      </c>
      <c r="AZ25">
        <v>0</v>
      </c>
      <c r="BA25">
        <v>0</v>
      </c>
      <c r="BC25">
        <v>1</v>
      </c>
      <c r="BE25">
        <v>1</v>
      </c>
      <c r="BG25">
        <v>1</v>
      </c>
      <c r="BH25">
        <v>1</v>
      </c>
      <c r="BI25">
        <v>1</v>
      </c>
      <c r="BJ25">
        <v>1</v>
      </c>
      <c r="BK25">
        <v>1</v>
      </c>
      <c r="BL25">
        <v>1</v>
      </c>
      <c r="BM25">
        <v>1</v>
      </c>
      <c r="BN25">
        <v>1</v>
      </c>
      <c r="BO25">
        <v>1</v>
      </c>
      <c r="BP25">
        <v>0</v>
      </c>
      <c r="BQ25">
        <v>0</v>
      </c>
      <c r="BR25">
        <v>0</v>
      </c>
      <c r="BS25">
        <v>0</v>
      </c>
      <c r="BT25">
        <v>0</v>
      </c>
      <c r="BV25">
        <v>0</v>
      </c>
      <c r="BW25">
        <v>0</v>
      </c>
      <c r="BX25">
        <v>1</v>
      </c>
      <c r="BY25">
        <v>1</v>
      </c>
      <c r="BZ25">
        <v>0</v>
      </c>
      <c r="CA25">
        <v>0</v>
      </c>
      <c r="CB25">
        <v>0</v>
      </c>
      <c r="CC25">
        <v>0</v>
      </c>
      <c r="CD25">
        <v>0</v>
      </c>
      <c r="CE25">
        <v>1</v>
      </c>
      <c r="CF25">
        <v>0</v>
      </c>
      <c r="CG25">
        <v>0</v>
      </c>
      <c r="CH25">
        <v>0</v>
      </c>
      <c r="CI25">
        <v>0</v>
      </c>
      <c r="CJ25">
        <v>0</v>
      </c>
      <c r="CK25">
        <v>0</v>
      </c>
      <c r="CL25">
        <v>0</v>
      </c>
      <c r="CN25">
        <v>5</v>
      </c>
      <c r="CO25">
        <v>3</v>
      </c>
      <c r="CP25" t="s">
        <v>380</v>
      </c>
      <c r="CQ25">
        <v>3</v>
      </c>
      <c r="CR25">
        <v>2</v>
      </c>
      <c r="EB25">
        <v>0</v>
      </c>
      <c r="EC25">
        <v>0</v>
      </c>
      <c r="ED25">
        <v>0</v>
      </c>
      <c r="EE25">
        <v>0</v>
      </c>
      <c r="EF25">
        <v>1</v>
      </c>
      <c r="EG25">
        <v>0</v>
      </c>
      <c r="EH25">
        <v>0</v>
      </c>
      <c r="EI25">
        <v>0</v>
      </c>
      <c r="EJ25">
        <v>0</v>
      </c>
      <c r="EK25">
        <v>0</v>
      </c>
      <c r="EM25">
        <v>0</v>
      </c>
      <c r="EN25">
        <v>0</v>
      </c>
      <c r="EO25">
        <v>0</v>
      </c>
      <c r="EP25">
        <v>1</v>
      </c>
      <c r="EQ25">
        <v>0</v>
      </c>
      <c r="ER25">
        <v>0</v>
      </c>
      <c r="ES25">
        <v>0</v>
      </c>
      <c r="ET25">
        <v>0</v>
      </c>
      <c r="EU25">
        <v>0</v>
      </c>
      <c r="EV25">
        <v>0</v>
      </c>
      <c r="EW25">
        <v>0</v>
      </c>
      <c r="EX25">
        <v>0</v>
      </c>
      <c r="EY25">
        <v>0</v>
      </c>
      <c r="IZ25">
        <v>0</v>
      </c>
      <c r="JA25">
        <v>0</v>
      </c>
      <c r="JB25">
        <v>0</v>
      </c>
      <c r="JC25">
        <v>0</v>
      </c>
      <c r="JD25">
        <v>0</v>
      </c>
      <c r="JE25">
        <v>0</v>
      </c>
      <c r="JF25">
        <v>0</v>
      </c>
      <c r="JG25">
        <v>0</v>
      </c>
      <c r="JH25">
        <v>0</v>
      </c>
      <c r="JI25">
        <v>0</v>
      </c>
      <c r="JJ25">
        <v>1</v>
      </c>
      <c r="JL25">
        <v>1</v>
      </c>
      <c r="JM25" cm="1">
        <f t="array" ref="JM25">IF(OR(JN25:JQ25 &lt;&gt; ""), 1, 0)</f>
        <v>1</v>
      </c>
      <c r="JN25">
        <v>1</v>
      </c>
      <c r="JO25">
        <v>0</v>
      </c>
      <c r="JP25">
        <v>0</v>
      </c>
      <c r="JQ25">
        <v>0</v>
      </c>
    </row>
    <row r="26" spans="1:278" x14ac:dyDescent="0.35">
      <c r="A26">
        <v>405238</v>
      </c>
      <c r="C26">
        <v>1</v>
      </c>
      <c r="D26" t="s">
        <v>381</v>
      </c>
      <c r="E26" t="str">
        <f>_xlfn.XLOOKUP(I26, [1]SchoolDistrictStudyWODuplicates!$K:$K, [1]SchoolDistrictStudyWODuplicates!$E:$E, "")</f>
        <v/>
      </c>
      <c r="G26" t="s">
        <v>382</v>
      </c>
      <c r="H26" s="5" t="e">
        <f>_xlfn.XLOOKUP(A26,#REF!,#REF!, "No")</f>
        <v>#REF!</v>
      </c>
      <c r="I26" s="7">
        <v>803810</v>
      </c>
      <c r="J26" s="5" t="e">
        <f>_xlfn.XLOOKUP(I26,#REF!,#REF!,"Not Determined")</f>
        <v>#REF!</v>
      </c>
      <c r="K26" s="5" t="s">
        <v>377</v>
      </c>
      <c r="L26" t="s">
        <v>383</v>
      </c>
      <c r="M26" s="13" t="e">
        <f>_xlfn.XLOOKUP(I26,#REF!,#REF!, "No")</f>
        <v>#REF!</v>
      </c>
      <c r="N26" s="5" t="str">
        <f t="shared" si="11"/>
        <v>No</v>
      </c>
      <c r="O26" s="5" t="str">
        <f t="shared" si="12"/>
        <v>Yes</v>
      </c>
      <c r="P26" s="5" t="str">
        <f t="shared" si="13"/>
        <v>Yes</v>
      </c>
      <c r="Q26" s="5" t="str">
        <f t="shared" si="14"/>
        <v>Yes</v>
      </c>
      <c r="R26" s="5" t="str">
        <f t="shared" si="15"/>
        <v>Yes</v>
      </c>
      <c r="S26" s="5" t="str">
        <f t="shared" si="16"/>
        <v>Yes</v>
      </c>
      <c r="T26" s="5" t="str">
        <f t="shared" si="17"/>
        <v>No</v>
      </c>
      <c r="U26" s="5" t="str">
        <f t="shared" si="18"/>
        <v>No</v>
      </c>
      <c r="V26" s="5" t="str" cm="1">
        <f t="array" ref="V26">IF(OR(DB26:DG26 =1), "Yes", "No")</f>
        <v>No</v>
      </c>
      <c r="W26" s="5" t="str">
        <f t="shared" si="19"/>
        <v>Yes</v>
      </c>
      <c r="X26" s="5" t="str">
        <f t="shared" si="20"/>
        <v>No</v>
      </c>
      <c r="Y26" s="5" t="str">
        <f t="shared" si="21"/>
        <v>No</v>
      </c>
      <c r="Z26">
        <v>5</v>
      </c>
      <c r="AB26">
        <v>1</v>
      </c>
      <c r="AC26">
        <v>0</v>
      </c>
      <c r="AD26">
        <v>0</v>
      </c>
      <c r="AE26">
        <v>0</v>
      </c>
      <c r="AF26">
        <v>0</v>
      </c>
      <c r="AG26">
        <v>0</v>
      </c>
      <c r="AH26">
        <v>0</v>
      </c>
      <c r="AI26">
        <v>0</v>
      </c>
      <c r="AJ26">
        <v>0</v>
      </c>
      <c r="AK26">
        <v>1</v>
      </c>
      <c r="AM26">
        <v>1</v>
      </c>
      <c r="AN26">
        <v>1</v>
      </c>
      <c r="AO26">
        <v>1</v>
      </c>
      <c r="AP26">
        <v>3</v>
      </c>
      <c r="AQ26">
        <v>13</v>
      </c>
      <c r="AR26">
        <v>0</v>
      </c>
      <c r="AS26">
        <v>3</v>
      </c>
      <c r="AT26">
        <v>13</v>
      </c>
      <c r="AV26">
        <v>1</v>
      </c>
      <c r="AW26">
        <v>0</v>
      </c>
      <c r="AX26">
        <v>0</v>
      </c>
      <c r="AY26">
        <v>0</v>
      </c>
      <c r="AZ26">
        <v>0</v>
      </c>
      <c r="BA26">
        <v>0</v>
      </c>
      <c r="BC26">
        <v>1</v>
      </c>
      <c r="BE26">
        <v>1</v>
      </c>
      <c r="BG26">
        <v>1</v>
      </c>
      <c r="BH26">
        <v>1</v>
      </c>
      <c r="BI26">
        <v>1</v>
      </c>
      <c r="BJ26">
        <v>1</v>
      </c>
      <c r="BK26">
        <v>1</v>
      </c>
      <c r="BL26">
        <v>1</v>
      </c>
      <c r="BM26">
        <v>1</v>
      </c>
      <c r="BN26">
        <v>1</v>
      </c>
      <c r="BO26">
        <v>0</v>
      </c>
      <c r="BP26">
        <v>1</v>
      </c>
      <c r="BQ26">
        <v>0</v>
      </c>
      <c r="BR26">
        <v>0</v>
      </c>
      <c r="BS26">
        <v>0</v>
      </c>
      <c r="BT26">
        <v>0</v>
      </c>
      <c r="BV26">
        <v>0</v>
      </c>
      <c r="BW26">
        <v>0</v>
      </c>
      <c r="BX26">
        <v>1</v>
      </c>
      <c r="BY26">
        <v>0</v>
      </c>
      <c r="BZ26">
        <v>0</v>
      </c>
      <c r="CA26">
        <v>0</v>
      </c>
      <c r="CB26">
        <v>0</v>
      </c>
      <c r="CC26">
        <v>0</v>
      </c>
      <c r="CD26">
        <v>1</v>
      </c>
      <c r="CE26">
        <v>0</v>
      </c>
      <c r="CF26">
        <v>0</v>
      </c>
      <c r="CG26">
        <v>0</v>
      </c>
      <c r="CH26">
        <v>0</v>
      </c>
      <c r="CI26">
        <v>1</v>
      </c>
      <c r="CJ26">
        <v>0</v>
      </c>
      <c r="CK26">
        <v>0</v>
      </c>
      <c r="CL26">
        <v>0</v>
      </c>
      <c r="CN26">
        <v>1</v>
      </c>
      <c r="CO26">
        <v>2</v>
      </c>
      <c r="CP26" t="s">
        <v>384</v>
      </c>
      <c r="CQ26">
        <v>2</v>
      </c>
      <c r="CR26">
        <v>2</v>
      </c>
      <c r="EB26">
        <v>0</v>
      </c>
      <c r="EC26">
        <v>0</v>
      </c>
      <c r="ED26">
        <v>1</v>
      </c>
      <c r="EE26">
        <v>0</v>
      </c>
      <c r="EF26">
        <v>0</v>
      </c>
      <c r="EG26">
        <v>0</v>
      </c>
      <c r="EH26">
        <v>0</v>
      </c>
      <c r="EI26">
        <v>0</v>
      </c>
      <c r="EJ26">
        <v>0</v>
      </c>
      <c r="EK26">
        <v>0</v>
      </c>
      <c r="EM26">
        <v>0</v>
      </c>
      <c r="EN26">
        <v>0</v>
      </c>
      <c r="EO26">
        <v>0</v>
      </c>
      <c r="EP26">
        <v>0</v>
      </c>
      <c r="EQ26">
        <v>1</v>
      </c>
      <c r="ER26">
        <v>0</v>
      </c>
      <c r="ES26">
        <v>0</v>
      </c>
      <c r="ET26">
        <v>0</v>
      </c>
      <c r="EU26">
        <v>0</v>
      </c>
      <c r="EV26">
        <v>0</v>
      </c>
      <c r="EW26">
        <v>0</v>
      </c>
      <c r="EX26">
        <v>0</v>
      </c>
      <c r="EY26">
        <v>0</v>
      </c>
      <c r="IZ26">
        <v>0</v>
      </c>
      <c r="JA26">
        <v>0</v>
      </c>
      <c r="JB26">
        <v>0</v>
      </c>
      <c r="JC26">
        <v>0</v>
      </c>
      <c r="JD26">
        <v>0</v>
      </c>
      <c r="JE26">
        <v>0</v>
      </c>
      <c r="JF26">
        <v>1</v>
      </c>
      <c r="JG26">
        <v>0</v>
      </c>
      <c r="JH26">
        <v>0</v>
      </c>
      <c r="JI26">
        <v>0</v>
      </c>
      <c r="JJ26">
        <v>0</v>
      </c>
      <c r="JL26">
        <v>1</v>
      </c>
      <c r="JM26" cm="1">
        <f t="array" ref="JM26">IF(OR(JN26:JQ26 &lt;&gt; ""), 1, 0)</f>
        <v>1</v>
      </c>
      <c r="JN26">
        <v>1</v>
      </c>
      <c r="JO26">
        <v>0</v>
      </c>
      <c r="JP26">
        <v>0</v>
      </c>
      <c r="JQ26">
        <v>0</v>
      </c>
    </row>
    <row r="27" spans="1:278" x14ac:dyDescent="0.35">
      <c r="A27">
        <v>405498</v>
      </c>
      <c r="C27">
        <v>1</v>
      </c>
      <c r="D27" t="s">
        <v>385</v>
      </c>
      <c r="E27" t="str">
        <f>_xlfn.XLOOKUP(I27, [1]SchoolDistrictStudyWODuplicates!$K:$K, [1]SchoolDistrictStudyWODuplicates!$E:$E, "")</f>
        <v/>
      </c>
      <c r="G27" t="s">
        <v>386</v>
      </c>
      <c r="H27" s="5" t="e">
        <f>_xlfn.XLOOKUP(A27,#REF!,#REF!, "No")</f>
        <v>#REF!</v>
      </c>
      <c r="I27" s="7">
        <v>805910</v>
      </c>
      <c r="J27" s="5" t="e">
        <f>_xlfn.XLOOKUP(I27,#REF!,#REF!,"Not Determined")</f>
        <v>#REF!</v>
      </c>
      <c r="K27" s="5" t="s">
        <v>377</v>
      </c>
      <c r="L27" t="s">
        <v>387</v>
      </c>
      <c r="M27" s="13" t="e">
        <f>_xlfn.XLOOKUP(I27,#REF!,#REF!, "No")</f>
        <v>#REF!</v>
      </c>
      <c r="N27" s="5" t="str">
        <f t="shared" si="11"/>
        <v>No</v>
      </c>
      <c r="O27" s="5" t="str">
        <f t="shared" si="12"/>
        <v>Yes</v>
      </c>
      <c r="P27" s="5" t="str">
        <f t="shared" si="13"/>
        <v>Yes</v>
      </c>
      <c r="Q27" s="5" t="str">
        <f t="shared" si="14"/>
        <v>Yes</v>
      </c>
      <c r="R27" s="5" t="str">
        <f t="shared" si="15"/>
        <v>Yes</v>
      </c>
      <c r="S27" s="5" t="str">
        <f t="shared" si="16"/>
        <v>Yes</v>
      </c>
      <c r="T27" s="5" t="str">
        <f t="shared" si="17"/>
        <v>Yes</v>
      </c>
      <c r="U27" s="5" t="str">
        <f t="shared" si="18"/>
        <v>Yes</v>
      </c>
      <c r="V27" s="5" t="str" cm="1">
        <f t="array" ref="V27">IF(OR(DB27:DG27 =1), "Yes", "No")</f>
        <v>No</v>
      </c>
      <c r="W27" s="5" t="str">
        <f t="shared" si="19"/>
        <v>No</v>
      </c>
      <c r="X27" s="5" t="str">
        <f t="shared" si="20"/>
        <v>No</v>
      </c>
      <c r="Y27" s="5" t="str">
        <f t="shared" si="21"/>
        <v>No</v>
      </c>
      <c r="Z27">
        <v>3</v>
      </c>
      <c r="AB27">
        <v>0</v>
      </c>
      <c r="AC27">
        <v>0</v>
      </c>
      <c r="AD27">
        <v>1</v>
      </c>
      <c r="AE27">
        <v>0</v>
      </c>
      <c r="AF27">
        <v>0</v>
      </c>
      <c r="AG27">
        <v>0</v>
      </c>
      <c r="AH27">
        <v>0</v>
      </c>
      <c r="AI27">
        <v>1</v>
      </c>
      <c r="AJ27">
        <v>0</v>
      </c>
      <c r="AK27">
        <v>1</v>
      </c>
      <c r="AM27">
        <v>1</v>
      </c>
      <c r="AN27">
        <v>1</v>
      </c>
      <c r="AO27">
        <v>0</v>
      </c>
      <c r="AP27">
        <v>4</v>
      </c>
      <c r="AQ27">
        <v>5</v>
      </c>
      <c r="AS27">
        <v>4</v>
      </c>
      <c r="AT27">
        <v>5</v>
      </c>
      <c r="AV27">
        <v>1</v>
      </c>
      <c r="AW27">
        <v>1</v>
      </c>
      <c r="AX27">
        <v>0</v>
      </c>
      <c r="AY27">
        <v>0</v>
      </c>
      <c r="AZ27">
        <v>0</v>
      </c>
      <c r="BA27">
        <v>0</v>
      </c>
      <c r="BC27">
        <v>1</v>
      </c>
      <c r="BE27">
        <v>1</v>
      </c>
      <c r="BG27">
        <v>1</v>
      </c>
      <c r="BH27">
        <v>1</v>
      </c>
      <c r="BI27">
        <v>3</v>
      </c>
      <c r="BJ27">
        <v>1</v>
      </c>
      <c r="BK27">
        <v>4</v>
      </c>
      <c r="BL27">
        <v>1</v>
      </c>
      <c r="BM27">
        <v>1</v>
      </c>
      <c r="BN27">
        <v>1</v>
      </c>
      <c r="BO27">
        <v>1</v>
      </c>
      <c r="BP27">
        <v>1</v>
      </c>
      <c r="BQ27">
        <v>0</v>
      </c>
      <c r="BR27">
        <v>0</v>
      </c>
      <c r="BS27">
        <v>0</v>
      </c>
      <c r="BT27">
        <v>0</v>
      </c>
      <c r="BV27">
        <v>0</v>
      </c>
      <c r="BW27">
        <v>0</v>
      </c>
      <c r="BX27">
        <v>1</v>
      </c>
      <c r="BY27">
        <v>1</v>
      </c>
      <c r="BZ27">
        <v>1</v>
      </c>
      <c r="CA27">
        <v>0</v>
      </c>
      <c r="CB27">
        <v>0</v>
      </c>
      <c r="CC27">
        <v>0</v>
      </c>
      <c r="CD27">
        <v>0</v>
      </c>
      <c r="CE27">
        <v>0</v>
      </c>
      <c r="CF27">
        <v>0</v>
      </c>
      <c r="CG27">
        <v>0</v>
      </c>
      <c r="CH27">
        <v>0</v>
      </c>
      <c r="CI27">
        <v>1</v>
      </c>
      <c r="CJ27">
        <v>0</v>
      </c>
      <c r="CK27">
        <v>0</v>
      </c>
      <c r="CL27">
        <v>0</v>
      </c>
      <c r="CN27">
        <v>5</v>
      </c>
      <c r="CO27">
        <v>3</v>
      </c>
      <c r="CP27" t="s">
        <v>388</v>
      </c>
      <c r="CQ27">
        <v>3</v>
      </c>
      <c r="CR27">
        <v>3</v>
      </c>
      <c r="EB27">
        <v>0</v>
      </c>
      <c r="EC27">
        <v>0</v>
      </c>
      <c r="ED27">
        <v>1</v>
      </c>
      <c r="EE27">
        <v>0</v>
      </c>
      <c r="EF27">
        <v>0</v>
      </c>
      <c r="EG27">
        <v>0</v>
      </c>
      <c r="EH27">
        <v>0</v>
      </c>
      <c r="EI27">
        <v>1</v>
      </c>
      <c r="EJ27">
        <v>0</v>
      </c>
      <c r="EK27">
        <v>0</v>
      </c>
      <c r="EM27">
        <v>0</v>
      </c>
      <c r="EN27">
        <v>0</v>
      </c>
      <c r="EO27">
        <v>0</v>
      </c>
      <c r="EP27">
        <v>0</v>
      </c>
      <c r="EQ27">
        <v>0</v>
      </c>
      <c r="ER27">
        <v>0</v>
      </c>
      <c r="ES27">
        <v>0</v>
      </c>
      <c r="ET27">
        <v>1</v>
      </c>
      <c r="EU27">
        <v>0</v>
      </c>
      <c r="EV27">
        <v>0</v>
      </c>
      <c r="EW27">
        <v>0</v>
      </c>
      <c r="EX27">
        <v>0</v>
      </c>
      <c r="EY27">
        <v>0</v>
      </c>
      <c r="IZ27">
        <v>1</v>
      </c>
      <c r="JA27">
        <v>0</v>
      </c>
      <c r="JB27">
        <v>0</v>
      </c>
      <c r="JC27">
        <v>0</v>
      </c>
      <c r="JD27">
        <v>0</v>
      </c>
      <c r="JE27">
        <v>0</v>
      </c>
      <c r="JF27">
        <v>0</v>
      </c>
      <c r="JG27">
        <v>0</v>
      </c>
      <c r="JH27">
        <v>0</v>
      </c>
      <c r="JI27">
        <v>0</v>
      </c>
      <c r="JJ27">
        <v>0</v>
      </c>
      <c r="JL27">
        <v>2</v>
      </c>
      <c r="JM27" cm="1">
        <f t="array" ref="JM27">IF(OR(JN27:JQ27 &lt;&gt; ""), 1, 0)</f>
        <v>0</v>
      </c>
    </row>
    <row r="28" spans="1:278" x14ac:dyDescent="0.35">
      <c r="A28">
        <v>363211</v>
      </c>
      <c r="C28">
        <v>1</v>
      </c>
      <c r="D28" t="s">
        <v>389</v>
      </c>
      <c r="E28" t="str">
        <f>_xlfn.XLOOKUP(I28, [1]SchoolDistrictStudyWODuplicates!$K:$K, [1]SchoolDistrictStudyWODuplicates!$E:$E, "")</f>
        <v/>
      </c>
      <c r="G28" t="s">
        <v>390</v>
      </c>
      <c r="H28" s="7">
        <v>805400</v>
      </c>
      <c r="I28" s="7">
        <v>805400</v>
      </c>
      <c r="J28" s="5" t="e">
        <f>_xlfn.XLOOKUP(I28,#REF!,#REF!,"Not Determined")</f>
        <v>#REF!</v>
      </c>
      <c r="K28" s="5" t="s">
        <v>377</v>
      </c>
      <c r="L28" t="s">
        <v>377</v>
      </c>
      <c r="M28" s="13" t="e">
        <f>_xlfn.XLOOKUP(I28,#REF!,#REF!, "No")</f>
        <v>#REF!</v>
      </c>
      <c r="N28" s="5" t="str">
        <f t="shared" si="11"/>
        <v>No</v>
      </c>
      <c r="O28" s="5" t="str">
        <f t="shared" si="12"/>
        <v>Yes</v>
      </c>
      <c r="P28" s="5" t="str">
        <f t="shared" si="13"/>
        <v>Yes</v>
      </c>
      <c r="Q28" s="5" t="str">
        <f t="shared" si="14"/>
        <v>Yes</v>
      </c>
      <c r="R28" s="5" t="str">
        <f t="shared" si="15"/>
        <v>Yes</v>
      </c>
      <c r="S28" s="5" t="str">
        <f t="shared" si="16"/>
        <v>Yes</v>
      </c>
      <c r="T28" s="5" t="str">
        <f t="shared" si="17"/>
        <v>No</v>
      </c>
      <c r="U28" s="5" t="str">
        <f t="shared" si="18"/>
        <v>No</v>
      </c>
      <c r="V28" s="5" t="str" cm="1">
        <f t="array" ref="V28">IF(OR(DB28:DG28 =1), "Yes", "No")</f>
        <v>No</v>
      </c>
      <c r="W28" s="5" t="str">
        <f t="shared" si="19"/>
        <v>Yes</v>
      </c>
      <c r="X28" s="5" t="str">
        <f t="shared" si="20"/>
        <v>No</v>
      </c>
      <c r="Y28" s="5" t="str">
        <f t="shared" si="21"/>
        <v>No</v>
      </c>
      <c r="Z28">
        <v>5</v>
      </c>
      <c r="AB28">
        <v>1</v>
      </c>
      <c r="AC28">
        <v>1</v>
      </c>
      <c r="AD28">
        <v>1</v>
      </c>
      <c r="AE28">
        <v>0</v>
      </c>
      <c r="AF28">
        <v>0</v>
      </c>
      <c r="AG28">
        <v>0</v>
      </c>
      <c r="AH28">
        <v>0</v>
      </c>
      <c r="AI28">
        <v>0</v>
      </c>
      <c r="AJ28">
        <v>0</v>
      </c>
      <c r="AK28">
        <v>1</v>
      </c>
      <c r="AM28">
        <v>1</v>
      </c>
      <c r="AN28">
        <v>1</v>
      </c>
      <c r="AO28">
        <v>1</v>
      </c>
      <c r="AP28">
        <v>30</v>
      </c>
      <c r="AQ28">
        <v>37</v>
      </c>
      <c r="AR28">
        <v>33</v>
      </c>
      <c r="AS28">
        <v>30</v>
      </c>
      <c r="AT28">
        <v>37</v>
      </c>
      <c r="AU28">
        <v>33</v>
      </c>
      <c r="AV28">
        <v>1</v>
      </c>
      <c r="AW28">
        <v>1</v>
      </c>
      <c r="AX28">
        <v>0</v>
      </c>
      <c r="AY28">
        <v>1</v>
      </c>
      <c r="AZ28">
        <v>0</v>
      </c>
      <c r="BA28">
        <v>0</v>
      </c>
      <c r="BC28">
        <v>1</v>
      </c>
      <c r="BE28">
        <v>1</v>
      </c>
      <c r="BG28">
        <v>1</v>
      </c>
      <c r="BH28">
        <v>1</v>
      </c>
      <c r="BI28">
        <v>5</v>
      </c>
      <c r="BJ28">
        <v>2</v>
      </c>
      <c r="BL28">
        <v>2</v>
      </c>
      <c r="BM28">
        <v>1</v>
      </c>
      <c r="BN28">
        <v>1</v>
      </c>
      <c r="BO28">
        <v>1</v>
      </c>
      <c r="BP28">
        <v>0</v>
      </c>
      <c r="BQ28">
        <v>0</v>
      </c>
      <c r="BR28">
        <v>0</v>
      </c>
      <c r="BS28">
        <v>0</v>
      </c>
      <c r="BT28">
        <v>0</v>
      </c>
      <c r="BV28">
        <v>1</v>
      </c>
      <c r="BW28">
        <v>0</v>
      </c>
      <c r="BX28">
        <v>0</v>
      </c>
      <c r="BY28">
        <v>1</v>
      </c>
      <c r="BZ28">
        <v>1</v>
      </c>
      <c r="CA28">
        <v>0</v>
      </c>
      <c r="CB28">
        <v>0</v>
      </c>
      <c r="CC28">
        <v>0</v>
      </c>
      <c r="CD28">
        <v>1</v>
      </c>
      <c r="CE28">
        <v>1</v>
      </c>
      <c r="CF28">
        <v>1</v>
      </c>
      <c r="CG28">
        <v>1</v>
      </c>
      <c r="CH28">
        <v>0</v>
      </c>
      <c r="CI28">
        <v>1</v>
      </c>
      <c r="CJ28">
        <v>0</v>
      </c>
      <c r="CK28">
        <v>0</v>
      </c>
      <c r="CL28">
        <v>0</v>
      </c>
      <c r="CN28">
        <v>10</v>
      </c>
      <c r="CO28">
        <v>4</v>
      </c>
      <c r="CQ28">
        <v>2</v>
      </c>
      <c r="CR28">
        <v>2</v>
      </c>
      <c r="EB28">
        <v>1</v>
      </c>
      <c r="EC28">
        <v>0</v>
      </c>
      <c r="ED28">
        <v>1</v>
      </c>
      <c r="EE28">
        <v>1</v>
      </c>
      <c r="EF28">
        <v>1</v>
      </c>
      <c r="EG28">
        <v>1</v>
      </c>
      <c r="EH28">
        <v>0</v>
      </c>
      <c r="EI28">
        <v>0</v>
      </c>
      <c r="EJ28">
        <v>0</v>
      </c>
      <c r="EK28">
        <v>0</v>
      </c>
      <c r="EM28">
        <v>1</v>
      </c>
      <c r="EN28">
        <v>1</v>
      </c>
      <c r="EO28">
        <v>1</v>
      </c>
      <c r="EP28">
        <v>1</v>
      </c>
      <c r="EQ28">
        <v>1</v>
      </c>
      <c r="ER28">
        <v>0</v>
      </c>
      <c r="ES28">
        <v>0</v>
      </c>
      <c r="ET28">
        <v>1</v>
      </c>
      <c r="EU28">
        <v>1</v>
      </c>
      <c r="EV28">
        <v>1</v>
      </c>
      <c r="EW28">
        <v>1</v>
      </c>
      <c r="EX28">
        <v>0</v>
      </c>
      <c r="EY28">
        <v>0</v>
      </c>
      <c r="EZ28" t="s">
        <v>391</v>
      </c>
      <c r="FA28">
        <v>8</v>
      </c>
      <c r="FB28" t="s">
        <v>392</v>
      </c>
      <c r="FC28">
        <v>0</v>
      </c>
      <c r="FD28">
        <v>0</v>
      </c>
      <c r="FE28">
        <v>0</v>
      </c>
      <c r="FF28">
        <v>0</v>
      </c>
      <c r="FG28">
        <v>0</v>
      </c>
      <c r="FH28">
        <v>0</v>
      </c>
      <c r="FI28">
        <v>0</v>
      </c>
      <c r="FJ28">
        <v>0</v>
      </c>
      <c r="FK28">
        <v>0</v>
      </c>
      <c r="FL28">
        <v>0</v>
      </c>
      <c r="FM28">
        <v>0</v>
      </c>
      <c r="FN28">
        <v>0</v>
      </c>
      <c r="FO28">
        <v>0</v>
      </c>
      <c r="FP28">
        <v>0</v>
      </c>
      <c r="FQ28">
        <v>0</v>
      </c>
      <c r="FR28">
        <v>1</v>
      </c>
      <c r="FS28">
        <v>0</v>
      </c>
      <c r="FT28">
        <v>0</v>
      </c>
      <c r="FU28">
        <v>0</v>
      </c>
      <c r="FV28">
        <v>0</v>
      </c>
      <c r="FW28">
        <v>0</v>
      </c>
      <c r="FX28">
        <v>0</v>
      </c>
      <c r="FY28" t="s">
        <v>300</v>
      </c>
      <c r="FZ28">
        <v>1</v>
      </c>
      <c r="GA28">
        <v>0</v>
      </c>
      <c r="GB28">
        <v>0</v>
      </c>
      <c r="GC28">
        <v>0</v>
      </c>
      <c r="GD28">
        <v>0</v>
      </c>
      <c r="GE28">
        <v>0</v>
      </c>
      <c r="GF28">
        <v>0</v>
      </c>
      <c r="GG28">
        <v>0</v>
      </c>
      <c r="GH28">
        <v>0</v>
      </c>
      <c r="GI28">
        <v>0</v>
      </c>
      <c r="GJ28">
        <v>0</v>
      </c>
      <c r="GK28">
        <v>0</v>
      </c>
      <c r="GL28">
        <v>0</v>
      </c>
      <c r="GM28">
        <v>0</v>
      </c>
      <c r="GN28">
        <v>0</v>
      </c>
      <c r="GO28">
        <v>0</v>
      </c>
      <c r="GP28">
        <v>0</v>
      </c>
      <c r="GQ28">
        <v>0</v>
      </c>
      <c r="GR28">
        <v>0</v>
      </c>
      <c r="HC28" t="s">
        <v>393</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1</v>
      </c>
      <c r="IZ28">
        <v>1</v>
      </c>
      <c r="JA28">
        <v>1</v>
      </c>
      <c r="JB28">
        <v>1</v>
      </c>
      <c r="JC28">
        <v>0</v>
      </c>
      <c r="JD28">
        <v>0</v>
      </c>
      <c r="JE28">
        <v>0</v>
      </c>
      <c r="JF28">
        <v>0</v>
      </c>
      <c r="JG28">
        <v>0</v>
      </c>
      <c r="JH28">
        <v>0</v>
      </c>
      <c r="JI28">
        <v>0</v>
      </c>
      <c r="JJ28">
        <v>0</v>
      </c>
      <c r="JL28">
        <v>1</v>
      </c>
      <c r="JM28" cm="1">
        <f t="array" ref="JM28">IF(OR(JN28:JQ28 &lt;&gt; ""), 1, 0)</f>
        <v>1</v>
      </c>
      <c r="JN28">
        <v>1</v>
      </c>
      <c r="JO28">
        <v>0</v>
      </c>
      <c r="JP28">
        <v>0</v>
      </c>
      <c r="JQ28">
        <v>0</v>
      </c>
    </row>
    <row r="29" spans="1:278" x14ac:dyDescent="0.35">
      <c r="A29">
        <v>405197</v>
      </c>
      <c r="C29">
        <v>1</v>
      </c>
      <c r="D29" t="s">
        <v>394</v>
      </c>
      <c r="E29" t="str">
        <f>_xlfn.XLOOKUP(I29, [1]SchoolDistrictStudyWODuplicates!$K:$K, [1]SchoolDistrictStudyWODuplicates!$E:$E, "")</f>
        <v/>
      </c>
      <c r="G29" t="s">
        <v>395</v>
      </c>
      <c r="H29" s="5" t="e">
        <f>_xlfn.XLOOKUP(A29,#REF!,#REF!, "No")</f>
        <v>#REF!</v>
      </c>
      <c r="I29" s="7">
        <v>802760</v>
      </c>
      <c r="J29" s="5" t="e">
        <f>_xlfn.XLOOKUP(I29,#REF!,#REF!,"Not Determined")</f>
        <v>#REF!</v>
      </c>
      <c r="K29" s="5" t="s">
        <v>377</v>
      </c>
      <c r="L29" t="s">
        <v>396</v>
      </c>
      <c r="M29" s="13" t="e">
        <f>_xlfn.XLOOKUP(I29,#REF!,#REF!, "No")</f>
        <v>#REF!</v>
      </c>
      <c r="N29" s="5" t="str">
        <f t="shared" si="11"/>
        <v>No</v>
      </c>
      <c r="O29" s="5" t="str">
        <f t="shared" si="12"/>
        <v>Yes</v>
      </c>
      <c r="P29" s="5" t="str">
        <f t="shared" si="13"/>
        <v>Yes</v>
      </c>
      <c r="Q29" s="5" t="str">
        <f t="shared" si="14"/>
        <v>Yes</v>
      </c>
      <c r="R29" s="5" t="str">
        <f t="shared" si="15"/>
        <v>Yes</v>
      </c>
      <c r="S29" s="5" t="str">
        <f t="shared" si="16"/>
        <v>Yes</v>
      </c>
      <c r="T29" s="5" t="str">
        <f t="shared" si="17"/>
        <v>Yes</v>
      </c>
      <c r="U29" s="5" t="str">
        <f t="shared" si="18"/>
        <v>Yes</v>
      </c>
      <c r="V29" s="5" t="str" cm="1">
        <f t="array" ref="V29">IF(OR(DB29:DG29 =1), "Yes", "No")</f>
        <v>No</v>
      </c>
      <c r="W29" s="5" t="str">
        <f t="shared" si="19"/>
        <v>No</v>
      </c>
      <c r="X29" s="5" t="str">
        <f t="shared" si="20"/>
        <v>No</v>
      </c>
      <c r="Y29" s="5" t="str">
        <f t="shared" si="21"/>
        <v>No</v>
      </c>
      <c r="Z29">
        <v>1</v>
      </c>
      <c r="AB29">
        <v>1</v>
      </c>
      <c r="AC29">
        <v>0</v>
      </c>
      <c r="AD29">
        <v>0</v>
      </c>
      <c r="AE29">
        <v>0</v>
      </c>
      <c r="AF29">
        <v>0</v>
      </c>
      <c r="AG29">
        <v>0</v>
      </c>
      <c r="AH29">
        <v>0</v>
      </c>
      <c r="AI29">
        <v>1</v>
      </c>
      <c r="AJ29">
        <v>0</v>
      </c>
      <c r="AK29">
        <v>1</v>
      </c>
      <c r="AM29">
        <v>1</v>
      </c>
      <c r="AN29">
        <v>0</v>
      </c>
      <c r="AO29">
        <v>0</v>
      </c>
      <c r="AP29">
        <v>9</v>
      </c>
      <c r="AS29">
        <v>9</v>
      </c>
      <c r="AV29">
        <v>1</v>
      </c>
      <c r="AW29">
        <v>1</v>
      </c>
      <c r="AX29">
        <v>0</v>
      </c>
      <c r="AY29">
        <v>0</v>
      </c>
      <c r="AZ29">
        <v>0</v>
      </c>
      <c r="BA29">
        <v>0</v>
      </c>
      <c r="BC29">
        <v>2</v>
      </c>
      <c r="BE29">
        <v>1</v>
      </c>
      <c r="BG29">
        <v>1</v>
      </c>
      <c r="BH29">
        <v>1</v>
      </c>
      <c r="BI29">
        <v>4</v>
      </c>
      <c r="BJ29">
        <v>1</v>
      </c>
      <c r="BK29">
        <v>4</v>
      </c>
      <c r="BL29">
        <v>2</v>
      </c>
      <c r="BM29">
        <v>1</v>
      </c>
      <c r="BN29">
        <v>1</v>
      </c>
      <c r="BO29">
        <v>1</v>
      </c>
      <c r="BP29">
        <v>0</v>
      </c>
      <c r="BQ29">
        <v>0</v>
      </c>
      <c r="BR29">
        <v>0</v>
      </c>
      <c r="BS29">
        <v>0</v>
      </c>
      <c r="BT29">
        <v>0</v>
      </c>
      <c r="BV29">
        <v>1</v>
      </c>
      <c r="BW29">
        <v>0</v>
      </c>
      <c r="BX29">
        <v>1</v>
      </c>
      <c r="BY29">
        <v>0</v>
      </c>
      <c r="BZ29">
        <v>1</v>
      </c>
      <c r="CA29">
        <v>0</v>
      </c>
      <c r="CB29">
        <v>0</v>
      </c>
      <c r="CC29">
        <v>0</v>
      </c>
      <c r="CD29">
        <v>1</v>
      </c>
      <c r="CE29">
        <v>1</v>
      </c>
      <c r="CF29">
        <v>1</v>
      </c>
      <c r="CG29">
        <v>1</v>
      </c>
      <c r="CH29">
        <v>1</v>
      </c>
      <c r="CI29">
        <v>1</v>
      </c>
      <c r="CJ29">
        <v>0</v>
      </c>
      <c r="CK29">
        <v>0</v>
      </c>
      <c r="CL29">
        <v>0</v>
      </c>
      <c r="CN29">
        <v>3</v>
      </c>
      <c r="CO29">
        <v>4</v>
      </c>
      <c r="CQ29">
        <v>4</v>
      </c>
      <c r="CR29">
        <v>3</v>
      </c>
      <c r="EB29">
        <v>1</v>
      </c>
      <c r="EC29">
        <v>0</v>
      </c>
      <c r="ED29">
        <v>0</v>
      </c>
      <c r="EE29">
        <v>0</v>
      </c>
      <c r="EF29">
        <v>1</v>
      </c>
      <c r="EG29">
        <v>1</v>
      </c>
      <c r="EH29">
        <v>0</v>
      </c>
      <c r="EI29">
        <v>0</v>
      </c>
      <c r="EJ29">
        <v>0</v>
      </c>
      <c r="EK29">
        <v>0</v>
      </c>
      <c r="EM29">
        <v>0</v>
      </c>
      <c r="EN29">
        <v>0</v>
      </c>
      <c r="EO29">
        <v>0</v>
      </c>
      <c r="EP29">
        <v>1</v>
      </c>
      <c r="EQ29">
        <v>0</v>
      </c>
      <c r="ER29">
        <v>0</v>
      </c>
      <c r="ES29">
        <v>0</v>
      </c>
      <c r="ET29">
        <v>1</v>
      </c>
      <c r="EU29">
        <v>0</v>
      </c>
      <c r="EV29">
        <v>0</v>
      </c>
      <c r="EW29">
        <v>1</v>
      </c>
      <c r="EX29">
        <v>0</v>
      </c>
      <c r="EY29">
        <v>0</v>
      </c>
      <c r="IZ29">
        <v>1</v>
      </c>
      <c r="JA29">
        <v>0</v>
      </c>
      <c r="JB29">
        <v>0</v>
      </c>
      <c r="JC29">
        <v>0</v>
      </c>
      <c r="JD29">
        <v>0</v>
      </c>
      <c r="JE29">
        <v>1</v>
      </c>
      <c r="JF29">
        <v>1</v>
      </c>
      <c r="JG29">
        <v>0</v>
      </c>
      <c r="JH29">
        <v>0</v>
      </c>
      <c r="JI29">
        <v>0</v>
      </c>
      <c r="JJ29">
        <v>0</v>
      </c>
      <c r="JL29">
        <v>2</v>
      </c>
      <c r="JM29" cm="1">
        <f t="array" ref="JM29">IF(OR(JN29:JQ29 &lt;&gt; ""), 1, 0)</f>
        <v>0</v>
      </c>
    </row>
    <row r="30" spans="1:278" x14ac:dyDescent="0.35">
      <c r="A30">
        <v>370252</v>
      </c>
      <c r="C30">
        <v>1</v>
      </c>
      <c r="D30" t="s">
        <v>397</v>
      </c>
      <c r="E30" t="str">
        <f>_xlfn.XLOOKUP(I30, [1]SchoolDistrictStudyWODuplicates!$K:$K, [1]SchoolDistrictStudyWODuplicates!$E:$E, "")</f>
        <v/>
      </c>
      <c r="G30" t="s">
        <v>398</v>
      </c>
      <c r="H30" s="7">
        <v>803780</v>
      </c>
      <c r="I30" s="7">
        <v>803780</v>
      </c>
      <c r="J30" s="5" t="e">
        <f>_xlfn.XLOOKUP(I30,#REF!,#REF!,"Not Determined")</f>
        <v>#REF!</v>
      </c>
      <c r="K30" s="5" t="s">
        <v>377</v>
      </c>
      <c r="L30" t="s">
        <v>396</v>
      </c>
      <c r="M30" s="13" t="e">
        <f>_xlfn.XLOOKUP(I30,#REF!,#REF!, "No")</f>
        <v>#REF!</v>
      </c>
      <c r="N30" s="5" t="str">
        <f t="shared" si="11"/>
        <v>No</v>
      </c>
      <c r="O30" s="5" t="str">
        <f t="shared" si="12"/>
        <v>Yes</v>
      </c>
      <c r="P30" s="5" t="str">
        <f t="shared" si="13"/>
        <v>Yes</v>
      </c>
      <c r="Q30" s="5" t="str">
        <f t="shared" si="14"/>
        <v>Yes</v>
      </c>
      <c r="R30" s="5" t="str">
        <f t="shared" si="15"/>
        <v>Yes</v>
      </c>
      <c r="S30" s="5" t="str">
        <f t="shared" si="16"/>
        <v>Yes</v>
      </c>
      <c r="T30" s="5" t="str">
        <f t="shared" si="17"/>
        <v>Yes</v>
      </c>
      <c r="U30" s="5" t="str">
        <f t="shared" si="18"/>
        <v>Yes</v>
      </c>
      <c r="V30" s="5" t="str" cm="1">
        <f t="array" ref="V30">IF(OR(DB30:DG30 =1), "Yes", "No")</f>
        <v>No</v>
      </c>
      <c r="W30" s="5" t="str">
        <f t="shared" si="19"/>
        <v>Yes</v>
      </c>
      <c r="X30" s="5" t="str">
        <f t="shared" si="20"/>
        <v>No</v>
      </c>
      <c r="Y30" s="5" t="str">
        <f t="shared" si="21"/>
        <v>No</v>
      </c>
      <c r="Z30">
        <v>3</v>
      </c>
      <c r="AB30">
        <v>0</v>
      </c>
      <c r="AC30">
        <v>0</v>
      </c>
      <c r="AD30">
        <v>1</v>
      </c>
      <c r="AE30">
        <v>0</v>
      </c>
      <c r="AF30">
        <v>0</v>
      </c>
      <c r="AG30">
        <v>1</v>
      </c>
      <c r="AH30">
        <v>0</v>
      </c>
      <c r="AI30">
        <v>0</v>
      </c>
      <c r="AJ30">
        <v>0</v>
      </c>
      <c r="AK30">
        <v>1</v>
      </c>
      <c r="AM30">
        <v>1</v>
      </c>
      <c r="AN30">
        <v>1</v>
      </c>
      <c r="AO30">
        <v>0</v>
      </c>
      <c r="AP30">
        <v>3</v>
      </c>
      <c r="AQ30">
        <v>7</v>
      </c>
      <c r="AS30">
        <v>3</v>
      </c>
      <c r="AT30">
        <v>7</v>
      </c>
      <c r="AV30">
        <v>1</v>
      </c>
      <c r="AW30">
        <v>1</v>
      </c>
      <c r="AX30">
        <v>0</v>
      </c>
      <c r="AY30">
        <v>0</v>
      </c>
      <c r="AZ30">
        <v>0</v>
      </c>
      <c r="BA30">
        <v>0</v>
      </c>
      <c r="BC30">
        <v>1</v>
      </c>
      <c r="BE30">
        <v>1</v>
      </c>
      <c r="BG30">
        <v>1</v>
      </c>
      <c r="BH30">
        <v>1</v>
      </c>
      <c r="BI30">
        <v>4</v>
      </c>
      <c r="BJ30">
        <v>1</v>
      </c>
      <c r="BK30">
        <v>5</v>
      </c>
      <c r="BL30">
        <v>1</v>
      </c>
      <c r="BM30">
        <v>1</v>
      </c>
      <c r="BN30">
        <v>2</v>
      </c>
      <c r="BV30">
        <v>1</v>
      </c>
      <c r="BW30">
        <v>1</v>
      </c>
      <c r="BX30">
        <v>1</v>
      </c>
      <c r="BY30">
        <v>0</v>
      </c>
      <c r="BZ30">
        <v>1</v>
      </c>
      <c r="CA30">
        <v>1</v>
      </c>
      <c r="CB30">
        <v>0</v>
      </c>
      <c r="CC30">
        <v>0</v>
      </c>
      <c r="CD30">
        <v>1</v>
      </c>
      <c r="CE30">
        <v>0</v>
      </c>
      <c r="CF30">
        <v>1</v>
      </c>
      <c r="CG30">
        <v>1</v>
      </c>
      <c r="CH30">
        <v>1</v>
      </c>
      <c r="CI30">
        <v>1</v>
      </c>
      <c r="CJ30">
        <v>0</v>
      </c>
      <c r="CK30">
        <v>0</v>
      </c>
      <c r="CL30">
        <v>0</v>
      </c>
      <c r="CN30">
        <v>2</v>
      </c>
      <c r="CO30">
        <v>4</v>
      </c>
      <c r="CQ30">
        <v>5</v>
      </c>
      <c r="CR30">
        <v>5</v>
      </c>
      <c r="EB30">
        <v>0</v>
      </c>
      <c r="EC30">
        <v>0</v>
      </c>
      <c r="ED30">
        <v>0</v>
      </c>
      <c r="EE30">
        <v>0</v>
      </c>
      <c r="EF30">
        <v>0</v>
      </c>
      <c r="EG30">
        <v>0</v>
      </c>
      <c r="EH30">
        <v>0</v>
      </c>
      <c r="EI30">
        <v>0</v>
      </c>
      <c r="EJ30">
        <v>1</v>
      </c>
      <c r="EK30">
        <v>0</v>
      </c>
      <c r="EL30" t="s">
        <v>399</v>
      </c>
      <c r="EM30">
        <v>0</v>
      </c>
      <c r="EN30">
        <v>0</v>
      </c>
      <c r="EO30">
        <v>0</v>
      </c>
      <c r="EP30">
        <v>0</v>
      </c>
      <c r="EQ30">
        <v>0</v>
      </c>
      <c r="ER30">
        <v>0</v>
      </c>
      <c r="ES30">
        <v>0</v>
      </c>
      <c r="ET30">
        <v>0</v>
      </c>
      <c r="EU30">
        <v>0</v>
      </c>
      <c r="EV30">
        <v>1</v>
      </c>
      <c r="EW30">
        <v>1</v>
      </c>
      <c r="EX30">
        <v>1</v>
      </c>
      <c r="EY30">
        <v>0</v>
      </c>
      <c r="HC30" t="s">
        <v>400</v>
      </c>
      <c r="HD30">
        <v>1</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t="s">
        <v>401</v>
      </c>
      <c r="IY30">
        <v>2</v>
      </c>
      <c r="IZ30">
        <v>1</v>
      </c>
      <c r="JA30">
        <v>1</v>
      </c>
      <c r="JB30">
        <v>0</v>
      </c>
      <c r="JC30">
        <v>0</v>
      </c>
      <c r="JD30">
        <v>1</v>
      </c>
      <c r="JE30">
        <v>0</v>
      </c>
      <c r="JF30">
        <v>0</v>
      </c>
      <c r="JG30">
        <v>0</v>
      </c>
      <c r="JH30">
        <v>0</v>
      </c>
      <c r="JI30">
        <v>0</v>
      </c>
      <c r="JJ30">
        <v>0</v>
      </c>
      <c r="JL30">
        <v>1</v>
      </c>
      <c r="JM30" cm="1">
        <f t="array" ref="JM30">IF(OR(JN30:JQ30 &lt;&gt; ""), 1, 0)</f>
        <v>1</v>
      </c>
      <c r="JN30">
        <v>0</v>
      </c>
      <c r="JO30">
        <v>0</v>
      </c>
      <c r="JP30">
        <v>0</v>
      </c>
      <c r="JQ30">
        <v>1</v>
      </c>
      <c r="JR30" t="s">
        <v>402</v>
      </c>
    </row>
    <row r="31" spans="1:278" x14ac:dyDescent="0.35">
      <c r="A31">
        <v>374972</v>
      </c>
      <c r="C31">
        <v>1</v>
      </c>
      <c r="D31" t="s">
        <v>403</v>
      </c>
      <c r="E31" t="str">
        <f>_xlfn.XLOOKUP(I31, [1]SchoolDistrictStudyWODuplicates!$K:$K, [1]SchoolDistrictStudyWODuplicates!$E:$E, "")</f>
        <v>Idalia School District RJ-3</v>
      </c>
      <c r="G31" t="s">
        <v>404</v>
      </c>
      <c r="H31" s="7">
        <v>800018</v>
      </c>
      <c r="I31" s="7">
        <v>800018</v>
      </c>
      <c r="J31" s="5" t="e">
        <f>_xlfn.XLOOKUP(I31,#REF!,#REF!,"Not Determined")</f>
        <v>#REF!</v>
      </c>
      <c r="K31" s="5" t="s">
        <v>377</v>
      </c>
      <c r="L31" t="s">
        <v>396</v>
      </c>
      <c r="M31" s="13" t="e">
        <f>_xlfn.XLOOKUP(I31,#REF!,#REF!, "No")</f>
        <v>#REF!</v>
      </c>
      <c r="N31" s="5" t="str">
        <f t="shared" si="11"/>
        <v>No</v>
      </c>
      <c r="O31" s="5" t="str">
        <f t="shared" si="12"/>
        <v>Yes</v>
      </c>
      <c r="P31" s="5" t="str">
        <f t="shared" si="13"/>
        <v>Yes</v>
      </c>
      <c r="Q31" s="5" t="str">
        <f t="shared" si="14"/>
        <v>Yes</v>
      </c>
      <c r="R31" s="5" t="str">
        <f t="shared" si="15"/>
        <v>Yes</v>
      </c>
      <c r="S31" s="5" t="str">
        <f t="shared" si="16"/>
        <v>Yes</v>
      </c>
      <c r="T31" s="5" t="str">
        <f t="shared" si="17"/>
        <v>Yes</v>
      </c>
      <c r="U31" s="5" t="str">
        <f t="shared" si="18"/>
        <v>Yes</v>
      </c>
      <c r="V31" s="5" t="str" cm="1">
        <f t="array" ref="V31">IF(OR(DB31:DG31 =1), "Yes", "No")</f>
        <v>No</v>
      </c>
      <c r="W31" s="5" t="str">
        <f t="shared" si="19"/>
        <v>Yes</v>
      </c>
      <c r="X31" s="5" t="str">
        <f t="shared" si="20"/>
        <v>No</v>
      </c>
      <c r="Y31" s="5" t="str">
        <f t="shared" si="21"/>
        <v>No</v>
      </c>
      <c r="Z31">
        <v>6</v>
      </c>
      <c r="AB31">
        <v>0</v>
      </c>
      <c r="AC31">
        <v>0</v>
      </c>
      <c r="AD31">
        <v>0</v>
      </c>
      <c r="AE31">
        <v>0</v>
      </c>
      <c r="AF31">
        <v>0</v>
      </c>
      <c r="AG31">
        <v>1</v>
      </c>
      <c r="AH31">
        <v>0</v>
      </c>
      <c r="AI31">
        <v>1</v>
      </c>
      <c r="AJ31">
        <v>1</v>
      </c>
      <c r="AK31">
        <v>1</v>
      </c>
      <c r="AM31">
        <v>1</v>
      </c>
      <c r="AN31">
        <v>1</v>
      </c>
      <c r="AO31">
        <v>0</v>
      </c>
      <c r="AP31">
        <v>3</v>
      </c>
      <c r="AQ31">
        <v>9</v>
      </c>
      <c r="AS31">
        <v>3</v>
      </c>
      <c r="AT31">
        <v>9</v>
      </c>
      <c r="AV31">
        <v>1</v>
      </c>
      <c r="AW31">
        <v>1</v>
      </c>
      <c r="AX31">
        <v>0</v>
      </c>
      <c r="AY31">
        <v>0</v>
      </c>
      <c r="AZ31">
        <v>0</v>
      </c>
      <c r="BA31">
        <v>0</v>
      </c>
      <c r="BC31">
        <v>2</v>
      </c>
      <c r="BE31">
        <v>1</v>
      </c>
      <c r="BG31">
        <v>1</v>
      </c>
      <c r="BH31">
        <v>1</v>
      </c>
      <c r="BI31">
        <v>4</v>
      </c>
      <c r="BJ31">
        <v>2</v>
      </c>
      <c r="BL31">
        <v>2</v>
      </c>
      <c r="BM31">
        <v>1</v>
      </c>
      <c r="BN31">
        <v>1</v>
      </c>
      <c r="BO31">
        <v>1</v>
      </c>
      <c r="BP31">
        <v>0</v>
      </c>
      <c r="BQ31">
        <v>0</v>
      </c>
      <c r="BR31">
        <v>0</v>
      </c>
      <c r="BS31">
        <v>0</v>
      </c>
      <c r="BT31">
        <v>0</v>
      </c>
      <c r="BV31">
        <v>0</v>
      </c>
      <c r="BW31">
        <v>0</v>
      </c>
      <c r="BX31">
        <v>1</v>
      </c>
      <c r="BY31">
        <v>0</v>
      </c>
      <c r="BZ31">
        <v>1</v>
      </c>
      <c r="CA31">
        <v>0</v>
      </c>
      <c r="CB31">
        <v>0</v>
      </c>
      <c r="CC31">
        <v>0</v>
      </c>
      <c r="CD31">
        <v>1</v>
      </c>
      <c r="CE31">
        <v>0</v>
      </c>
      <c r="CF31">
        <v>0</v>
      </c>
      <c r="CG31">
        <v>1</v>
      </c>
      <c r="CH31">
        <v>0</v>
      </c>
      <c r="CI31">
        <v>0</v>
      </c>
      <c r="CJ31">
        <v>0</v>
      </c>
      <c r="CK31">
        <v>0</v>
      </c>
      <c r="CL31">
        <v>0</v>
      </c>
      <c r="CN31">
        <v>5</v>
      </c>
      <c r="CO31">
        <v>4</v>
      </c>
      <c r="CQ31">
        <v>3</v>
      </c>
      <c r="CR31">
        <v>4</v>
      </c>
      <c r="EB31">
        <v>0</v>
      </c>
      <c r="EC31">
        <v>0</v>
      </c>
      <c r="ED31">
        <v>0</v>
      </c>
      <c r="EE31">
        <v>1</v>
      </c>
      <c r="EF31">
        <v>1</v>
      </c>
      <c r="EG31">
        <v>0</v>
      </c>
      <c r="EH31">
        <v>0</v>
      </c>
      <c r="EI31">
        <v>0</v>
      </c>
      <c r="EJ31">
        <v>0</v>
      </c>
      <c r="EK31">
        <v>0</v>
      </c>
      <c r="EM31">
        <v>0</v>
      </c>
      <c r="EN31">
        <v>1</v>
      </c>
      <c r="EO31">
        <v>1</v>
      </c>
      <c r="EP31">
        <v>0</v>
      </c>
      <c r="EQ31">
        <v>0</v>
      </c>
      <c r="ER31">
        <v>0</v>
      </c>
      <c r="ES31">
        <v>0</v>
      </c>
      <c r="ET31">
        <v>0</v>
      </c>
      <c r="EU31">
        <v>0</v>
      </c>
      <c r="EV31">
        <v>1</v>
      </c>
      <c r="EW31">
        <v>0</v>
      </c>
      <c r="EX31">
        <v>1</v>
      </c>
      <c r="EY31">
        <v>0</v>
      </c>
      <c r="FB31" t="s">
        <v>274</v>
      </c>
      <c r="FC31">
        <v>1</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t="s">
        <v>405</v>
      </c>
      <c r="FZ31">
        <v>0</v>
      </c>
      <c r="GA31">
        <v>0</v>
      </c>
      <c r="GB31">
        <v>0</v>
      </c>
      <c r="GC31">
        <v>0</v>
      </c>
      <c r="GD31">
        <v>0</v>
      </c>
      <c r="GE31">
        <v>0</v>
      </c>
      <c r="GF31">
        <v>0</v>
      </c>
      <c r="GG31">
        <v>0</v>
      </c>
      <c r="GH31">
        <v>0</v>
      </c>
      <c r="GI31">
        <v>0</v>
      </c>
      <c r="GJ31">
        <v>0</v>
      </c>
      <c r="GK31">
        <v>0</v>
      </c>
      <c r="GL31">
        <v>0</v>
      </c>
      <c r="GM31">
        <v>0</v>
      </c>
      <c r="GN31">
        <v>0</v>
      </c>
      <c r="GO31">
        <v>0</v>
      </c>
      <c r="GP31">
        <v>0</v>
      </c>
      <c r="GQ31">
        <v>1</v>
      </c>
      <c r="GR31">
        <v>0</v>
      </c>
      <c r="HC31" t="s">
        <v>406</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1</v>
      </c>
      <c r="IX31" t="s">
        <v>407</v>
      </c>
      <c r="IY31">
        <v>9</v>
      </c>
      <c r="IZ31">
        <v>1</v>
      </c>
      <c r="JA31">
        <v>0</v>
      </c>
      <c r="JB31">
        <v>1</v>
      </c>
      <c r="JC31">
        <v>0</v>
      </c>
      <c r="JD31">
        <v>0</v>
      </c>
      <c r="JE31">
        <v>0</v>
      </c>
      <c r="JF31">
        <v>0</v>
      </c>
      <c r="JG31">
        <v>0</v>
      </c>
      <c r="JH31">
        <v>0</v>
      </c>
      <c r="JI31">
        <v>1</v>
      </c>
      <c r="JJ31">
        <v>0</v>
      </c>
      <c r="JK31" t="s">
        <v>408</v>
      </c>
      <c r="JL31">
        <v>1</v>
      </c>
      <c r="JM31" cm="1">
        <f t="array" ref="JM31">IF(OR(JN31:JQ31 &lt;&gt; ""), 1, 0)</f>
        <v>1</v>
      </c>
      <c r="JN31">
        <v>1</v>
      </c>
      <c r="JO31">
        <v>1</v>
      </c>
      <c r="JP31">
        <v>0</v>
      </c>
      <c r="JQ31">
        <v>0</v>
      </c>
    </row>
    <row r="32" spans="1:278" x14ac:dyDescent="0.35">
      <c r="A32">
        <v>405423</v>
      </c>
      <c r="C32">
        <v>1</v>
      </c>
      <c r="D32" t="s">
        <v>409</v>
      </c>
      <c r="E32" t="str">
        <f>_xlfn.XLOOKUP(I32, [1]SchoolDistrictStudyWODuplicates!$K:$K, [1]SchoolDistrictStudyWODuplicates!$E:$E, "")</f>
        <v/>
      </c>
      <c r="G32" t="s">
        <v>410</v>
      </c>
      <c r="H32" s="7">
        <v>804050</v>
      </c>
      <c r="I32" s="7">
        <v>804050</v>
      </c>
      <c r="J32" s="5" t="e">
        <f>_xlfn.XLOOKUP(I32,#REF!,#REF!,"Not Determined")</f>
        <v>#REF!</v>
      </c>
      <c r="K32" s="5" t="s">
        <v>377</v>
      </c>
      <c r="L32" t="s">
        <v>396</v>
      </c>
      <c r="M32" s="13" t="e">
        <f>_xlfn.XLOOKUP(I32,#REF!,#REF!, "No")</f>
        <v>#REF!</v>
      </c>
      <c r="N32" s="5" t="str">
        <f t="shared" si="11"/>
        <v>No</v>
      </c>
      <c r="O32" s="5" t="str">
        <f t="shared" si="12"/>
        <v>Yes</v>
      </c>
      <c r="P32" s="5" t="str">
        <f t="shared" si="13"/>
        <v>Yes</v>
      </c>
      <c r="Q32" s="5" t="str">
        <f t="shared" si="14"/>
        <v>Yes</v>
      </c>
      <c r="R32" s="5" t="str">
        <f t="shared" si="15"/>
        <v>Yes</v>
      </c>
      <c r="S32" s="5" t="str">
        <f t="shared" si="16"/>
        <v>Yes</v>
      </c>
      <c r="T32" s="5" t="str">
        <f t="shared" si="17"/>
        <v>Yes</v>
      </c>
      <c r="U32" s="5" t="str">
        <f t="shared" si="18"/>
        <v>Yes</v>
      </c>
      <c r="V32" s="5" t="str" cm="1">
        <f t="array" ref="V32">IF(OR(DB32:DG32 =1), "Yes", "No")</f>
        <v>No</v>
      </c>
      <c r="W32" s="5" t="str">
        <f t="shared" si="19"/>
        <v>No</v>
      </c>
      <c r="X32" s="5" t="str">
        <f t="shared" si="20"/>
        <v>No</v>
      </c>
      <c r="Y32" s="5" t="str">
        <f t="shared" si="21"/>
        <v>No</v>
      </c>
      <c r="Z32">
        <v>13</v>
      </c>
      <c r="AB32">
        <v>0</v>
      </c>
      <c r="AC32">
        <v>0</v>
      </c>
      <c r="AD32">
        <v>1</v>
      </c>
      <c r="AE32">
        <v>0</v>
      </c>
      <c r="AF32">
        <v>1</v>
      </c>
      <c r="AG32">
        <v>0</v>
      </c>
      <c r="AH32">
        <v>0</v>
      </c>
      <c r="AI32">
        <v>0</v>
      </c>
      <c r="AJ32">
        <v>0</v>
      </c>
      <c r="AK32">
        <v>1</v>
      </c>
      <c r="AM32">
        <v>1</v>
      </c>
      <c r="AN32">
        <v>1</v>
      </c>
      <c r="AO32">
        <v>1</v>
      </c>
      <c r="AP32">
        <v>4</v>
      </c>
      <c r="AQ32">
        <v>10</v>
      </c>
      <c r="AR32">
        <v>25</v>
      </c>
      <c r="AS32">
        <v>4</v>
      </c>
      <c r="AT32">
        <v>10</v>
      </c>
      <c r="AU32">
        <v>25</v>
      </c>
      <c r="AV32">
        <v>1</v>
      </c>
      <c r="AW32">
        <v>1</v>
      </c>
      <c r="AX32">
        <v>0</v>
      </c>
      <c r="AY32">
        <v>0</v>
      </c>
      <c r="AZ32">
        <v>0</v>
      </c>
      <c r="BA32">
        <v>0</v>
      </c>
      <c r="BC32">
        <v>1</v>
      </c>
      <c r="BE32">
        <v>1</v>
      </c>
      <c r="BG32">
        <v>1</v>
      </c>
      <c r="BH32">
        <v>1</v>
      </c>
      <c r="BI32">
        <v>4</v>
      </c>
      <c r="BJ32">
        <v>1</v>
      </c>
      <c r="BK32">
        <v>5</v>
      </c>
      <c r="BL32">
        <v>1</v>
      </c>
      <c r="BM32">
        <v>1</v>
      </c>
      <c r="BN32">
        <v>2</v>
      </c>
      <c r="BV32">
        <v>0</v>
      </c>
      <c r="BW32">
        <v>0</v>
      </c>
      <c r="BX32">
        <v>0</v>
      </c>
      <c r="BY32">
        <v>0</v>
      </c>
      <c r="BZ32">
        <v>0</v>
      </c>
      <c r="CA32">
        <v>0</v>
      </c>
      <c r="CB32">
        <v>0</v>
      </c>
      <c r="CC32">
        <v>0</v>
      </c>
      <c r="CD32">
        <v>0</v>
      </c>
      <c r="CE32">
        <v>0</v>
      </c>
      <c r="CF32">
        <v>0</v>
      </c>
      <c r="CG32">
        <v>0</v>
      </c>
      <c r="CH32">
        <v>0</v>
      </c>
      <c r="CI32">
        <v>0</v>
      </c>
      <c r="CJ32">
        <v>0</v>
      </c>
      <c r="CK32">
        <v>1</v>
      </c>
      <c r="CL32">
        <v>0</v>
      </c>
      <c r="CN32">
        <v>16</v>
      </c>
      <c r="CO32">
        <v>4</v>
      </c>
      <c r="CQ32">
        <v>5</v>
      </c>
      <c r="CR32">
        <v>5</v>
      </c>
      <c r="EB32">
        <v>1</v>
      </c>
      <c r="EC32">
        <v>1</v>
      </c>
      <c r="ED32">
        <v>1</v>
      </c>
      <c r="EE32">
        <v>1</v>
      </c>
      <c r="EF32">
        <v>0</v>
      </c>
      <c r="EG32">
        <v>1</v>
      </c>
      <c r="EH32">
        <v>1</v>
      </c>
      <c r="EI32">
        <v>0</v>
      </c>
      <c r="EJ32">
        <v>0</v>
      </c>
      <c r="EK32">
        <v>0</v>
      </c>
      <c r="EM32">
        <v>0</v>
      </c>
      <c r="EN32">
        <v>0</v>
      </c>
      <c r="EO32">
        <v>0</v>
      </c>
      <c r="EP32">
        <v>1</v>
      </c>
      <c r="EQ32">
        <v>0</v>
      </c>
      <c r="ER32">
        <v>0</v>
      </c>
      <c r="ES32">
        <v>0</v>
      </c>
      <c r="ET32">
        <v>0</v>
      </c>
      <c r="EU32">
        <v>0</v>
      </c>
      <c r="EV32">
        <v>0</v>
      </c>
      <c r="EW32">
        <v>0</v>
      </c>
      <c r="EX32">
        <v>0</v>
      </c>
      <c r="EY32">
        <v>0</v>
      </c>
      <c r="IZ32">
        <v>1</v>
      </c>
      <c r="JA32">
        <v>0</v>
      </c>
      <c r="JB32">
        <v>1</v>
      </c>
      <c r="JC32">
        <v>0</v>
      </c>
      <c r="JD32">
        <v>1</v>
      </c>
      <c r="JE32">
        <v>0</v>
      </c>
      <c r="JF32">
        <v>0</v>
      </c>
      <c r="JG32">
        <v>0</v>
      </c>
      <c r="JH32">
        <v>0</v>
      </c>
      <c r="JI32">
        <v>0</v>
      </c>
      <c r="JJ32">
        <v>0</v>
      </c>
      <c r="JL32">
        <v>2</v>
      </c>
      <c r="JM32" cm="1">
        <f t="array" ref="JM32">IF(OR(JN32:JQ32 &lt;&gt; ""), 1, 0)</f>
        <v>0</v>
      </c>
    </row>
    <row r="33" spans="1:277" x14ac:dyDescent="0.35">
      <c r="A33">
        <v>393092</v>
      </c>
      <c r="C33">
        <v>1</v>
      </c>
      <c r="D33" t="s">
        <v>411</v>
      </c>
      <c r="E33" t="str">
        <f>_xlfn.XLOOKUP(I33, [1]SchoolDistrictStudyWODuplicates!$K:$K, [1]SchoolDistrictStudyWODuplicates!$E:$E, "")</f>
        <v/>
      </c>
      <c r="G33" t="s">
        <v>412</v>
      </c>
      <c r="H33" s="5" t="e">
        <f>_xlfn.XLOOKUP(A33,#REF!,#REF!, "No")</f>
        <v>#REF!</v>
      </c>
      <c r="I33" s="7">
        <v>903810</v>
      </c>
      <c r="J33" s="5" t="e">
        <f>_xlfn.XLOOKUP(I33,#REF!,#REF!,"Not Determined")</f>
        <v>#REF!</v>
      </c>
      <c r="K33" s="5" t="s">
        <v>419</v>
      </c>
      <c r="L33" t="s">
        <v>413</v>
      </c>
      <c r="M33" s="13" t="e">
        <f>_xlfn.XLOOKUP(I33,#REF!,#REF!, "No")</f>
        <v>#REF!</v>
      </c>
      <c r="N33" s="5" t="str">
        <f t="shared" si="11"/>
        <v>No</v>
      </c>
      <c r="O33" s="5" t="str">
        <f t="shared" si="12"/>
        <v>Yes</v>
      </c>
      <c r="P33" s="5" t="str">
        <f t="shared" si="13"/>
        <v>Yes</v>
      </c>
      <c r="Q33" s="5" t="str">
        <f t="shared" si="14"/>
        <v>Yes</v>
      </c>
      <c r="R33" s="5" t="str">
        <f t="shared" si="15"/>
        <v>Yes</v>
      </c>
      <c r="S33" s="5" t="str">
        <f t="shared" si="16"/>
        <v>Yes</v>
      </c>
      <c r="T33" s="5" t="str">
        <f t="shared" si="17"/>
        <v>No</v>
      </c>
      <c r="U33" s="5" t="str">
        <f t="shared" si="18"/>
        <v>No</v>
      </c>
      <c r="V33" s="5" t="str" cm="1">
        <f t="array" ref="V33">IF(OR(DB33:DG33 =1), "Yes", "No")</f>
        <v>No</v>
      </c>
      <c r="W33" s="5" t="str">
        <f t="shared" si="19"/>
        <v>No</v>
      </c>
      <c r="X33" s="5" t="str">
        <f t="shared" si="20"/>
        <v>No</v>
      </c>
      <c r="Y33" s="5" t="str">
        <f t="shared" si="21"/>
        <v>No</v>
      </c>
      <c r="Z33">
        <v>4</v>
      </c>
      <c r="AB33">
        <v>0</v>
      </c>
      <c r="AC33">
        <v>0</v>
      </c>
      <c r="AD33">
        <v>0</v>
      </c>
      <c r="AE33">
        <v>0</v>
      </c>
      <c r="AF33">
        <v>0</v>
      </c>
      <c r="AG33">
        <v>0</v>
      </c>
      <c r="AH33">
        <v>0</v>
      </c>
      <c r="AI33">
        <v>1</v>
      </c>
      <c r="AJ33">
        <v>0</v>
      </c>
      <c r="AK33">
        <v>1</v>
      </c>
      <c r="AM33">
        <v>1</v>
      </c>
      <c r="AN33">
        <v>1</v>
      </c>
      <c r="AO33">
        <v>0</v>
      </c>
      <c r="AP33">
        <v>19</v>
      </c>
      <c r="AQ33">
        <v>20</v>
      </c>
      <c r="AS33">
        <v>19</v>
      </c>
      <c r="AT33">
        <v>20</v>
      </c>
      <c r="AV33">
        <v>1</v>
      </c>
      <c r="AW33">
        <v>1</v>
      </c>
      <c r="AX33">
        <v>0</v>
      </c>
      <c r="AY33">
        <v>0</v>
      </c>
      <c r="AZ33">
        <v>0</v>
      </c>
      <c r="BA33">
        <v>0</v>
      </c>
      <c r="BC33">
        <v>2</v>
      </c>
      <c r="BE33">
        <v>2</v>
      </c>
      <c r="BG33">
        <v>1</v>
      </c>
      <c r="BH33">
        <v>1</v>
      </c>
      <c r="BI33">
        <v>3</v>
      </c>
      <c r="BJ33">
        <v>1</v>
      </c>
      <c r="BK33">
        <v>2</v>
      </c>
      <c r="BL33">
        <v>1</v>
      </c>
      <c r="BM33">
        <v>1</v>
      </c>
      <c r="BN33">
        <v>1</v>
      </c>
      <c r="BO33">
        <v>0</v>
      </c>
      <c r="BP33">
        <v>0</v>
      </c>
      <c r="BQ33">
        <v>0</v>
      </c>
      <c r="BR33">
        <v>1</v>
      </c>
      <c r="BS33">
        <v>1</v>
      </c>
      <c r="BT33">
        <v>0</v>
      </c>
      <c r="BV33">
        <v>1</v>
      </c>
      <c r="BW33">
        <v>1</v>
      </c>
      <c r="BX33">
        <v>0</v>
      </c>
      <c r="BY33">
        <v>0</v>
      </c>
      <c r="BZ33">
        <v>1</v>
      </c>
      <c r="CA33">
        <v>0</v>
      </c>
      <c r="CB33">
        <v>0</v>
      </c>
      <c r="CC33">
        <v>0</v>
      </c>
      <c r="CD33">
        <v>0</v>
      </c>
      <c r="CE33">
        <v>0</v>
      </c>
      <c r="CF33">
        <v>0</v>
      </c>
      <c r="CG33">
        <v>0</v>
      </c>
      <c r="CH33">
        <v>0</v>
      </c>
      <c r="CI33">
        <v>1</v>
      </c>
      <c r="CJ33">
        <v>1</v>
      </c>
      <c r="CK33">
        <v>0</v>
      </c>
      <c r="CL33">
        <v>0</v>
      </c>
      <c r="CN33">
        <v>1</v>
      </c>
      <c r="CO33">
        <v>2</v>
      </c>
      <c r="CP33" t="s">
        <v>414</v>
      </c>
      <c r="CQ33">
        <v>1</v>
      </c>
      <c r="CR33">
        <v>2</v>
      </c>
      <c r="EB33">
        <v>0</v>
      </c>
      <c r="EC33">
        <v>0</v>
      </c>
      <c r="ED33">
        <v>1</v>
      </c>
      <c r="EE33">
        <v>0</v>
      </c>
      <c r="EF33">
        <v>0</v>
      </c>
      <c r="EG33">
        <v>0</v>
      </c>
      <c r="EH33">
        <v>0</v>
      </c>
      <c r="EI33">
        <v>1</v>
      </c>
      <c r="EJ33">
        <v>0</v>
      </c>
      <c r="EK33">
        <v>0</v>
      </c>
      <c r="EM33">
        <v>0</v>
      </c>
      <c r="EN33">
        <v>1</v>
      </c>
      <c r="EO33">
        <v>0</v>
      </c>
      <c r="EP33">
        <v>1</v>
      </c>
      <c r="EQ33">
        <v>0</v>
      </c>
      <c r="ER33">
        <v>0</v>
      </c>
      <c r="ES33">
        <v>1</v>
      </c>
      <c r="ET33">
        <v>0</v>
      </c>
      <c r="EU33">
        <v>0</v>
      </c>
      <c r="EV33">
        <v>0</v>
      </c>
      <c r="EW33">
        <v>1</v>
      </c>
      <c r="EX33">
        <v>0</v>
      </c>
      <c r="EY33">
        <v>0</v>
      </c>
      <c r="FB33" t="s">
        <v>415</v>
      </c>
      <c r="FC33">
        <v>1</v>
      </c>
      <c r="FD33">
        <v>0</v>
      </c>
      <c r="FE33">
        <v>0</v>
      </c>
      <c r="FF33">
        <v>0</v>
      </c>
      <c r="FG33">
        <v>0</v>
      </c>
      <c r="FH33">
        <v>0</v>
      </c>
      <c r="FI33">
        <v>0</v>
      </c>
      <c r="FJ33">
        <v>1</v>
      </c>
      <c r="FK33">
        <v>0</v>
      </c>
      <c r="FL33">
        <v>0</v>
      </c>
      <c r="FM33">
        <v>0</v>
      </c>
      <c r="FN33">
        <v>0</v>
      </c>
      <c r="FO33">
        <v>0</v>
      </c>
      <c r="FP33">
        <v>0</v>
      </c>
      <c r="FQ33">
        <v>0</v>
      </c>
      <c r="FR33">
        <v>0</v>
      </c>
      <c r="FS33">
        <v>0</v>
      </c>
      <c r="FT33">
        <v>0</v>
      </c>
      <c r="FU33">
        <v>0</v>
      </c>
      <c r="FV33">
        <v>0</v>
      </c>
      <c r="FW33">
        <v>0</v>
      </c>
      <c r="FX33">
        <v>0</v>
      </c>
      <c r="GS33" t="s">
        <v>416</v>
      </c>
      <c r="GT33">
        <v>1</v>
      </c>
      <c r="GU33">
        <v>0</v>
      </c>
      <c r="GV33">
        <v>0</v>
      </c>
      <c r="GW33">
        <v>0</v>
      </c>
      <c r="GX33">
        <v>0</v>
      </c>
      <c r="GY33">
        <v>0</v>
      </c>
      <c r="GZ33">
        <v>0</v>
      </c>
      <c r="HA33">
        <v>0</v>
      </c>
      <c r="HB33">
        <v>0</v>
      </c>
      <c r="IZ33">
        <v>1</v>
      </c>
      <c r="JA33">
        <v>0</v>
      </c>
      <c r="JB33">
        <v>1</v>
      </c>
      <c r="JC33">
        <v>0</v>
      </c>
      <c r="JD33">
        <v>0</v>
      </c>
      <c r="JE33">
        <v>0</v>
      </c>
      <c r="JF33">
        <v>1</v>
      </c>
      <c r="JG33">
        <v>0</v>
      </c>
      <c r="JH33">
        <v>0</v>
      </c>
      <c r="JI33">
        <v>0</v>
      </c>
      <c r="JJ33">
        <v>0</v>
      </c>
      <c r="JL33">
        <v>2</v>
      </c>
      <c r="JM33" cm="1">
        <f t="array" ref="JM33">IF(OR(JN33:JQ33 &lt;&gt; ""), 1, 0)</f>
        <v>0</v>
      </c>
    </row>
    <row r="34" spans="1:277" x14ac:dyDescent="0.35">
      <c r="A34">
        <v>396962</v>
      </c>
      <c r="C34">
        <v>1</v>
      </c>
      <c r="D34" t="s">
        <v>417</v>
      </c>
      <c r="E34" t="str">
        <f>_xlfn.XLOOKUP(I34, [1]SchoolDistrictStudyWODuplicates!$K:$K, [1]SchoolDistrictStudyWODuplicates!$E:$E, "")</f>
        <v/>
      </c>
      <c r="G34" t="s">
        <v>418</v>
      </c>
      <c r="H34" s="7">
        <v>901020</v>
      </c>
      <c r="I34" s="7">
        <v>901020</v>
      </c>
      <c r="J34" s="5" t="e">
        <f>_xlfn.XLOOKUP(I34,#REF!,#REF!,"Not Determined")</f>
        <v>#REF!</v>
      </c>
      <c r="K34" s="5" t="s">
        <v>419</v>
      </c>
      <c r="L34" t="s">
        <v>419</v>
      </c>
      <c r="M34" s="13" t="e">
        <f>_xlfn.XLOOKUP(I34,#REF!,#REF!, "No")</f>
        <v>#REF!</v>
      </c>
      <c r="N34" s="5" t="str">
        <f t="shared" si="11"/>
        <v>No</v>
      </c>
      <c r="O34" s="5" t="str">
        <f t="shared" si="12"/>
        <v>Yes</v>
      </c>
      <c r="P34" s="5" t="str">
        <f t="shared" si="13"/>
        <v>Yes</v>
      </c>
      <c r="Q34" s="5" t="str">
        <f t="shared" si="14"/>
        <v>Yes</v>
      </c>
      <c r="R34" s="5" t="str">
        <f t="shared" si="15"/>
        <v>Yes</v>
      </c>
      <c r="S34" s="5" t="str">
        <f t="shared" si="16"/>
        <v>Yes</v>
      </c>
      <c r="T34" s="5" t="str">
        <f t="shared" si="17"/>
        <v>Yes</v>
      </c>
      <c r="U34" s="5" t="str">
        <f t="shared" si="18"/>
        <v>Yes</v>
      </c>
      <c r="V34" s="5" t="str" cm="1">
        <f t="array" ref="V34">IF(OR(DB34:DG34 =1), "Yes", "No")</f>
        <v>No</v>
      </c>
      <c r="W34" s="5" t="str">
        <f t="shared" si="19"/>
        <v>No</v>
      </c>
      <c r="X34" s="5" t="str">
        <f t="shared" si="20"/>
        <v>No</v>
      </c>
      <c r="Y34" s="5" t="str">
        <f t="shared" si="21"/>
        <v>No</v>
      </c>
      <c r="Z34">
        <v>3</v>
      </c>
      <c r="AB34">
        <v>1</v>
      </c>
      <c r="AC34">
        <v>0</v>
      </c>
      <c r="AD34">
        <v>0</v>
      </c>
      <c r="AE34">
        <v>0</v>
      </c>
      <c r="AF34">
        <v>0</v>
      </c>
      <c r="AG34">
        <v>0</v>
      </c>
      <c r="AH34">
        <v>0</v>
      </c>
      <c r="AI34">
        <v>0</v>
      </c>
      <c r="AJ34">
        <v>0</v>
      </c>
      <c r="AK34">
        <v>1</v>
      </c>
      <c r="AM34">
        <v>1</v>
      </c>
      <c r="AN34">
        <v>0</v>
      </c>
      <c r="AO34">
        <v>0</v>
      </c>
      <c r="AP34">
        <v>49</v>
      </c>
      <c r="AS34">
        <v>49</v>
      </c>
      <c r="AV34">
        <v>0</v>
      </c>
      <c r="AW34">
        <v>0</v>
      </c>
      <c r="AX34">
        <v>0</v>
      </c>
      <c r="AY34">
        <v>1</v>
      </c>
      <c r="AZ34">
        <v>0</v>
      </c>
      <c r="BA34">
        <v>0</v>
      </c>
      <c r="BC34">
        <v>4</v>
      </c>
      <c r="BE34">
        <v>2</v>
      </c>
      <c r="BG34">
        <v>1</v>
      </c>
      <c r="BH34">
        <v>1</v>
      </c>
      <c r="BI34">
        <v>3</v>
      </c>
      <c r="BJ34">
        <v>2</v>
      </c>
      <c r="BL34">
        <v>2</v>
      </c>
      <c r="BM34">
        <v>1</v>
      </c>
      <c r="BN34">
        <v>1</v>
      </c>
      <c r="BO34">
        <v>1</v>
      </c>
      <c r="BP34">
        <v>0</v>
      </c>
      <c r="BQ34">
        <v>0</v>
      </c>
      <c r="BR34">
        <v>0</v>
      </c>
      <c r="BS34">
        <v>1</v>
      </c>
      <c r="BT34">
        <v>0</v>
      </c>
      <c r="BV34">
        <v>0</v>
      </c>
      <c r="BW34">
        <v>0</v>
      </c>
      <c r="BX34">
        <v>0</v>
      </c>
      <c r="BY34">
        <v>0</v>
      </c>
      <c r="BZ34">
        <v>0</v>
      </c>
      <c r="CA34">
        <v>0</v>
      </c>
      <c r="CB34">
        <v>0</v>
      </c>
      <c r="CC34">
        <v>0</v>
      </c>
      <c r="CD34">
        <v>1</v>
      </c>
      <c r="CE34">
        <v>0</v>
      </c>
      <c r="CF34">
        <v>0</v>
      </c>
      <c r="CG34">
        <v>1</v>
      </c>
      <c r="CH34">
        <v>0</v>
      </c>
      <c r="CI34">
        <v>0</v>
      </c>
      <c r="CJ34">
        <v>0</v>
      </c>
      <c r="CK34">
        <v>0</v>
      </c>
      <c r="CL34">
        <v>0</v>
      </c>
      <c r="CN34">
        <v>9</v>
      </c>
      <c r="CO34">
        <v>3</v>
      </c>
      <c r="CP34" t="s">
        <v>420</v>
      </c>
      <c r="CQ34">
        <v>3</v>
      </c>
      <c r="CR34">
        <v>3</v>
      </c>
      <c r="EB34">
        <v>0</v>
      </c>
      <c r="EC34">
        <v>0</v>
      </c>
      <c r="ED34">
        <v>1</v>
      </c>
      <c r="EE34">
        <v>1</v>
      </c>
      <c r="EF34">
        <v>0</v>
      </c>
      <c r="EG34">
        <v>1</v>
      </c>
      <c r="EH34">
        <v>0</v>
      </c>
      <c r="EI34">
        <v>0</v>
      </c>
      <c r="EJ34">
        <v>0</v>
      </c>
      <c r="EK34">
        <v>0</v>
      </c>
      <c r="EM34">
        <v>0</v>
      </c>
      <c r="EN34">
        <v>1</v>
      </c>
      <c r="EO34">
        <v>1</v>
      </c>
      <c r="EP34">
        <v>0</v>
      </c>
      <c r="EQ34">
        <v>0</v>
      </c>
      <c r="ER34">
        <v>0</v>
      </c>
      <c r="ES34">
        <v>0</v>
      </c>
      <c r="ET34">
        <v>0</v>
      </c>
      <c r="EU34">
        <v>0</v>
      </c>
      <c r="EV34">
        <v>0</v>
      </c>
      <c r="EW34">
        <v>0</v>
      </c>
      <c r="EX34">
        <v>0</v>
      </c>
      <c r="EY34">
        <v>0</v>
      </c>
      <c r="FB34" t="s">
        <v>421</v>
      </c>
      <c r="FC34">
        <v>1</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t="s">
        <v>300</v>
      </c>
      <c r="FZ34">
        <v>1</v>
      </c>
      <c r="GA34">
        <v>0</v>
      </c>
      <c r="GB34">
        <v>0</v>
      </c>
      <c r="GC34">
        <v>0</v>
      </c>
      <c r="GD34">
        <v>0</v>
      </c>
      <c r="GE34">
        <v>0</v>
      </c>
      <c r="GF34">
        <v>0</v>
      </c>
      <c r="GG34">
        <v>0</v>
      </c>
      <c r="GH34">
        <v>0</v>
      </c>
      <c r="GI34">
        <v>0</v>
      </c>
      <c r="GJ34">
        <v>0</v>
      </c>
      <c r="GK34">
        <v>0</v>
      </c>
      <c r="GL34">
        <v>0</v>
      </c>
      <c r="GM34">
        <v>0</v>
      </c>
      <c r="GN34">
        <v>0</v>
      </c>
      <c r="GO34">
        <v>0</v>
      </c>
      <c r="GP34">
        <v>0</v>
      </c>
      <c r="GQ34">
        <v>0</v>
      </c>
      <c r="GR34">
        <v>0</v>
      </c>
      <c r="IZ34">
        <v>1</v>
      </c>
      <c r="JA34">
        <v>1</v>
      </c>
      <c r="JB34">
        <v>1</v>
      </c>
      <c r="JC34">
        <v>0</v>
      </c>
      <c r="JD34">
        <v>0</v>
      </c>
      <c r="JE34">
        <v>0</v>
      </c>
      <c r="JF34">
        <v>0</v>
      </c>
      <c r="JG34">
        <v>0</v>
      </c>
      <c r="JH34">
        <v>0</v>
      </c>
      <c r="JI34">
        <v>0</v>
      </c>
      <c r="JJ34">
        <v>0</v>
      </c>
      <c r="JL34">
        <v>2</v>
      </c>
      <c r="JM34" cm="1">
        <f t="array" ref="JM34">IF(OR(JN34:JQ34 &lt;&gt; ""), 1, 0)</f>
        <v>0</v>
      </c>
    </row>
    <row r="35" spans="1:277" x14ac:dyDescent="0.35">
      <c r="A35">
        <v>393112</v>
      </c>
      <c r="C35">
        <v>1</v>
      </c>
      <c r="D35" t="s">
        <v>422</v>
      </c>
      <c r="E35" t="str">
        <f>_xlfn.XLOOKUP(I35, [1]SchoolDistrictStudyWODuplicates!$K:$K, [1]SchoolDistrictStudyWODuplicates!$E:$E, "")</f>
        <v/>
      </c>
      <c r="G35" t="s">
        <v>423</v>
      </c>
      <c r="H35" s="7">
        <v>902400</v>
      </c>
      <c r="I35" s="7">
        <v>902400</v>
      </c>
      <c r="J35" s="5" t="e">
        <f>_xlfn.XLOOKUP(I35,#REF!,#REF!,"Not Determined")</f>
        <v>#REF!</v>
      </c>
      <c r="K35" s="5" t="s">
        <v>419</v>
      </c>
      <c r="L35" t="s">
        <v>419</v>
      </c>
      <c r="M35" s="13" t="e">
        <f>_xlfn.XLOOKUP(I35,#REF!,#REF!, "No")</f>
        <v>#REF!</v>
      </c>
      <c r="N35" s="5" t="str">
        <f t="shared" si="11"/>
        <v>No</v>
      </c>
      <c r="O35" s="5" t="str">
        <f t="shared" si="12"/>
        <v>Yes</v>
      </c>
      <c r="P35" s="5" t="str">
        <f t="shared" si="13"/>
        <v>Yes</v>
      </c>
      <c r="Q35" s="5" t="str">
        <f t="shared" si="14"/>
        <v>Yes</v>
      </c>
      <c r="R35" s="5" t="str">
        <f t="shared" si="15"/>
        <v>Yes</v>
      </c>
      <c r="S35" s="5" t="str">
        <f t="shared" si="16"/>
        <v>Yes</v>
      </c>
      <c r="T35" s="5" t="str">
        <f t="shared" si="17"/>
        <v>No</v>
      </c>
      <c r="U35" s="5" t="str">
        <f t="shared" si="18"/>
        <v>Yes</v>
      </c>
      <c r="V35" s="5" t="str" cm="1">
        <f t="array" ref="V35">IF(OR(DB35:DG35 =1), "Yes", "No")</f>
        <v>No</v>
      </c>
      <c r="W35" s="5" t="str">
        <f t="shared" si="19"/>
        <v>No</v>
      </c>
      <c r="X35" s="5" t="str">
        <f t="shared" si="20"/>
        <v>No</v>
      </c>
      <c r="Y35" s="5" t="str">
        <f t="shared" si="21"/>
        <v>No</v>
      </c>
      <c r="Z35">
        <v>3</v>
      </c>
      <c r="AB35">
        <v>0</v>
      </c>
      <c r="AC35">
        <v>0</v>
      </c>
      <c r="AD35">
        <v>1</v>
      </c>
      <c r="AE35">
        <v>0</v>
      </c>
      <c r="AF35">
        <v>0</v>
      </c>
      <c r="AG35">
        <v>0</v>
      </c>
      <c r="AH35">
        <v>0</v>
      </c>
      <c r="AI35">
        <v>0</v>
      </c>
      <c r="AJ35">
        <v>0</v>
      </c>
      <c r="AK35">
        <v>1</v>
      </c>
      <c r="AM35">
        <v>1</v>
      </c>
      <c r="AN35">
        <v>1</v>
      </c>
      <c r="AO35">
        <v>0</v>
      </c>
      <c r="AP35">
        <v>60</v>
      </c>
      <c r="AQ35">
        <v>44</v>
      </c>
      <c r="AS35">
        <v>60</v>
      </c>
      <c r="AT35">
        <v>44</v>
      </c>
      <c r="AV35">
        <v>1</v>
      </c>
      <c r="AW35">
        <v>1</v>
      </c>
      <c r="AX35">
        <v>0</v>
      </c>
      <c r="AY35">
        <v>0</v>
      </c>
      <c r="AZ35">
        <v>0</v>
      </c>
      <c r="BA35">
        <v>0</v>
      </c>
      <c r="BC35">
        <v>2</v>
      </c>
      <c r="BE35">
        <v>4</v>
      </c>
      <c r="BG35">
        <v>1</v>
      </c>
      <c r="BH35">
        <v>1</v>
      </c>
      <c r="BI35">
        <v>3</v>
      </c>
      <c r="BJ35">
        <v>2</v>
      </c>
      <c r="BL35">
        <v>2</v>
      </c>
      <c r="BM35">
        <v>1</v>
      </c>
      <c r="BN35">
        <v>1</v>
      </c>
      <c r="BO35">
        <v>1</v>
      </c>
      <c r="BP35">
        <v>0</v>
      </c>
      <c r="BQ35">
        <v>0</v>
      </c>
      <c r="BR35">
        <v>0</v>
      </c>
      <c r="BS35">
        <v>0</v>
      </c>
      <c r="BT35">
        <v>0</v>
      </c>
      <c r="BV35">
        <v>1</v>
      </c>
      <c r="BW35">
        <v>0</v>
      </c>
      <c r="BX35">
        <v>0</v>
      </c>
      <c r="BY35">
        <v>0</v>
      </c>
      <c r="BZ35">
        <v>0</v>
      </c>
      <c r="CA35">
        <v>0</v>
      </c>
      <c r="CB35">
        <v>0</v>
      </c>
      <c r="CC35">
        <v>0</v>
      </c>
      <c r="CD35">
        <v>0</v>
      </c>
      <c r="CE35">
        <v>0</v>
      </c>
      <c r="CF35">
        <v>0</v>
      </c>
      <c r="CG35">
        <v>0</v>
      </c>
      <c r="CH35">
        <v>0</v>
      </c>
      <c r="CI35">
        <v>0</v>
      </c>
      <c r="CJ35">
        <v>0</v>
      </c>
      <c r="CK35">
        <v>0</v>
      </c>
      <c r="CL35">
        <v>0</v>
      </c>
      <c r="CN35">
        <v>1</v>
      </c>
      <c r="CO35">
        <v>4</v>
      </c>
      <c r="CQ35">
        <v>2</v>
      </c>
      <c r="CR35">
        <v>3</v>
      </c>
      <c r="EB35">
        <v>1</v>
      </c>
      <c r="EC35">
        <v>0</v>
      </c>
      <c r="ED35">
        <v>1</v>
      </c>
      <c r="EE35">
        <v>0</v>
      </c>
      <c r="EF35">
        <v>1</v>
      </c>
      <c r="EG35">
        <v>0</v>
      </c>
      <c r="EH35">
        <v>0</v>
      </c>
      <c r="EI35">
        <v>0</v>
      </c>
      <c r="EJ35">
        <v>0</v>
      </c>
      <c r="EK35">
        <v>0</v>
      </c>
      <c r="EM35">
        <v>0</v>
      </c>
      <c r="EN35">
        <v>1</v>
      </c>
      <c r="EO35">
        <v>0</v>
      </c>
      <c r="EP35">
        <v>0</v>
      </c>
      <c r="EQ35">
        <v>0</v>
      </c>
      <c r="ER35">
        <v>0</v>
      </c>
      <c r="ES35">
        <v>0</v>
      </c>
      <c r="ET35">
        <v>0</v>
      </c>
      <c r="EU35">
        <v>0</v>
      </c>
      <c r="EV35">
        <v>1</v>
      </c>
      <c r="EW35">
        <v>1</v>
      </c>
      <c r="EX35">
        <v>0</v>
      </c>
      <c r="EY35">
        <v>0</v>
      </c>
      <c r="FB35" t="s">
        <v>424</v>
      </c>
      <c r="FC35">
        <v>1</v>
      </c>
      <c r="FD35">
        <v>1</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HC35" t="s">
        <v>425</v>
      </c>
      <c r="HD35">
        <v>1</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1</v>
      </c>
      <c r="IG35">
        <v>0</v>
      </c>
      <c r="IH35">
        <v>0</v>
      </c>
      <c r="II35">
        <v>0</v>
      </c>
      <c r="IJ35">
        <v>0</v>
      </c>
      <c r="IK35">
        <v>0</v>
      </c>
      <c r="IL35">
        <v>0</v>
      </c>
      <c r="IM35">
        <v>0</v>
      </c>
      <c r="IN35">
        <v>0</v>
      </c>
      <c r="IO35">
        <v>0</v>
      </c>
      <c r="IP35">
        <v>0</v>
      </c>
      <c r="IQ35">
        <v>0</v>
      </c>
      <c r="IR35">
        <v>0</v>
      </c>
      <c r="IS35">
        <v>0</v>
      </c>
      <c r="IT35">
        <v>0</v>
      </c>
      <c r="IU35">
        <v>0</v>
      </c>
      <c r="IV35">
        <v>0</v>
      </c>
      <c r="IW35">
        <v>0</v>
      </c>
      <c r="JM35" cm="1">
        <f t="array" ref="JM35">IF(OR(JN35:JQ35 &lt;&gt; ""), 1, 0)</f>
        <v>0</v>
      </c>
    </row>
    <row r="36" spans="1:277" x14ac:dyDescent="0.35">
      <c r="A36">
        <v>376345</v>
      </c>
      <c r="C36">
        <v>1</v>
      </c>
      <c r="D36" t="s">
        <v>431</v>
      </c>
      <c r="E36" t="str">
        <f>_xlfn.XLOOKUP(I36, [1]SchoolDistrictStudyWODuplicates!$K:$K, [1]SchoolDistrictStudyWODuplicates!$E:$E, "")</f>
        <v>Palm Beach Maritime Museum</v>
      </c>
      <c r="G36" t="s">
        <v>432</v>
      </c>
      <c r="H36" s="7">
        <v>1201500</v>
      </c>
      <c r="I36" s="7">
        <v>1201500</v>
      </c>
      <c r="J36" s="5" t="e">
        <f>_xlfn.XLOOKUP(I36,#REF!,#REF!,"Not Determined")</f>
        <v>#REF!</v>
      </c>
      <c r="K36" s="5" t="s">
        <v>433</v>
      </c>
      <c r="L36" t="s">
        <v>433</v>
      </c>
      <c r="M36" s="13" t="e">
        <f>_xlfn.XLOOKUP(I36,#REF!,#REF!, "No")</f>
        <v>#REF!</v>
      </c>
      <c r="N36" s="5" t="str">
        <f t="shared" si="11"/>
        <v>No</v>
      </c>
      <c r="O36" s="5" t="str">
        <f t="shared" si="12"/>
        <v>Yes</v>
      </c>
      <c r="P36" s="5" t="str">
        <f t="shared" si="13"/>
        <v>No</v>
      </c>
      <c r="Q36" s="5" t="str">
        <f t="shared" si="14"/>
        <v>No</v>
      </c>
      <c r="R36" s="5" t="str">
        <f t="shared" si="15"/>
        <v>Yes</v>
      </c>
      <c r="S36" s="5" t="str">
        <f t="shared" si="16"/>
        <v>Yes</v>
      </c>
      <c r="T36" s="5" t="str">
        <f t="shared" si="17"/>
        <v>Yes</v>
      </c>
      <c r="U36" s="5" t="str">
        <f t="shared" si="18"/>
        <v>Yes</v>
      </c>
      <c r="V36" s="5" t="str" cm="1">
        <f t="array" ref="V36">IF(OR(DB36:DG36 =1), "Yes", "No")</f>
        <v>No</v>
      </c>
      <c r="W36" s="5" t="str">
        <f t="shared" si="19"/>
        <v>No</v>
      </c>
      <c r="X36" s="5" t="str">
        <f t="shared" si="20"/>
        <v>No</v>
      </c>
      <c r="Y36" s="5" t="str">
        <f t="shared" si="21"/>
        <v>No</v>
      </c>
      <c r="Z36">
        <v>3</v>
      </c>
      <c r="AB36">
        <v>0</v>
      </c>
      <c r="AC36">
        <v>1</v>
      </c>
      <c r="AD36">
        <v>1</v>
      </c>
      <c r="AE36">
        <v>0</v>
      </c>
      <c r="AF36">
        <v>0</v>
      </c>
      <c r="AG36">
        <v>0</v>
      </c>
      <c r="AH36">
        <v>0</v>
      </c>
      <c r="AI36">
        <v>0</v>
      </c>
      <c r="AJ36">
        <v>0</v>
      </c>
      <c r="AK36">
        <v>1</v>
      </c>
      <c r="AM36">
        <v>0</v>
      </c>
      <c r="AN36">
        <v>1</v>
      </c>
      <c r="AO36">
        <v>1</v>
      </c>
      <c r="AQ36">
        <v>12</v>
      </c>
      <c r="AR36">
        <v>3</v>
      </c>
      <c r="AT36">
        <v>12</v>
      </c>
      <c r="AU36">
        <v>3</v>
      </c>
      <c r="AV36">
        <v>1</v>
      </c>
      <c r="AW36">
        <v>0</v>
      </c>
      <c r="AX36">
        <v>0</v>
      </c>
      <c r="AY36">
        <v>0</v>
      </c>
      <c r="AZ36">
        <v>0</v>
      </c>
      <c r="BA36">
        <v>0</v>
      </c>
      <c r="BC36">
        <v>1</v>
      </c>
      <c r="BE36">
        <v>1</v>
      </c>
      <c r="BG36">
        <v>1</v>
      </c>
      <c r="BH36">
        <v>3</v>
      </c>
      <c r="BI36">
        <v>5</v>
      </c>
      <c r="BJ36">
        <v>2</v>
      </c>
      <c r="BL36">
        <v>2</v>
      </c>
      <c r="BM36">
        <v>3</v>
      </c>
      <c r="BN36">
        <v>2</v>
      </c>
      <c r="BV36">
        <v>0</v>
      </c>
      <c r="BW36">
        <v>0</v>
      </c>
      <c r="BX36">
        <v>0</v>
      </c>
      <c r="BY36">
        <v>0</v>
      </c>
      <c r="BZ36">
        <v>0</v>
      </c>
      <c r="CA36">
        <v>0</v>
      </c>
      <c r="CB36">
        <v>0</v>
      </c>
      <c r="CC36">
        <v>0</v>
      </c>
      <c r="CD36">
        <v>0</v>
      </c>
      <c r="CE36">
        <v>0</v>
      </c>
      <c r="CF36">
        <v>0</v>
      </c>
      <c r="CG36">
        <v>1</v>
      </c>
      <c r="CH36">
        <v>0</v>
      </c>
      <c r="CI36">
        <v>0</v>
      </c>
      <c r="CJ36">
        <v>0</v>
      </c>
      <c r="CK36">
        <v>1</v>
      </c>
      <c r="CL36">
        <v>0</v>
      </c>
      <c r="CN36">
        <v>16</v>
      </c>
      <c r="CO36">
        <v>4</v>
      </c>
      <c r="CQ36">
        <v>5</v>
      </c>
      <c r="CR36">
        <v>5</v>
      </c>
      <c r="EB36">
        <v>0</v>
      </c>
      <c r="EC36">
        <v>0</v>
      </c>
      <c r="ED36">
        <v>0</v>
      </c>
      <c r="EE36">
        <v>0</v>
      </c>
      <c r="EF36">
        <v>0</v>
      </c>
      <c r="EG36">
        <v>1</v>
      </c>
      <c r="EH36">
        <v>0</v>
      </c>
      <c r="EI36">
        <v>0</v>
      </c>
      <c r="EJ36">
        <v>0</v>
      </c>
      <c r="EK36">
        <v>0</v>
      </c>
      <c r="EM36">
        <v>0</v>
      </c>
      <c r="EN36">
        <v>0</v>
      </c>
      <c r="EO36">
        <v>1</v>
      </c>
      <c r="EP36">
        <v>1</v>
      </c>
      <c r="EQ36">
        <v>0</v>
      </c>
      <c r="ER36">
        <v>0</v>
      </c>
      <c r="ES36">
        <v>0</v>
      </c>
      <c r="ET36">
        <v>0</v>
      </c>
      <c r="EU36">
        <v>0</v>
      </c>
      <c r="EV36">
        <v>0</v>
      </c>
      <c r="EW36">
        <v>1</v>
      </c>
      <c r="EX36">
        <v>0</v>
      </c>
      <c r="EY36">
        <v>0</v>
      </c>
      <c r="FY36" t="s">
        <v>434</v>
      </c>
      <c r="FZ36">
        <v>1</v>
      </c>
      <c r="GA36">
        <v>0</v>
      </c>
      <c r="GB36">
        <v>0</v>
      </c>
      <c r="GC36">
        <v>0</v>
      </c>
      <c r="GD36">
        <v>0</v>
      </c>
      <c r="GE36">
        <v>0</v>
      </c>
      <c r="GF36">
        <v>0</v>
      </c>
      <c r="GG36">
        <v>0</v>
      </c>
      <c r="GH36">
        <v>0</v>
      </c>
      <c r="GI36">
        <v>0</v>
      </c>
      <c r="GJ36">
        <v>0</v>
      </c>
      <c r="GK36">
        <v>0</v>
      </c>
      <c r="GL36">
        <v>0</v>
      </c>
      <c r="GM36">
        <v>0</v>
      </c>
      <c r="GN36">
        <v>0</v>
      </c>
      <c r="GO36">
        <v>0</v>
      </c>
      <c r="GP36">
        <v>0</v>
      </c>
      <c r="GQ36">
        <v>0</v>
      </c>
      <c r="GR36">
        <v>0</v>
      </c>
      <c r="IZ36">
        <v>1</v>
      </c>
      <c r="JA36">
        <v>0</v>
      </c>
      <c r="JB36">
        <v>0</v>
      </c>
      <c r="JC36">
        <v>0</v>
      </c>
      <c r="JD36">
        <v>0</v>
      </c>
      <c r="JE36">
        <v>0</v>
      </c>
      <c r="JF36">
        <v>0</v>
      </c>
      <c r="JG36">
        <v>0</v>
      </c>
      <c r="JH36">
        <v>0</v>
      </c>
      <c r="JI36">
        <v>0</v>
      </c>
      <c r="JJ36">
        <v>0</v>
      </c>
      <c r="JL36">
        <v>2</v>
      </c>
      <c r="JM36" cm="1">
        <f t="array" ref="JM36">IF(OR(JN36:JQ36 &lt;&gt; ""), 1, 0)</f>
        <v>0</v>
      </c>
    </row>
    <row r="37" spans="1:277" x14ac:dyDescent="0.35">
      <c r="A37">
        <v>405209</v>
      </c>
      <c r="C37">
        <v>1</v>
      </c>
      <c r="D37" t="s">
        <v>435</v>
      </c>
      <c r="E37" t="str">
        <f>_xlfn.XLOOKUP(I37, [1]SchoolDistrictStudyWODuplicates!$K:$K, [1]SchoolDistrictStudyWODuplicates!$E:$E, "")</f>
        <v/>
      </c>
      <c r="G37" t="s">
        <v>436</v>
      </c>
      <c r="H37" s="7">
        <v>1200150</v>
      </c>
      <c r="I37" s="7">
        <v>1200150</v>
      </c>
      <c r="J37" s="5" t="e">
        <f>_xlfn.XLOOKUP(I37,#REF!,#REF!,"Not Determined")</f>
        <v>#REF!</v>
      </c>
      <c r="K37" s="5" t="s">
        <v>433</v>
      </c>
      <c r="L37" t="s">
        <v>437</v>
      </c>
      <c r="M37" s="13" t="e">
        <f>_xlfn.XLOOKUP(I37,#REF!,#REF!, "No")</f>
        <v>#REF!</v>
      </c>
      <c r="N37" s="5" t="str">
        <f t="shared" si="11"/>
        <v>No</v>
      </c>
      <c r="O37" s="5" t="str">
        <f t="shared" si="12"/>
        <v>Yes</v>
      </c>
      <c r="P37" s="5" t="str">
        <f t="shared" si="13"/>
        <v>Yes</v>
      </c>
      <c r="Q37" s="5" t="str">
        <f t="shared" si="14"/>
        <v>No</v>
      </c>
      <c r="R37" s="5" t="str">
        <f t="shared" si="15"/>
        <v>Yes</v>
      </c>
      <c r="S37" s="5" t="str">
        <f t="shared" si="16"/>
        <v>Yes</v>
      </c>
      <c r="T37" s="5" t="str">
        <f t="shared" si="17"/>
        <v>No</v>
      </c>
      <c r="U37" s="5" t="str">
        <f t="shared" si="18"/>
        <v>No</v>
      </c>
      <c r="V37" s="5" t="str" cm="1">
        <f t="array" ref="V37">IF(OR(DB37:DG37 =1), "Yes", "No")</f>
        <v>No</v>
      </c>
      <c r="W37" s="5" t="str">
        <f t="shared" si="19"/>
        <v>No</v>
      </c>
      <c r="X37" s="5" t="str">
        <f t="shared" si="20"/>
        <v>No</v>
      </c>
      <c r="Y37" s="5" t="str">
        <f t="shared" si="21"/>
        <v>No</v>
      </c>
      <c r="Z37">
        <v>7</v>
      </c>
      <c r="AB37">
        <v>1</v>
      </c>
      <c r="AC37">
        <v>0</v>
      </c>
      <c r="AD37">
        <v>0</v>
      </c>
      <c r="AE37">
        <v>0</v>
      </c>
      <c r="AF37">
        <v>0</v>
      </c>
      <c r="AG37">
        <v>0</v>
      </c>
      <c r="AH37">
        <v>0</v>
      </c>
      <c r="AI37">
        <v>0</v>
      </c>
      <c r="AJ37">
        <v>0</v>
      </c>
      <c r="AK37">
        <v>1</v>
      </c>
      <c r="AM37">
        <v>0</v>
      </c>
      <c r="AN37">
        <v>1</v>
      </c>
      <c r="AO37">
        <v>0</v>
      </c>
      <c r="AQ37">
        <v>400</v>
      </c>
      <c r="AT37">
        <v>400</v>
      </c>
      <c r="AV37">
        <v>1</v>
      </c>
      <c r="AW37">
        <v>0</v>
      </c>
      <c r="AX37">
        <v>0</v>
      </c>
      <c r="AY37">
        <v>0</v>
      </c>
      <c r="AZ37">
        <v>0</v>
      </c>
      <c r="BA37">
        <v>0</v>
      </c>
      <c r="BC37">
        <v>1</v>
      </c>
      <c r="BE37">
        <v>1</v>
      </c>
      <c r="BG37">
        <v>1</v>
      </c>
      <c r="BH37">
        <v>3</v>
      </c>
      <c r="BI37">
        <v>5</v>
      </c>
      <c r="BJ37">
        <v>2</v>
      </c>
      <c r="BL37">
        <v>2</v>
      </c>
      <c r="BM37">
        <v>1</v>
      </c>
      <c r="BN37">
        <v>2</v>
      </c>
      <c r="BV37">
        <v>1</v>
      </c>
      <c r="BW37">
        <v>0</v>
      </c>
      <c r="BX37">
        <v>0</v>
      </c>
      <c r="BY37">
        <v>0</v>
      </c>
      <c r="BZ37">
        <v>0</v>
      </c>
      <c r="CA37">
        <v>0</v>
      </c>
      <c r="CB37">
        <v>0</v>
      </c>
      <c r="CC37">
        <v>0</v>
      </c>
      <c r="CD37">
        <v>0</v>
      </c>
      <c r="CE37">
        <v>0</v>
      </c>
      <c r="CF37">
        <v>0</v>
      </c>
      <c r="CG37">
        <v>0</v>
      </c>
      <c r="CH37">
        <v>0</v>
      </c>
      <c r="CI37">
        <v>0</v>
      </c>
      <c r="CJ37">
        <v>0</v>
      </c>
      <c r="CK37">
        <v>0</v>
      </c>
      <c r="CL37">
        <v>0</v>
      </c>
      <c r="CN37">
        <v>1</v>
      </c>
      <c r="CO37">
        <v>4</v>
      </c>
      <c r="CQ37">
        <v>2</v>
      </c>
      <c r="CR37">
        <v>1</v>
      </c>
      <c r="EB37">
        <v>1</v>
      </c>
      <c r="EC37">
        <v>1</v>
      </c>
      <c r="ED37">
        <v>0</v>
      </c>
      <c r="EE37">
        <v>0</v>
      </c>
      <c r="EF37">
        <v>0</v>
      </c>
      <c r="EG37">
        <v>1</v>
      </c>
      <c r="EH37">
        <v>0</v>
      </c>
      <c r="EI37">
        <v>0</v>
      </c>
      <c r="EJ37">
        <v>0</v>
      </c>
      <c r="EK37">
        <v>0</v>
      </c>
      <c r="EM37">
        <v>0</v>
      </c>
      <c r="EN37">
        <v>1</v>
      </c>
      <c r="EO37">
        <v>0</v>
      </c>
      <c r="EP37">
        <v>1</v>
      </c>
      <c r="EQ37">
        <v>0</v>
      </c>
      <c r="ER37">
        <v>0</v>
      </c>
      <c r="ES37">
        <v>0</v>
      </c>
      <c r="ET37">
        <v>0</v>
      </c>
      <c r="EU37">
        <v>0</v>
      </c>
      <c r="EV37">
        <v>0</v>
      </c>
      <c r="EW37">
        <v>0</v>
      </c>
      <c r="EX37">
        <v>0</v>
      </c>
      <c r="EY37">
        <v>0</v>
      </c>
      <c r="FB37" t="s">
        <v>438</v>
      </c>
      <c r="FC37">
        <v>1</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IZ37">
        <v>0</v>
      </c>
      <c r="JA37">
        <v>0</v>
      </c>
      <c r="JB37">
        <v>1</v>
      </c>
      <c r="JC37">
        <v>0</v>
      </c>
      <c r="JD37">
        <v>1</v>
      </c>
      <c r="JE37">
        <v>0</v>
      </c>
      <c r="JF37">
        <v>0</v>
      </c>
      <c r="JG37">
        <v>0</v>
      </c>
      <c r="JH37">
        <v>1</v>
      </c>
      <c r="JI37">
        <v>0</v>
      </c>
      <c r="JJ37">
        <v>0</v>
      </c>
      <c r="JL37">
        <v>2</v>
      </c>
      <c r="JM37" cm="1">
        <f t="array" ref="JM37">IF(OR(JN37:JQ37 &lt;&gt; ""), 1, 0)</f>
        <v>0</v>
      </c>
    </row>
    <row r="38" spans="1:277" x14ac:dyDescent="0.35">
      <c r="A38">
        <v>370103</v>
      </c>
      <c r="C38">
        <v>1</v>
      </c>
      <c r="D38" t="s">
        <v>439</v>
      </c>
      <c r="E38" t="str">
        <f>_xlfn.XLOOKUP(I38, [1]SchoolDistrictStudyWODuplicates!$K:$K, [1]SchoolDistrictStudyWODuplicates!$E:$E, "")</f>
        <v>St. Lucie Public Schools</v>
      </c>
      <c r="G38" t="s">
        <v>440</v>
      </c>
      <c r="H38" s="7">
        <v>1201770</v>
      </c>
      <c r="I38" s="7">
        <v>1201770</v>
      </c>
      <c r="J38" s="5" t="e">
        <f>_xlfn.XLOOKUP(I38,#REF!,#REF!,"Not Determined")</f>
        <v>#REF!</v>
      </c>
      <c r="K38" s="5" t="s">
        <v>433</v>
      </c>
      <c r="L38" t="s">
        <v>441</v>
      </c>
      <c r="M38" s="13" t="e">
        <f>_xlfn.XLOOKUP(I38,#REF!,#REF!, "No")</f>
        <v>#REF!</v>
      </c>
      <c r="N38" s="5" t="str">
        <f t="shared" si="11"/>
        <v>No</v>
      </c>
      <c r="O38" s="5" t="str">
        <f t="shared" si="12"/>
        <v>Yes</v>
      </c>
      <c r="P38" s="5" t="str">
        <f t="shared" si="13"/>
        <v>Yes</v>
      </c>
      <c r="Q38" s="5" t="str">
        <f t="shared" si="14"/>
        <v>Yes</v>
      </c>
      <c r="R38" s="5" t="str">
        <f t="shared" si="15"/>
        <v>Yes</v>
      </c>
      <c r="S38" s="5" t="str">
        <f t="shared" si="16"/>
        <v>Yes</v>
      </c>
      <c r="T38" s="5" t="str">
        <f t="shared" si="17"/>
        <v>Yes</v>
      </c>
      <c r="U38" s="5" t="str">
        <f t="shared" si="18"/>
        <v>Yes</v>
      </c>
      <c r="V38" s="5" t="str" cm="1">
        <f t="array" ref="V38">IF(OR(DB38:DG38 =1), "Yes", "No")</f>
        <v>No</v>
      </c>
      <c r="W38" s="5" t="str">
        <f t="shared" si="19"/>
        <v>Yes</v>
      </c>
      <c r="X38" s="5" t="str">
        <f t="shared" si="20"/>
        <v>No</v>
      </c>
      <c r="Y38" s="5" t="str">
        <f t="shared" si="21"/>
        <v>No</v>
      </c>
      <c r="Z38">
        <v>4</v>
      </c>
      <c r="AB38">
        <v>0</v>
      </c>
      <c r="AC38">
        <v>0</v>
      </c>
      <c r="AD38">
        <v>1</v>
      </c>
      <c r="AE38">
        <v>1</v>
      </c>
      <c r="AF38">
        <v>0</v>
      </c>
      <c r="AG38">
        <v>0</v>
      </c>
      <c r="AH38">
        <v>0</v>
      </c>
      <c r="AI38">
        <v>0</v>
      </c>
      <c r="AJ38">
        <v>0</v>
      </c>
      <c r="AK38">
        <v>1</v>
      </c>
      <c r="AM38">
        <v>1</v>
      </c>
      <c r="AN38">
        <v>0</v>
      </c>
      <c r="AO38">
        <v>0</v>
      </c>
      <c r="AP38">
        <v>0</v>
      </c>
      <c r="AV38">
        <v>1</v>
      </c>
      <c r="AW38">
        <v>0</v>
      </c>
      <c r="AX38">
        <v>0</v>
      </c>
      <c r="AY38">
        <v>0</v>
      </c>
      <c r="AZ38">
        <v>0</v>
      </c>
      <c r="BA38">
        <v>0</v>
      </c>
      <c r="BC38">
        <v>1</v>
      </c>
      <c r="BE38">
        <v>1</v>
      </c>
      <c r="BG38">
        <v>1</v>
      </c>
      <c r="BH38">
        <v>1</v>
      </c>
      <c r="BI38">
        <v>4</v>
      </c>
      <c r="BJ38">
        <v>1</v>
      </c>
      <c r="BK38">
        <v>4</v>
      </c>
      <c r="BL38">
        <v>1</v>
      </c>
      <c r="BM38">
        <v>1</v>
      </c>
      <c r="BN38">
        <v>1</v>
      </c>
      <c r="BO38">
        <v>1</v>
      </c>
      <c r="BP38">
        <v>0</v>
      </c>
      <c r="BQ38">
        <v>0</v>
      </c>
      <c r="BR38">
        <v>0</v>
      </c>
      <c r="BS38">
        <v>0</v>
      </c>
      <c r="BT38">
        <v>0</v>
      </c>
      <c r="BV38">
        <v>1</v>
      </c>
      <c r="BW38">
        <v>0</v>
      </c>
      <c r="BX38">
        <v>1</v>
      </c>
      <c r="BY38">
        <v>0</v>
      </c>
      <c r="BZ38">
        <v>0</v>
      </c>
      <c r="CA38">
        <v>0</v>
      </c>
      <c r="CB38">
        <v>1</v>
      </c>
      <c r="CC38">
        <v>0</v>
      </c>
      <c r="CD38">
        <v>0</v>
      </c>
      <c r="CE38">
        <v>0</v>
      </c>
      <c r="CF38">
        <v>0</v>
      </c>
      <c r="CG38">
        <v>0</v>
      </c>
      <c r="CH38">
        <v>0</v>
      </c>
      <c r="CI38">
        <v>0</v>
      </c>
      <c r="CJ38">
        <v>0</v>
      </c>
      <c r="CK38">
        <v>0</v>
      </c>
      <c r="CL38">
        <v>0</v>
      </c>
      <c r="CN38">
        <v>3</v>
      </c>
      <c r="CO38">
        <v>4</v>
      </c>
      <c r="CQ38">
        <v>5</v>
      </c>
      <c r="CR38">
        <v>5</v>
      </c>
      <c r="EB38">
        <v>0</v>
      </c>
      <c r="EC38">
        <v>0</v>
      </c>
      <c r="ED38">
        <v>0</v>
      </c>
      <c r="EE38">
        <v>1</v>
      </c>
      <c r="EF38">
        <v>0</v>
      </c>
      <c r="EG38">
        <v>0</v>
      </c>
      <c r="EH38">
        <v>0</v>
      </c>
      <c r="EI38">
        <v>0</v>
      </c>
      <c r="EJ38">
        <v>0</v>
      </c>
      <c r="EK38">
        <v>0</v>
      </c>
      <c r="EM38">
        <v>0</v>
      </c>
      <c r="EN38">
        <v>1</v>
      </c>
      <c r="EO38">
        <v>0</v>
      </c>
      <c r="EP38">
        <v>0</v>
      </c>
      <c r="EQ38">
        <v>1</v>
      </c>
      <c r="ER38">
        <v>0</v>
      </c>
      <c r="ES38">
        <v>0</v>
      </c>
      <c r="ET38">
        <v>0</v>
      </c>
      <c r="EU38">
        <v>0</v>
      </c>
      <c r="EV38">
        <v>0</v>
      </c>
      <c r="EW38">
        <v>1</v>
      </c>
      <c r="EX38">
        <v>0</v>
      </c>
      <c r="EY38">
        <v>0</v>
      </c>
      <c r="FB38" t="s">
        <v>442</v>
      </c>
      <c r="FC38">
        <v>1</v>
      </c>
      <c r="FD38">
        <v>1</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IZ38">
        <v>1</v>
      </c>
      <c r="JA38">
        <v>1</v>
      </c>
      <c r="JB38">
        <v>0</v>
      </c>
      <c r="JC38">
        <v>0</v>
      </c>
      <c r="JD38">
        <v>0</v>
      </c>
      <c r="JE38">
        <v>0</v>
      </c>
      <c r="JF38">
        <v>0</v>
      </c>
      <c r="JG38">
        <v>0</v>
      </c>
      <c r="JH38">
        <v>1</v>
      </c>
      <c r="JI38">
        <v>0</v>
      </c>
      <c r="JJ38">
        <v>0</v>
      </c>
      <c r="JL38">
        <v>1</v>
      </c>
      <c r="JM38" cm="1">
        <f t="array" ref="JM38">IF(OR(JN38:JQ38 &lt;&gt; ""), 1, 0)</f>
        <v>1</v>
      </c>
      <c r="JN38">
        <v>1</v>
      </c>
      <c r="JO38">
        <v>1</v>
      </c>
      <c r="JP38">
        <v>0</v>
      </c>
      <c r="JQ38">
        <v>0</v>
      </c>
    </row>
    <row r="39" spans="1:277" x14ac:dyDescent="0.35">
      <c r="A39">
        <v>375531</v>
      </c>
      <c r="C39">
        <v>1</v>
      </c>
      <c r="D39" t="s">
        <v>443</v>
      </c>
      <c r="E39" t="str">
        <f>_xlfn.XLOOKUP(I39, [1]SchoolDistrictStudyWODuplicates!$K:$K, [1]SchoolDistrictStudyWODuplicates!$E:$E, "")</f>
        <v>Gwinnett County Public Schools</v>
      </c>
      <c r="G39" t="s">
        <v>444</v>
      </c>
      <c r="H39" s="5" t="e">
        <f>_xlfn.XLOOKUP(A39,#REF!,#REF!, "No")</f>
        <v>#REF!</v>
      </c>
      <c r="I39" s="7">
        <v>1302550</v>
      </c>
      <c r="J39" s="5" t="e">
        <f>_xlfn.XLOOKUP(I39,#REF!,#REF!,"Not Determined")</f>
        <v>#REF!</v>
      </c>
      <c r="K39" s="5" t="s">
        <v>445</v>
      </c>
      <c r="L39" t="s">
        <v>445</v>
      </c>
      <c r="M39" s="13" t="e">
        <f>_xlfn.XLOOKUP(I39,#REF!,#REF!, "No")</f>
        <v>#REF!</v>
      </c>
      <c r="N39" s="5" t="str">
        <f t="shared" si="11"/>
        <v>No</v>
      </c>
      <c r="O39" s="5" t="str">
        <f t="shared" si="12"/>
        <v>Yes</v>
      </c>
      <c r="P39" s="5" t="str">
        <f t="shared" si="13"/>
        <v>Yes</v>
      </c>
      <c r="Q39" s="5" t="str">
        <f t="shared" si="14"/>
        <v>Yes</v>
      </c>
      <c r="R39" s="5" t="str">
        <f t="shared" si="15"/>
        <v>No</v>
      </c>
      <c r="S39" s="5" t="str">
        <f t="shared" si="16"/>
        <v>No</v>
      </c>
      <c r="T39" s="5" t="str">
        <f t="shared" si="17"/>
        <v>No</v>
      </c>
      <c r="U39" s="5" t="str">
        <f t="shared" si="18"/>
        <v>No</v>
      </c>
      <c r="V39" s="5" t="str" cm="1">
        <f t="array" ref="V39">IF(OR(DB39:DG39 =1), "Yes", "No")</f>
        <v>No</v>
      </c>
      <c r="W39" s="5" t="str">
        <f t="shared" si="19"/>
        <v>No</v>
      </c>
      <c r="X39" s="5" t="str">
        <f t="shared" si="20"/>
        <v>No</v>
      </c>
      <c r="Y39" s="5" t="str">
        <f t="shared" si="21"/>
        <v>No</v>
      </c>
      <c r="Z39">
        <v>4</v>
      </c>
      <c r="AB39">
        <v>0</v>
      </c>
      <c r="AC39">
        <v>1</v>
      </c>
      <c r="AD39">
        <v>0</v>
      </c>
      <c r="AE39">
        <v>0</v>
      </c>
      <c r="AF39">
        <v>0</v>
      </c>
      <c r="AG39">
        <v>0</v>
      </c>
      <c r="AH39">
        <v>0</v>
      </c>
      <c r="AI39">
        <v>0</v>
      </c>
      <c r="AJ39">
        <v>0</v>
      </c>
      <c r="AK39">
        <v>1</v>
      </c>
      <c r="AM39">
        <v>1</v>
      </c>
      <c r="AN39">
        <v>1</v>
      </c>
      <c r="AO39">
        <v>0</v>
      </c>
      <c r="AP39">
        <v>700</v>
      </c>
      <c r="AQ39">
        <v>800</v>
      </c>
      <c r="AS39">
        <v>700</v>
      </c>
      <c r="AT39">
        <v>800</v>
      </c>
      <c r="AV39">
        <v>1</v>
      </c>
      <c r="AW39">
        <v>0</v>
      </c>
      <c r="AX39">
        <v>0</v>
      </c>
      <c r="AY39">
        <v>0</v>
      </c>
      <c r="AZ39">
        <v>0</v>
      </c>
      <c r="BA39">
        <v>0</v>
      </c>
      <c r="BC39">
        <v>1</v>
      </c>
      <c r="BE39">
        <v>1</v>
      </c>
      <c r="BG39">
        <v>3</v>
      </c>
      <c r="BJ39">
        <v>1</v>
      </c>
      <c r="BK39">
        <v>6</v>
      </c>
      <c r="BL39">
        <v>2</v>
      </c>
      <c r="BM39">
        <v>1</v>
      </c>
      <c r="BN39">
        <v>1</v>
      </c>
      <c r="BO39">
        <v>1</v>
      </c>
      <c r="BP39">
        <v>1</v>
      </c>
      <c r="BQ39">
        <v>0</v>
      </c>
      <c r="BR39">
        <v>0</v>
      </c>
      <c r="BS39">
        <v>1</v>
      </c>
      <c r="BT39">
        <v>0</v>
      </c>
      <c r="BV39">
        <v>0</v>
      </c>
      <c r="BW39">
        <v>1</v>
      </c>
      <c r="BX39">
        <v>0</v>
      </c>
      <c r="BY39">
        <v>0</v>
      </c>
      <c r="BZ39">
        <v>0</v>
      </c>
      <c r="CA39">
        <v>0</v>
      </c>
      <c r="CB39">
        <v>0</v>
      </c>
      <c r="CC39">
        <v>0</v>
      </c>
      <c r="CD39">
        <v>0</v>
      </c>
      <c r="CE39">
        <v>0</v>
      </c>
      <c r="CF39">
        <v>0</v>
      </c>
      <c r="CG39">
        <v>0</v>
      </c>
      <c r="CH39">
        <v>0</v>
      </c>
      <c r="CI39">
        <v>0</v>
      </c>
      <c r="CJ39">
        <v>0</v>
      </c>
      <c r="CK39">
        <v>0</v>
      </c>
      <c r="CL39">
        <v>0</v>
      </c>
      <c r="CN39">
        <v>2</v>
      </c>
      <c r="CO39">
        <v>4</v>
      </c>
      <c r="CQ39">
        <v>6</v>
      </c>
      <c r="CR39">
        <v>6</v>
      </c>
      <c r="EB39">
        <v>0</v>
      </c>
      <c r="EC39">
        <v>0</v>
      </c>
      <c r="ED39">
        <v>1</v>
      </c>
      <c r="EE39">
        <v>0</v>
      </c>
      <c r="EF39">
        <v>0</v>
      </c>
      <c r="EG39">
        <v>0</v>
      </c>
      <c r="EH39">
        <v>0</v>
      </c>
      <c r="EI39">
        <v>0</v>
      </c>
      <c r="EJ39">
        <v>0</v>
      </c>
      <c r="EK39">
        <v>0</v>
      </c>
      <c r="EM39">
        <v>0</v>
      </c>
      <c r="EN39">
        <v>1</v>
      </c>
      <c r="EO39">
        <v>0</v>
      </c>
      <c r="EP39">
        <v>0</v>
      </c>
      <c r="EQ39">
        <v>0</v>
      </c>
      <c r="ER39">
        <v>0</v>
      </c>
      <c r="ES39">
        <v>0</v>
      </c>
      <c r="ET39">
        <v>0</v>
      </c>
      <c r="EU39">
        <v>0</v>
      </c>
      <c r="EV39">
        <v>0</v>
      </c>
      <c r="EW39">
        <v>0</v>
      </c>
      <c r="EX39">
        <v>0</v>
      </c>
      <c r="EY39">
        <v>0</v>
      </c>
      <c r="FB39" t="s">
        <v>274</v>
      </c>
      <c r="FC39">
        <v>1</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IZ39">
        <v>0</v>
      </c>
      <c r="JA39">
        <v>0</v>
      </c>
      <c r="JB39">
        <v>1</v>
      </c>
      <c r="JC39">
        <v>0</v>
      </c>
      <c r="JD39">
        <v>0</v>
      </c>
      <c r="JE39">
        <v>0</v>
      </c>
      <c r="JF39">
        <v>0</v>
      </c>
      <c r="JG39">
        <v>0</v>
      </c>
      <c r="JH39">
        <v>1</v>
      </c>
      <c r="JI39">
        <v>0</v>
      </c>
      <c r="JJ39">
        <v>0</v>
      </c>
      <c r="JL39">
        <v>2</v>
      </c>
      <c r="JM39" cm="1">
        <f t="array" ref="JM39">IF(OR(JN39:JQ39 &lt;&gt; ""), 1, 0)</f>
        <v>0</v>
      </c>
    </row>
    <row r="40" spans="1:277" x14ac:dyDescent="0.35">
      <c r="A40">
        <v>405336</v>
      </c>
      <c r="C40">
        <v>1</v>
      </c>
      <c r="D40" t="s">
        <v>446</v>
      </c>
      <c r="E40" t="str">
        <f>_xlfn.XLOOKUP(I40, [1]SchoolDistrictStudyWODuplicates!$K:$K, [1]SchoolDistrictStudyWODuplicates!$E:$E, "")</f>
        <v>Thomas County Schools</v>
      </c>
      <c r="G40" t="s">
        <v>447</v>
      </c>
      <c r="H40" s="5" t="e">
        <f>_xlfn.XLOOKUP(A40,#REF!,#REF!, "No")</f>
        <v>#REF!</v>
      </c>
      <c r="I40" s="7">
        <v>1304890</v>
      </c>
      <c r="J40" s="5" t="e">
        <f>_xlfn.XLOOKUP(I40,#REF!,#REF!,"Not Determined")</f>
        <v>#REF!</v>
      </c>
      <c r="K40" s="5" t="s">
        <v>445</v>
      </c>
      <c r="L40" t="s">
        <v>445</v>
      </c>
      <c r="M40" s="13" t="e">
        <f>_xlfn.XLOOKUP(I40,#REF!,#REF!, "No")</f>
        <v>#REF!</v>
      </c>
      <c r="N40" s="5" t="str">
        <f t="shared" si="11"/>
        <v>No</v>
      </c>
      <c r="O40" s="5" t="str">
        <f t="shared" si="12"/>
        <v>Yes</v>
      </c>
      <c r="P40" s="5" t="str">
        <f t="shared" si="13"/>
        <v>Yes</v>
      </c>
      <c r="Q40" s="5" t="str">
        <f t="shared" si="14"/>
        <v>Yes</v>
      </c>
      <c r="R40" s="5" t="str">
        <f t="shared" si="15"/>
        <v>Yes</v>
      </c>
      <c r="S40" s="5" t="str">
        <f t="shared" si="16"/>
        <v>Yes</v>
      </c>
      <c r="T40" s="5" t="str">
        <f t="shared" si="17"/>
        <v>Yes</v>
      </c>
      <c r="U40" s="5" t="str">
        <f t="shared" si="18"/>
        <v>Yes</v>
      </c>
      <c r="V40" s="5" t="str" cm="1">
        <f t="array" ref="V40">IF(OR(DB40:DG40 =1), "Yes", "No")</f>
        <v>No</v>
      </c>
      <c r="W40" s="5" t="str">
        <f t="shared" si="19"/>
        <v>No</v>
      </c>
      <c r="X40" s="5" t="str">
        <f t="shared" si="20"/>
        <v>No</v>
      </c>
      <c r="Y40" s="5" t="str">
        <f t="shared" si="21"/>
        <v>No</v>
      </c>
      <c r="Z40">
        <v>15</v>
      </c>
      <c r="AA40" t="s">
        <v>448</v>
      </c>
      <c r="AB40">
        <v>1</v>
      </c>
      <c r="AC40">
        <v>0</v>
      </c>
      <c r="AD40">
        <v>1</v>
      </c>
      <c r="AE40">
        <v>1</v>
      </c>
      <c r="AF40">
        <v>0</v>
      </c>
      <c r="AG40">
        <v>0</v>
      </c>
      <c r="AH40">
        <v>0</v>
      </c>
      <c r="AI40">
        <v>0</v>
      </c>
      <c r="AJ40">
        <v>0</v>
      </c>
      <c r="AK40">
        <v>1</v>
      </c>
      <c r="AM40">
        <v>1</v>
      </c>
      <c r="AN40">
        <v>1</v>
      </c>
      <c r="AO40">
        <v>1</v>
      </c>
      <c r="AP40">
        <v>3</v>
      </c>
      <c r="AQ40">
        <v>75</v>
      </c>
      <c r="AR40">
        <v>25</v>
      </c>
      <c r="AS40">
        <v>3</v>
      </c>
      <c r="AT40">
        <v>75</v>
      </c>
      <c r="AU40">
        <v>25</v>
      </c>
      <c r="AV40">
        <v>1</v>
      </c>
      <c r="AW40">
        <v>1</v>
      </c>
      <c r="AX40">
        <v>0</v>
      </c>
      <c r="AY40">
        <v>0</v>
      </c>
      <c r="AZ40">
        <v>0</v>
      </c>
      <c r="BA40">
        <v>0</v>
      </c>
      <c r="BC40">
        <v>1</v>
      </c>
      <c r="BE40">
        <v>1</v>
      </c>
      <c r="BG40">
        <v>3</v>
      </c>
      <c r="BJ40">
        <v>1</v>
      </c>
      <c r="BK40">
        <v>5</v>
      </c>
      <c r="BL40">
        <v>1</v>
      </c>
      <c r="BM40">
        <v>1</v>
      </c>
      <c r="BN40">
        <v>1</v>
      </c>
      <c r="BO40">
        <v>1</v>
      </c>
      <c r="BP40">
        <v>0</v>
      </c>
      <c r="BQ40">
        <v>0</v>
      </c>
      <c r="BR40">
        <v>0</v>
      </c>
      <c r="BS40">
        <v>0</v>
      </c>
      <c r="BT40">
        <v>0</v>
      </c>
      <c r="BV40">
        <v>0</v>
      </c>
      <c r="BW40">
        <v>0</v>
      </c>
      <c r="BX40">
        <v>1</v>
      </c>
      <c r="BY40">
        <v>0</v>
      </c>
      <c r="BZ40">
        <v>0</v>
      </c>
      <c r="CA40">
        <v>0</v>
      </c>
      <c r="CB40">
        <v>0</v>
      </c>
      <c r="CC40">
        <v>0</v>
      </c>
      <c r="CD40">
        <v>0</v>
      </c>
      <c r="CE40">
        <v>0</v>
      </c>
      <c r="CF40">
        <v>0</v>
      </c>
      <c r="CG40">
        <v>0</v>
      </c>
      <c r="CH40">
        <v>0</v>
      </c>
      <c r="CI40">
        <v>1</v>
      </c>
      <c r="CJ40">
        <v>0</v>
      </c>
      <c r="CK40">
        <v>0</v>
      </c>
      <c r="CL40">
        <v>0</v>
      </c>
      <c r="CN40">
        <v>3</v>
      </c>
      <c r="CO40">
        <v>4</v>
      </c>
      <c r="CQ40">
        <v>4</v>
      </c>
      <c r="CR40">
        <v>4</v>
      </c>
      <c r="EB40">
        <v>0</v>
      </c>
      <c r="EC40">
        <v>0</v>
      </c>
      <c r="ED40">
        <v>0</v>
      </c>
      <c r="EE40">
        <v>0</v>
      </c>
      <c r="EF40">
        <v>0</v>
      </c>
      <c r="EG40">
        <v>0</v>
      </c>
      <c r="EH40">
        <v>0</v>
      </c>
      <c r="EI40">
        <v>1</v>
      </c>
      <c r="EJ40">
        <v>1</v>
      </c>
      <c r="EK40">
        <v>0</v>
      </c>
      <c r="EL40" t="s">
        <v>449</v>
      </c>
      <c r="EM40">
        <v>0</v>
      </c>
      <c r="EN40">
        <v>0</v>
      </c>
      <c r="EO40">
        <v>0</v>
      </c>
      <c r="EP40">
        <v>0</v>
      </c>
      <c r="EQ40">
        <v>1</v>
      </c>
      <c r="ER40">
        <v>0</v>
      </c>
      <c r="ES40">
        <v>0</v>
      </c>
      <c r="ET40">
        <v>0</v>
      </c>
      <c r="EU40">
        <v>0</v>
      </c>
      <c r="EV40">
        <v>1</v>
      </c>
      <c r="EW40">
        <v>1</v>
      </c>
      <c r="EX40">
        <v>0</v>
      </c>
      <c r="EY40">
        <v>0</v>
      </c>
      <c r="HC40" t="s">
        <v>450</v>
      </c>
      <c r="HD40">
        <v>0</v>
      </c>
      <c r="HE40">
        <v>0</v>
      </c>
      <c r="HF40">
        <v>0</v>
      </c>
      <c r="HG40">
        <v>0</v>
      </c>
      <c r="HH40">
        <v>0</v>
      </c>
      <c r="HI40">
        <v>0</v>
      </c>
      <c r="HJ40">
        <v>1</v>
      </c>
      <c r="HK40">
        <v>0</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Z40">
        <v>0</v>
      </c>
      <c r="JA40">
        <v>0</v>
      </c>
      <c r="JB40">
        <v>1</v>
      </c>
      <c r="JC40">
        <v>0</v>
      </c>
      <c r="JD40">
        <v>0</v>
      </c>
      <c r="JE40">
        <v>0</v>
      </c>
      <c r="JF40">
        <v>0</v>
      </c>
      <c r="JG40">
        <v>0</v>
      </c>
      <c r="JH40">
        <v>0</v>
      </c>
      <c r="JI40">
        <v>0</v>
      </c>
      <c r="JJ40">
        <v>0</v>
      </c>
      <c r="JL40">
        <v>2</v>
      </c>
      <c r="JM40" cm="1">
        <f t="array" ref="JM40">IF(OR(JN40:JQ40 &lt;&gt; ""), 1, 0)</f>
        <v>0</v>
      </c>
    </row>
    <row r="41" spans="1:277" x14ac:dyDescent="0.35">
      <c r="A41">
        <v>405537</v>
      </c>
      <c r="C41">
        <v>1</v>
      </c>
      <c r="D41" t="s">
        <v>451</v>
      </c>
      <c r="E41" t="str">
        <f>_xlfn.XLOOKUP(I41, [1]SchoolDistrictStudyWODuplicates!$K:$K, [1]SchoolDistrictStudyWODuplicates!$E:$E, "")</f>
        <v/>
      </c>
      <c r="G41" t="s">
        <v>452</v>
      </c>
      <c r="H41" s="7">
        <v>1301650</v>
      </c>
      <c r="I41" s="7">
        <v>1301650</v>
      </c>
      <c r="J41" s="5" t="e">
        <f>_xlfn.XLOOKUP(I41,#REF!,#REF!,"Not Determined")</f>
        <v>#REF!</v>
      </c>
      <c r="K41" s="5" t="s">
        <v>445</v>
      </c>
      <c r="L41" t="s">
        <v>453</v>
      </c>
      <c r="M41" s="13" t="e">
        <f>_xlfn.XLOOKUP(I41,#REF!,#REF!, "No")</f>
        <v>#REF!</v>
      </c>
      <c r="N41" s="5" t="str">
        <f t="shared" si="11"/>
        <v>No</v>
      </c>
      <c r="O41" s="5" t="str">
        <f t="shared" si="12"/>
        <v>Yes</v>
      </c>
      <c r="P41" s="5" t="str">
        <f t="shared" si="13"/>
        <v>Yes</v>
      </c>
      <c r="Q41" s="5" t="str">
        <f t="shared" si="14"/>
        <v>Yes</v>
      </c>
      <c r="R41" s="5" t="str">
        <f t="shared" si="15"/>
        <v>No</v>
      </c>
      <c r="S41" s="5" t="str">
        <f t="shared" si="16"/>
        <v>No</v>
      </c>
      <c r="T41" s="5" t="str">
        <f t="shared" si="17"/>
        <v>No</v>
      </c>
      <c r="U41" s="5" t="str">
        <f t="shared" si="18"/>
        <v>No</v>
      </c>
      <c r="V41" s="5" t="str" cm="1">
        <f t="array" ref="V41">IF(OR(DB41:DG41 =1), "Yes", "No")</f>
        <v>No</v>
      </c>
      <c r="W41" s="5" t="str">
        <f t="shared" si="19"/>
        <v>No</v>
      </c>
      <c r="X41" s="5" t="str">
        <f t="shared" si="20"/>
        <v>No</v>
      </c>
      <c r="Y41" s="5" t="str">
        <f t="shared" si="21"/>
        <v>No</v>
      </c>
      <c r="Z41">
        <v>3</v>
      </c>
      <c r="AB41">
        <v>0</v>
      </c>
      <c r="AC41">
        <v>0</v>
      </c>
      <c r="AD41">
        <v>1</v>
      </c>
      <c r="AE41">
        <v>0</v>
      </c>
      <c r="AF41">
        <v>0</v>
      </c>
      <c r="AG41">
        <v>0</v>
      </c>
      <c r="AH41">
        <v>0</v>
      </c>
      <c r="AI41">
        <v>0</v>
      </c>
      <c r="AJ41">
        <v>0</v>
      </c>
      <c r="AK41">
        <v>1</v>
      </c>
      <c r="AM41">
        <v>1</v>
      </c>
      <c r="AN41">
        <v>1</v>
      </c>
      <c r="AO41">
        <v>0</v>
      </c>
      <c r="AP41">
        <v>18</v>
      </c>
      <c r="AQ41">
        <v>55</v>
      </c>
      <c r="AS41">
        <v>18</v>
      </c>
      <c r="AT41">
        <v>55</v>
      </c>
      <c r="AV41">
        <v>1</v>
      </c>
      <c r="AW41">
        <v>1</v>
      </c>
      <c r="AX41">
        <v>0</v>
      </c>
      <c r="AY41">
        <v>0</v>
      </c>
      <c r="AZ41">
        <v>0</v>
      </c>
      <c r="BA41">
        <v>0</v>
      </c>
      <c r="BC41">
        <v>1</v>
      </c>
      <c r="BE41">
        <v>1</v>
      </c>
      <c r="BG41">
        <v>1</v>
      </c>
      <c r="BH41">
        <v>1</v>
      </c>
      <c r="BI41">
        <v>3</v>
      </c>
      <c r="BJ41">
        <v>1</v>
      </c>
      <c r="BK41">
        <v>4</v>
      </c>
      <c r="BL41">
        <v>2</v>
      </c>
      <c r="BM41">
        <v>1</v>
      </c>
      <c r="BN41">
        <v>2</v>
      </c>
      <c r="BV41">
        <v>0</v>
      </c>
      <c r="BW41">
        <v>0</v>
      </c>
      <c r="BX41">
        <v>0</v>
      </c>
      <c r="BY41">
        <v>0</v>
      </c>
      <c r="BZ41">
        <v>1</v>
      </c>
      <c r="CA41">
        <v>1</v>
      </c>
      <c r="CB41">
        <v>0</v>
      </c>
      <c r="CC41">
        <v>0</v>
      </c>
      <c r="CD41">
        <v>0</v>
      </c>
      <c r="CE41">
        <v>0</v>
      </c>
      <c r="CF41">
        <v>0</v>
      </c>
      <c r="CG41">
        <v>0</v>
      </c>
      <c r="CH41">
        <v>0</v>
      </c>
      <c r="CI41">
        <v>1</v>
      </c>
      <c r="CJ41">
        <v>0</v>
      </c>
      <c r="CK41">
        <v>0</v>
      </c>
      <c r="CL41">
        <v>0</v>
      </c>
      <c r="JM41" cm="1">
        <f t="array" ref="JM41">IF(OR(JN41:JQ41 &lt;&gt; ""), 1, 0)</f>
        <v>0</v>
      </c>
    </row>
    <row r="42" spans="1:277" x14ac:dyDescent="0.35">
      <c r="A42">
        <v>370275</v>
      </c>
      <c r="C42">
        <v>1</v>
      </c>
      <c r="D42" t="s">
        <v>454</v>
      </c>
      <c r="E42" t="str">
        <f>_xlfn.XLOOKUP(I42, [1]SchoolDistrictStudyWODuplicates!$K:$K, [1]SchoolDistrictStudyWODuplicates!$E:$E, "")</f>
        <v/>
      </c>
      <c r="G42" t="s">
        <v>455</v>
      </c>
      <c r="H42" s="7">
        <v>1301740</v>
      </c>
      <c r="I42" s="7">
        <v>1301740</v>
      </c>
      <c r="J42" s="5" t="e">
        <f>_xlfn.XLOOKUP(I42,#REF!,#REF!,"Not Determined")</f>
        <v>#REF!</v>
      </c>
      <c r="K42" s="5" t="s">
        <v>445</v>
      </c>
      <c r="L42" t="s">
        <v>453</v>
      </c>
      <c r="M42" s="13" t="e">
        <f>_xlfn.XLOOKUP(I42,#REF!,#REF!, "No")</f>
        <v>#REF!</v>
      </c>
      <c r="N42" s="5" t="str">
        <f t="shared" si="11"/>
        <v>No</v>
      </c>
      <c r="O42" s="5" t="str">
        <f t="shared" si="12"/>
        <v>Yes</v>
      </c>
      <c r="P42" s="5" t="str">
        <f t="shared" si="13"/>
        <v>No</v>
      </c>
      <c r="Q42" s="5" t="str">
        <f t="shared" si="14"/>
        <v>No</v>
      </c>
      <c r="R42" s="5" t="str">
        <f t="shared" si="15"/>
        <v>No</v>
      </c>
      <c r="S42" s="5" t="str">
        <f t="shared" si="16"/>
        <v>Yes</v>
      </c>
      <c r="T42" s="5" t="str">
        <f t="shared" si="17"/>
        <v>No</v>
      </c>
      <c r="U42" s="5" t="str">
        <f t="shared" si="18"/>
        <v>Yes</v>
      </c>
      <c r="V42" s="5" t="str" cm="1">
        <f t="array" ref="V42">IF(OR(DB42:DG42 =1), "Yes", "No")</f>
        <v>No</v>
      </c>
      <c r="W42" s="5" t="str">
        <f t="shared" si="19"/>
        <v>Yes</v>
      </c>
      <c r="X42" s="5" t="str">
        <f t="shared" si="20"/>
        <v>No</v>
      </c>
      <c r="Y42" s="5" t="str">
        <f t="shared" si="21"/>
        <v>No</v>
      </c>
      <c r="Z42">
        <v>10</v>
      </c>
      <c r="AB42">
        <v>1</v>
      </c>
      <c r="AC42">
        <v>1</v>
      </c>
      <c r="AD42">
        <v>1</v>
      </c>
      <c r="AE42">
        <v>0</v>
      </c>
      <c r="AF42">
        <v>0</v>
      </c>
      <c r="AG42">
        <v>0</v>
      </c>
      <c r="AH42">
        <v>0</v>
      </c>
      <c r="AI42">
        <v>0</v>
      </c>
      <c r="AJ42">
        <v>0</v>
      </c>
      <c r="AK42">
        <v>1</v>
      </c>
      <c r="AM42">
        <v>1</v>
      </c>
      <c r="AN42">
        <v>1</v>
      </c>
      <c r="AO42">
        <v>0</v>
      </c>
      <c r="AP42">
        <v>24</v>
      </c>
      <c r="AQ42">
        <v>72</v>
      </c>
      <c r="AS42">
        <v>24</v>
      </c>
      <c r="AT42">
        <v>72</v>
      </c>
      <c r="AV42">
        <v>1</v>
      </c>
      <c r="AW42">
        <v>0</v>
      </c>
      <c r="AX42">
        <v>0</v>
      </c>
      <c r="AY42">
        <v>1</v>
      </c>
      <c r="AZ42">
        <v>0</v>
      </c>
      <c r="BA42">
        <v>0</v>
      </c>
      <c r="BC42">
        <v>1</v>
      </c>
      <c r="BE42">
        <v>3</v>
      </c>
      <c r="BG42">
        <v>1</v>
      </c>
      <c r="BH42">
        <v>3</v>
      </c>
      <c r="BI42">
        <v>5</v>
      </c>
      <c r="BJ42">
        <v>2</v>
      </c>
      <c r="BL42">
        <v>2</v>
      </c>
      <c r="BM42">
        <v>3</v>
      </c>
      <c r="BN42">
        <v>2</v>
      </c>
      <c r="BV42">
        <v>0</v>
      </c>
      <c r="BW42">
        <v>0</v>
      </c>
      <c r="BX42">
        <v>0</v>
      </c>
      <c r="BY42">
        <v>0</v>
      </c>
      <c r="BZ42">
        <v>0</v>
      </c>
      <c r="CA42">
        <v>0</v>
      </c>
      <c r="CB42">
        <v>0</v>
      </c>
      <c r="CC42">
        <v>0</v>
      </c>
      <c r="CD42">
        <v>0</v>
      </c>
      <c r="CE42">
        <v>0</v>
      </c>
      <c r="CF42">
        <v>0</v>
      </c>
      <c r="CG42">
        <v>1</v>
      </c>
      <c r="CH42">
        <v>0</v>
      </c>
      <c r="CI42">
        <v>0</v>
      </c>
      <c r="CJ42">
        <v>0</v>
      </c>
      <c r="CK42">
        <v>0</v>
      </c>
      <c r="CL42">
        <v>0</v>
      </c>
      <c r="CN42">
        <v>16</v>
      </c>
      <c r="CO42">
        <v>3</v>
      </c>
      <c r="CP42" t="s">
        <v>357</v>
      </c>
      <c r="CQ42">
        <v>6</v>
      </c>
      <c r="CR42">
        <v>4</v>
      </c>
      <c r="EB42">
        <v>1</v>
      </c>
      <c r="EC42">
        <v>0</v>
      </c>
      <c r="ED42">
        <v>0</v>
      </c>
      <c r="EE42">
        <v>0</v>
      </c>
      <c r="EF42">
        <v>0</v>
      </c>
      <c r="EG42">
        <v>0</v>
      </c>
      <c r="EH42">
        <v>0</v>
      </c>
      <c r="EI42">
        <v>0</v>
      </c>
      <c r="EJ42">
        <v>0</v>
      </c>
      <c r="EK42">
        <v>0</v>
      </c>
      <c r="EM42">
        <v>0</v>
      </c>
      <c r="EN42">
        <v>0</v>
      </c>
      <c r="EO42">
        <v>0</v>
      </c>
      <c r="EP42">
        <v>0</v>
      </c>
      <c r="EQ42">
        <v>0</v>
      </c>
      <c r="ER42">
        <v>0</v>
      </c>
      <c r="ES42">
        <v>0</v>
      </c>
      <c r="ET42">
        <v>0</v>
      </c>
      <c r="EU42">
        <v>0</v>
      </c>
      <c r="EV42">
        <v>0</v>
      </c>
      <c r="EW42">
        <v>1</v>
      </c>
      <c r="EX42">
        <v>0</v>
      </c>
      <c r="EY42">
        <v>0</v>
      </c>
      <c r="IZ42">
        <v>0</v>
      </c>
      <c r="JA42">
        <v>0</v>
      </c>
      <c r="JB42">
        <v>1</v>
      </c>
      <c r="JC42">
        <v>0</v>
      </c>
      <c r="JD42">
        <v>0</v>
      </c>
      <c r="JE42">
        <v>1</v>
      </c>
      <c r="JF42">
        <v>0</v>
      </c>
      <c r="JG42">
        <v>0</v>
      </c>
      <c r="JH42">
        <v>0</v>
      </c>
      <c r="JI42">
        <v>0</v>
      </c>
      <c r="JJ42">
        <v>0</v>
      </c>
      <c r="JL42">
        <v>1</v>
      </c>
      <c r="JM42" cm="1">
        <f t="array" ref="JM42">IF(OR(JN42:JQ42 &lt;&gt; ""), 1, 0)</f>
        <v>1</v>
      </c>
      <c r="JN42">
        <v>1</v>
      </c>
      <c r="JO42">
        <v>0</v>
      </c>
      <c r="JP42">
        <v>0</v>
      </c>
      <c r="JQ42">
        <v>0</v>
      </c>
    </row>
    <row r="43" spans="1:277" x14ac:dyDescent="0.35">
      <c r="A43">
        <v>396940</v>
      </c>
      <c r="C43">
        <v>1</v>
      </c>
      <c r="D43" t="s">
        <v>456</v>
      </c>
      <c r="E43" t="str">
        <f>_xlfn.XLOOKUP(I43, [1]SchoolDistrictStudyWODuplicates!$K:$K, [1]SchoolDistrictStudyWODuplicates!$E:$E, "")</f>
        <v/>
      </c>
      <c r="G43" t="s">
        <v>457</v>
      </c>
      <c r="H43" s="5" t="e">
        <f>_xlfn.XLOOKUP(A43,#REF!,#REF!, "No")</f>
        <v>#REF!</v>
      </c>
      <c r="I43" s="7">
        <v>1301860</v>
      </c>
      <c r="J43" s="5" t="e">
        <f>_xlfn.XLOOKUP(I43,#REF!,#REF!,"Not Determined")</f>
        <v>#REF!</v>
      </c>
      <c r="K43" s="5" t="s">
        <v>445</v>
      </c>
      <c r="L43" t="s">
        <v>453</v>
      </c>
      <c r="M43" s="13" t="e">
        <f>_xlfn.XLOOKUP(I43,#REF!,#REF!, "No")</f>
        <v>#REF!</v>
      </c>
      <c r="N43" s="5" t="str">
        <f t="shared" si="11"/>
        <v>No</v>
      </c>
      <c r="O43" s="5" t="str">
        <f t="shared" si="12"/>
        <v>Yes</v>
      </c>
      <c r="P43" s="5" t="str">
        <f t="shared" si="13"/>
        <v>Yes</v>
      </c>
      <c r="Q43" s="5" t="str">
        <f t="shared" si="14"/>
        <v>Yes</v>
      </c>
      <c r="R43" s="5" t="str">
        <f t="shared" si="15"/>
        <v>Yes</v>
      </c>
      <c r="S43" s="5" t="str">
        <f t="shared" si="16"/>
        <v>No</v>
      </c>
      <c r="T43" s="5" t="str">
        <f t="shared" si="17"/>
        <v>Yes</v>
      </c>
      <c r="U43" s="5" t="str">
        <f t="shared" si="18"/>
        <v>No</v>
      </c>
      <c r="V43" s="5" t="str" cm="1">
        <f t="array" ref="V43">IF(OR(DB43:DG43 =1), "Yes", "No")</f>
        <v>No</v>
      </c>
      <c r="W43" s="5" t="str">
        <f t="shared" si="19"/>
        <v>No</v>
      </c>
      <c r="X43" s="5" t="str">
        <f t="shared" si="20"/>
        <v>No</v>
      </c>
      <c r="Y43" s="5" t="str">
        <f t="shared" si="21"/>
        <v>No</v>
      </c>
      <c r="Z43">
        <v>8</v>
      </c>
      <c r="AB43">
        <v>0</v>
      </c>
      <c r="AC43">
        <v>0</v>
      </c>
      <c r="AD43">
        <v>1</v>
      </c>
      <c r="AE43">
        <v>0</v>
      </c>
      <c r="AF43">
        <v>0</v>
      </c>
      <c r="AG43">
        <v>0</v>
      </c>
      <c r="AH43">
        <v>0</v>
      </c>
      <c r="AI43">
        <v>0</v>
      </c>
      <c r="AJ43">
        <v>0</v>
      </c>
      <c r="AK43">
        <v>1</v>
      </c>
      <c r="AM43">
        <v>1</v>
      </c>
      <c r="AN43">
        <v>0</v>
      </c>
      <c r="AO43">
        <v>0</v>
      </c>
      <c r="AP43">
        <v>10</v>
      </c>
      <c r="AS43">
        <v>10</v>
      </c>
      <c r="AV43">
        <v>1</v>
      </c>
      <c r="AW43">
        <v>1</v>
      </c>
      <c r="AX43">
        <v>0</v>
      </c>
      <c r="AY43">
        <v>0</v>
      </c>
      <c r="AZ43">
        <v>0</v>
      </c>
      <c r="BA43">
        <v>0</v>
      </c>
      <c r="BC43">
        <v>2</v>
      </c>
      <c r="BE43">
        <v>1</v>
      </c>
      <c r="BG43">
        <v>1</v>
      </c>
      <c r="BH43">
        <v>1</v>
      </c>
      <c r="BI43">
        <v>5</v>
      </c>
      <c r="BJ43">
        <v>2</v>
      </c>
      <c r="BL43">
        <v>1</v>
      </c>
      <c r="BM43">
        <v>1</v>
      </c>
      <c r="BN43">
        <v>1</v>
      </c>
      <c r="BO43">
        <v>1</v>
      </c>
      <c r="BP43">
        <v>0</v>
      </c>
      <c r="BQ43">
        <v>0</v>
      </c>
      <c r="BR43">
        <v>0</v>
      </c>
      <c r="BS43">
        <v>1</v>
      </c>
      <c r="BT43">
        <v>0</v>
      </c>
      <c r="BV43">
        <v>1</v>
      </c>
      <c r="BW43">
        <v>0</v>
      </c>
      <c r="BX43">
        <v>0</v>
      </c>
      <c r="BY43">
        <v>0</v>
      </c>
      <c r="BZ43">
        <v>0</v>
      </c>
      <c r="CA43">
        <v>0</v>
      </c>
      <c r="CB43">
        <v>0</v>
      </c>
      <c r="CC43">
        <v>0</v>
      </c>
      <c r="CD43">
        <v>1</v>
      </c>
      <c r="CE43">
        <v>0</v>
      </c>
      <c r="CF43">
        <v>0</v>
      </c>
      <c r="CG43">
        <v>0</v>
      </c>
      <c r="CH43">
        <v>0</v>
      </c>
      <c r="CI43">
        <v>0</v>
      </c>
      <c r="CJ43">
        <v>1</v>
      </c>
      <c r="CK43">
        <v>0</v>
      </c>
      <c r="CL43">
        <v>0</v>
      </c>
      <c r="CN43">
        <v>17</v>
      </c>
      <c r="CO43">
        <v>4</v>
      </c>
      <c r="CQ43">
        <v>3</v>
      </c>
      <c r="JM43" cm="1">
        <f t="array" ref="JM43">IF(OR(JN43:JQ43 &lt;&gt; ""), 1, 0)</f>
        <v>0</v>
      </c>
    </row>
    <row r="44" spans="1:277" x14ac:dyDescent="0.35">
      <c r="A44">
        <v>373188</v>
      </c>
      <c r="C44">
        <v>1</v>
      </c>
      <c r="D44" t="s">
        <v>458</v>
      </c>
      <c r="E44" t="str">
        <f>_xlfn.XLOOKUP(I44, [1]SchoolDistrictStudyWODuplicates!$K:$K, [1]SchoolDistrictStudyWODuplicates!$E:$E, "")</f>
        <v>Gwinnett County Public Schools</v>
      </c>
      <c r="G44" t="s">
        <v>444</v>
      </c>
      <c r="H44" s="7">
        <v>1302550</v>
      </c>
      <c r="I44" s="7">
        <v>1302550</v>
      </c>
      <c r="J44" s="5" t="e">
        <f>_xlfn.XLOOKUP(I44,#REF!,#REF!,"Not Determined")</f>
        <v>#REF!</v>
      </c>
      <c r="K44" s="5" t="s">
        <v>445</v>
      </c>
      <c r="L44" t="s">
        <v>453</v>
      </c>
      <c r="M44" s="13" t="e">
        <f>_xlfn.XLOOKUP(I44,#REF!,#REF!, "No")</f>
        <v>#REF!</v>
      </c>
      <c r="N44" s="5" t="str">
        <f t="shared" si="11"/>
        <v>No</v>
      </c>
      <c r="O44" s="5" t="str">
        <f t="shared" si="12"/>
        <v>Yes</v>
      </c>
      <c r="P44" s="5" t="str">
        <f t="shared" si="13"/>
        <v>Yes</v>
      </c>
      <c r="Q44" s="5" t="str">
        <f t="shared" si="14"/>
        <v>Yes</v>
      </c>
      <c r="R44" s="5" t="str">
        <f t="shared" si="15"/>
        <v>No</v>
      </c>
      <c r="S44" s="5" t="str">
        <f t="shared" si="16"/>
        <v>No</v>
      </c>
      <c r="T44" s="5" t="str">
        <f t="shared" si="17"/>
        <v>No</v>
      </c>
      <c r="U44" s="5" t="str">
        <f t="shared" si="18"/>
        <v>No</v>
      </c>
      <c r="V44" s="5" t="str" cm="1">
        <f t="array" ref="V44">IF(OR(DB44:DG44 =1), "Yes", "No")</f>
        <v>No</v>
      </c>
      <c r="W44" s="5" t="str">
        <f t="shared" si="19"/>
        <v>No</v>
      </c>
      <c r="X44" s="5" t="str">
        <f t="shared" si="20"/>
        <v>No</v>
      </c>
      <c r="Y44" s="5" t="str">
        <f t="shared" si="21"/>
        <v>No</v>
      </c>
      <c r="Z44">
        <v>6</v>
      </c>
      <c r="AB44">
        <v>1</v>
      </c>
      <c r="AC44">
        <v>0</v>
      </c>
      <c r="AD44">
        <v>1</v>
      </c>
      <c r="AE44">
        <v>0</v>
      </c>
      <c r="AF44">
        <v>0</v>
      </c>
      <c r="AG44">
        <v>0</v>
      </c>
      <c r="AH44">
        <v>0</v>
      </c>
      <c r="AI44">
        <v>0</v>
      </c>
      <c r="AJ44">
        <v>0</v>
      </c>
      <c r="AK44">
        <v>1</v>
      </c>
      <c r="AM44">
        <v>0</v>
      </c>
      <c r="AN44">
        <v>1</v>
      </c>
      <c r="AO44">
        <v>0</v>
      </c>
      <c r="AQ44">
        <v>1980</v>
      </c>
      <c r="AT44">
        <v>1980</v>
      </c>
      <c r="AV44">
        <v>1</v>
      </c>
      <c r="AW44">
        <v>0</v>
      </c>
      <c r="AX44">
        <v>0</v>
      </c>
      <c r="AY44">
        <v>0</v>
      </c>
      <c r="AZ44">
        <v>0</v>
      </c>
      <c r="BA44">
        <v>0</v>
      </c>
      <c r="BC44">
        <v>1</v>
      </c>
      <c r="BE44">
        <v>1</v>
      </c>
      <c r="BG44">
        <v>1</v>
      </c>
      <c r="BH44">
        <v>1</v>
      </c>
      <c r="BI44">
        <v>5</v>
      </c>
      <c r="BJ44">
        <v>1</v>
      </c>
      <c r="BK44">
        <v>6</v>
      </c>
      <c r="BL44">
        <v>2</v>
      </c>
      <c r="BM44">
        <v>1</v>
      </c>
      <c r="BN44">
        <v>1</v>
      </c>
      <c r="BO44">
        <v>0</v>
      </c>
      <c r="BP44">
        <v>0</v>
      </c>
      <c r="BQ44">
        <v>0</v>
      </c>
      <c r="BR44">
        <v>0</v>
      </c>
      <c r="BS44">
        <v>1</v>
      </c>
      <c r="BT44">
        <v>0</v>
      </c>
      <c r="BV44">
        <v>0</v>
      </c>
      <c r="BW44">
        <v>0</v>
      </c>
      <c r="BX44">
        <v>1</v>
      </c>
      <c r="BY44">
        <v>0</v>
      </c>
      <c r="BZ44">
        <v>0</v>
      </c>
      <c r="CA44">
        <v>0</v>
      </c>
      <c r="CB44">
        <v>0</v>
      </c>
      <c r="CC44">
        <v>0</v>
      </c>
      <c r="CD44">
        <v>1</v>
      </c>
      <c r="CE44">
        <v>0</v>
      </c>
      <c r="CF44">
        <v>1</v>
      </c>
      <c r="CG44">
        <v>0</v>
      </c>
      <c r="CH44">
        <v>0</v>
      </c>
      <c r="CI44">
        <v>1</v>
      </c>
      <c r="CJ44">
        <v>0</v>
      </c>
      <c r="CK44">
        <v>0</v>
      </c>
      <c r="CL44">
        <v>0</v>
      </c>
      <c r="CN44">
        <v>14</v>
      </c>
      <c r="CO44">
        <v>4</v>
      </c>
      <c r="CQ44">
        <v>6</v>
      </c>
      <c r="CR44">
        <v>6</v>
      </c>
      <c r="EB44">
        <v>0</v>
      </c>
      <c r="EC44">
        <v>0</v>
      </c>
      <c r="ED44">
        <v>0</v>
      </c>
      <c r="EE44">
        <v>0</v>
      </c>
      <c r="EF44">
        <v>0</v>
      </c>
      <c r="EG44">
        <v>0</v>
      </c>
      <c r="EH44">
        <v>0</v>
      </c>
      <c r="EI44">
        <v>0</v>
      </c>
      <c r="EJ44">
        <v>0</v>
      </c>
      <c r="EK44">
        <v>1</v>
      </c>
      <c r="EM44">
        <v>0</v>
      </c>
      <c r="EN44">
        <v>0</v>
      </c>
      <c r="EO44">
        <v>0</v>
      </c>
      <c r="EP44">
        <v>0</v>
      </c>
      <c r="EQ44">
        <v>0</v>
      </c>
      <c r="ER44">
        <v>0</v>
      </c>
      <c r="ES44">
        <v>0</v>
      </c>
      <c r="ET44">
        <v>0</v>
      </c>
      <c r="EU44">
        <v>0</v>
      </c>
      <c r="EV44">
        <v>0</v>
      </c>
      <c r="EW44">
        <v>1</v>
      </c>
      <c r="EX44">
        <v>0</v>
      </c>
      <c r="EY44">
        <v>0</v>
      </c>
      <c r="IZ44">
        <v>0</v>
      </c>
      <c r="JA44">
        <v>0</v>
      </c>
      <c r="JB44">
        <v>0</v>
      </c>
      <c r="JC44">
        <v>0</v>
      </c>
      <c r="JD44">
        <v>0</v>
      </c>
      <c r="JE44">
        <v>0</v>
      </c>
      <c r="JF44">
        <v>0</v>
      </c>
      <c r="JG44">
        <v>0</v>
      </c>
      <c r="JH44">
        <v>0</v>
      </c>
      <c r="JI44">
        <v>0</v>
      </c>
      <c r="JJ44">
        <v>1</v>
      </c>
      <c r="JL44">
        <v>2</v>
      </c>
      <c r="JM44" cm="1">
        <f t="array" ref="JM44">IF(OR(JN44:JQ44 &lt;&gt; ""), 1, 0)</f>
        <v>0</v>
      </c>
    </row>
    <row r="45" spans="1:277" x14ac:dyDescent="0.35">
      <c r="A45">
        <v>376471</v>
      </c>
      <c r="C45">
        <v>1</v>
      </c>
      <c r="D45" t="s">
        <v>459</v>
      </c>
      <c r="E45" t="str">
        <f>_xlfn.XLOOKUP(I45, [1]SchoolDistrictStudyWODuplicates!$K:$K, [1]SchoolDistrictStudyWODuplicates!$E:$E, "")</f>
        <v/>
      </c>
      <c r="G45" t="s">
        <v>460</v>
      </c>
      <c r="H45" s="5" t="e">
        <f>_xlfn.XLOOKUP(A45,#REF!,#REF!, "No")</f>
        <v>#REF!</v>
      </c>
      <c r="I45" s="7">
        <v>1304620</v>
      </c>
      <c r="J45" s="5" t="e">
        <f>_xlfn.XLOOKUP(I45,#REF!,#REF!,"Not Determined")</f>
        <v>#REF!</v>
      </c>
      <c r="K45" s="5" t="s">
        <v>445</v>
      </c>
      <c r="L45" t="s">
        <v>453</v>
      </c>
      <c r="M45" s="13" t="e">
        <f>_xlfn.XLOOKUP(I45,#REF!,#REF!, "No")</f>
        <v>#REF!</v>
      </c>
      <c r="N45" s="5" t="str">
        <f t="shared" si="11"/>
        <v>No</v>
      </c>
      <c r="O45" s="5" t="str">
        <f t="shared" si="12"/>
        <v>Yes</v>
      </c>
      <c r="P45" s="5" t="str">
        <f t="shared" si="13"/>
        <v>Yes</v>
      </c>
      <c r="Q45" s="5" t="str">
        <f t="shared" si="14"/>
        <v>Yes</v>
      </c>
      <c r="R45" s="5" t="str">
        <f t="shared" si="15"/>
        <v>Yes</v>
      </c>
      <c r="S45" s="5" t="str">
        <f t="shared" si="16"/>
        <v>Yes</v>
      </c>
      <c r="T45" s="5" t="str">
        <f t="shared" si="17"/>
        <v>Yes</v>
      </c>
      <c r="U45" s="5" t="str">
        <f t="shared" si="18"/>
        <v>Yes</v>
      </c>
      <c r="V45" s="5" t="str" cm="1">
        <f t="array" ref="V45">IF(OR(DB45:DG45 =1), "Yes", "No")</f>
        <v>No</v>
      </c>
      <c r="W45" s="5" t="str">
        <f t="shared" si="19"/>
        <v>No</v>
      </c>
      <c r="X45" s="5" t="str">
        <f t="shared" si="20"/>
        <v>No</v>
      </c>
      <c r="Y45" s="5" t="str">
        <f t="shared" si="21"/>
        <v>No</v>
      </c>
      <c r="Z45">
        <v>15</v>
      </c>
      <c r="AA45" t="s">
        <v>461</v>
      </c>
      <c r="AB45">
        <v>1</v>
      </c>
      <c r="AC45">
        <v>0</v>
      </c>
      <c r="AD45">
        <v>1</v>
      </c>
      <c r="AE45">
        <v>0</v>
      </c>
      <c r="AF45">
        <v>0</v>
      </c>
      <c r="AG45">
        <v>0</v>
      </c>
      <c r="AH45">
        <v>0</v>
      </c>
      <c r="AI45">
        <v>0</v>
      </c>
      <c r="AJ45">
        <v>1</v>
      </c>
      <c r="AK45">
        <v>1</v>
      </c>
      <c r="AM45">
        <v>1</v>
      </c>
      <c r="AN45">
        <v>1</v>
      </c>
      <c r="AO45">
        <v>1</v>
      </c>
      <c r="AP45">
        <v>4</v>
      </c>
      <c r="AQ45">
        <v>47</v>
      </c>
      <c r="AR45">
        <v>7</v>
      </c>
      <c r="AS45">
        <v>4</v>
      </c>
      <c r="AT45">
        <v>47</v>
      </c>
      <c r="AU45">
        <v>7</v>
      </c>
      <c r="AV45">
        <v>1</v>
      </c>
      <c r="AW45">
        <v>1</v>
      </c>
      <c r="AX45">
        <v>0</v>
      </c>
      <c r="AY45">
        <v>1</v>
      </c>
      <c r="AZ45">
        <v>0</v>
      </c>
      <c r="BA45">
        <v>0</v>
      </c>
      <c r="BC45">
        <v>4</v>
      </c>
      <c r="BE45">
        <v>1</v>
      </c>
      <c r="BG45">
        <v>1</v>
      </c>
      <c r="BH45">
        <v>1</v>
      </c>
      <c r="BI45">
        <v>1</v>
      </c>
      <c r="BJ45">
        <v>2</v>
      </c>
      <c r="BL45">
        <v>2</v>
      </c>
      <c r="BM45">
        <v>1</v>
      </c>
      <c r="BN45">
        <v>1</v>
      </c>
      <c r="BO45">
        <v>1</v>
      </c>
      <c r="BP45">
        <v>0</v>
      </c>
      <c r="BQ45">
        <v>0</v>
      </c>
      <c r="BR45">
        <v>0</v>
      </c>
      <c r="BS45">
        <v>0</v>
      </c>
      <c r="BT45">
        <v>0</v>
      </c>
      <c r="BV45">
        <v>1</v>
      </c>
      <c r="BW45">
        <v>1</v>
      </c>
      <c r="BX45">
        <v>1</v>
      </c>
      <c r="BY45">
        <v>0</v>
      </c>
      <c r="BZ45">
        <v>1</v>
      </c>
      <c r="CA45">
        <v>1</v>
      </c>
      <c r="CB45">
        <v>0</v>
      </c>
      <c r="CC45">
        <v>0</v>
      </c>
      <c r="CD45">
        <v>1</v>
      </c>
      <c r="CE45">
        <v>0</v>
      </c>
      <c r="CF45">
        <v>0</v>
      </c>
      <c r="CG45">
        <v>0</v>
      </c>
      <c r="CH45">
        <v>0</v>
      </c>
      <c r="CI45">
        <v>1</v>
      </c>
      <c r="CJ45">
        <v>0</v>
      </c>
      <c r="CK45">
        <v>0</v>
      </c>
      <c r="CL45">
        <v>0</v>
      </c>
      <c r="CN45">
        <v>3</v>
      </c>
      <c r="CO45">
        <v>4</v>
      </c>
      <c r="CQ45">
        <v>4</v>
      </c>
      <c r="CR45">
        <v>3</v>
      </c>
      <c r="EB45">
        <v>0</v>
      </c>
      <c r="EC45">
        <v>0</v>
      </c>
      <c r="ED45">
        <v>1</v>
      </c>
      <c r="EE45">
        <v>0</v>
      </c>
      <c r="EF45">
        <v>0</v>
      </c>
      <c r="EG45">
        <v>1</v>
      </c>
      <c r="EH45">
        <v>0</v>
      </c>
      <c r="EI45">
        <v>0</v>
      </c>
      <c r="EJ45">
        <v>0</v>
      </c>
      <c r="EK45">
        <v>0</v>
      </c>
      <c r="EM45">
        <v>0</v>
      </c>
      <c r="EN45">
        <v>1</v>
      </c>
      <c r="EO45">
        <v>0</v>
      </c>
      <c r="EP45">
        <v>1</v>
      </c>
      <c r="EQ45">
        <v>1</v>
      </c>
      <c r="ER45">
        <v>0</v>
      </c>
      <c r="ES45">
        <v>0</v>
      </c>
      <c r="ET45">
        <v>0</v>
      </c>
      <c r="EU45">
        <v>0</v>
      </c>
      <c r="EV45">
        <v>1</v>
      </c>
      <c r="EW45">
        <v>1</v>
      </c>
      <c r="EX45">
        <v>0</v>
      </c>
      <c r="EY45">
        <v>0</v>
      </c>
      <c r="FB45" t="s">
        <v>462</v>
      </c>
      <c r="FC45">
        <v>1</v>
      </c>
      <c r="FD45">
        <v>1</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HC45" t="s">
        <v>463</v>
      </c>
      <c r="HD45">
        <v>0</v>
      </c>
      <c r="HE45">
        <v>0</v>
      </c>
      <c r="HF45">
        <v>0</v>
      </c>
      <c r="HG45">
        <v>0</v>
      </c>
      <c r="HH45">
        <v>0</v>
      </c>
      <c r="HI45">
        <v>0</v>
      </c>
      <c r="HJ45">
        <v>1</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Z45">
        <v>1</v>
      </c>
      <c r="JA45">
        <v>0</v>
      </c>
      <c r="JB45">
        <v>1</v>
      </c>
      <c r="JC45">
        <v>0</v>
      </c>
      <c r="JD45">
        <v>0</v>
      </c>
      <c r="JE45">
        <v>0</v>
      </c>
      <c r="JF45">
        <v>0</v>
      </c>
      <c r="JG45">
        <v>0</v>
      </c>
      <c r="JH45">
        <v>0</v>
      </c>
      <c r="JI45">
        <v>0</v>
      </c>
      <c r="JJ45">
        <v>0</v>
      </c>
      <c r="JL45">
        <v>2</v>
      </c>
      <c r="JM45" cm="1">
        <f t="array" ref="JM45">IF(OR(JN45:JQ45 &lt;&gt; ""), 1, 0)</f>
        <v>0</v>
      </c>
    </row>
    <row r="46" spans="1:277" x14ac:dyDescent="0.35">
      <c r="A46">
        <v>370582</v>
      </c>
      <c r="C46">
        <v>1</v>
      </c>
      <c r="D46" t="s">
        <v>464</v>
      </c>
      <c r="E46" t="str">
        <f>_xlfn.XLOOKUP(I46, [1]SchoolDistrictStudyWODuplicates!$K:$K, [1]SchoolDistrictStudyWODuplicates!$E:$E, "")</f>
        <v>BONDURANTFARRAR CMTY SCH</v>
      </c>
      <c r="G46" t="s">
        <v>465</v>
      </c>
      <c r="H46" s="7">
        <v>1905070</v>
      </c>
      <c r="I46" s="7">
        <v>1905070</v>
      </c>
      <c r="J46" s="5" t="e">
        <f>_xlfn.XLOOKUP(I46,#REF!,#REF!,"Not Determined")</f>
        <v>#REF!</v>
      </c>
      <c r="K46" s="5" t="s">
        <v>466</v>
      </c>
      <c r="L46" t="s">
        <v>466</v>
      </c>
      <c r="M46" s="13" t="e">
        <f>_xlfn.XLOOKUP(I46,#REF!,#REF!, "No")</f>
        <v>#REF!</v>
      </c>
      <c r="N46" s="5" t="str">
        <f t="shared" si="11"/>
        <v>No</v>
      </c>
      <c r="O46" s="5" t="str">
        <f t="shared" si="12"/>
        <v>Yes</v>
      </c>
      <c r="P46" s="5" t="str">
        <f t="shared" si="13"/>
        <v>Yes</v>
      </c>
      <c r="Q46" s="5" t="str">
        <f t="shared" si="14"/>
        <v>Yes</v>
      </c>
      <c r="R46" s="5" t="str">
        <f t="shared" si="15"/>
        <v>Yes</v>
      </c>
      <c r="S46" s="5" t="str">
        <f t="shared" si="16"/>
        <v>Yes</v>
      </c>
      <c r="T46" s="5" t="str">
        <f t="shared" si="17"/>
        <v>No</v>
      </c>
      <c r="U46" s="5" t="str">
        <f t="shared" si="18"/>
        <v>No</v>
      </c>
      <c r="V46" s="5" t="str" cm="1">
        <f t="array" ref="V46">IF(OR(DB46:DG46 =1), "Yes", "No")</f>
        <v>No</v>
      </c>
      <c r="W46" s="5" t="str">
        <f t="shared" si="19"/>
        <v>No</v>
      </c>
      <c r="X46" s="5" t="str">
        <f t="shared" si="20"/>
        <v>No</v>
      </c>
      <c r="Y46" s="5" t="str">
        <f t="shared" si="21"/>
        <v>No</v>
      </c>
      <c r="Z46">
        <v>3</v>
      </c>
      <c r="AB46">
        <v>1</v>
      </c>
      <c r="AC46">
        <v>0</v>
      </c>
      <c r="AD46">
        <v>1</v>
      </c>
      <c r="AE46">
        <v>0</v>
      </c>
      <c r="AF46">
        <v>0</v>
      </c>
      <c r="AG46">
        <v>0</v>
      </c>
      <c r="AH46">
        <v>0</v>
      </c>
      <c r="AI46">
        <v>0</v>
      </c>
      <c r="AJ46">
        <v>0</v>
      </c>
      <c r="AK46">
        <v>1</v>
      </c>
      <c r="AM46">
        <v>1</v>
      </c>
      <c r="AN46">
        <v>1</v>
      </c>
      <c r="AO46">
        <v>0</v>
      </c>
      <c r="AP46">
        <v>2</v>
      </c>
      <c r="AQ46">
        <v>21</v>
      </c>
      <c r="AS46">
        <v>2</v>
      </c>
      <c r="AT46">
        <v>21</v>
      </c>
      <c r="AV46">
        <v>1</v>
      </c>
      <c r="AW46">
        <v>1</v>
      </c>
      <c r="AX46">
        <v>0</v>
      </c>
      <c r="AY46">
        <v>0</v>
      </c>
      <c r="AZ46">
        <v>0</v>
      </c>
      <c r="BA46">
        <v>0</v>
      </c>
      <c r="BC46">
        <v>1</v>
      </c>
      <c r="BE46">
        <v>1</v>
      </c>
      <c r="BG46">
        <v>1</v>
      </c>
      <c r="BH46">
        <v>1</v>
      </c>
      <c r="BI46">
        <v>3</v>
      </c>
      <c r="BJ46">
        <v>2</v>
      </c>
      <c r="BL46">
        <v>2</v>
      </c>
      <c r="BM46">
        <v>1</v>
      </c>
      <c r="BN46">
        <v>1</v>
      </c>
      <c r="BO46">
        <v>0</v>
      </c>
      <c r="BP46">
        <v>0</v>
      </c>
      <c r="BQ46">
        <v>0</v>
      </c>
      <c r="BR46">
        <v>0</v>
      </c>
      <c r="BS46">
        <v>0</v>
      </c>
      <c r="BT46">
        <v>1</v>
      </c>
      <c r="BU46" t="s">
        <v>467</v>
      </c>
      <c r="BV46">
        <v>1</v>
      </c>
      <c r="BW46">
        <v>0</v>
      </c>
      <c r="BX46">
        <v>0</v>
      </c>
      <c r="BY46">
        <v>1</v>
      </c>
      <c r="BZ46">
        <v>0</v>
      </c>
      <c r="CA46">
        <v>0</v>
      </c>
      <c r="CB46">
        <v>0</v>
      </c>
      <c r="CC46">
        <v>0</v>
      </c>
      <c r="CD46">
        <v>1</v>
      </c>
      <c r="CE46">
        <v>1</v>
      </c>
      <c r="CF46">
        <v>0</v>
      </c>
      <c r="CG46">
        <v>0</v>
      </c>
      <c r="CH46">
        <v>0</v>
      </c>
      <c r="CI46">
        <v>1</v>
      </c>
      <c r="CJ46">
        <v>0</v>
      </c>
      <c r="CK46">
        <v>0</v>
      </c>
      <c r="CL46">
        <v>0</v>
      </c>
      <c r="CN46">
        <v>4</v>
      </c>
      <c r="CO46">
        <v>4</v>
      </c>
      <c r="CQ46">
        <v>2</v>
      </c>
      <c r="CR46">
        <v>2</v>
      </c>
      <c r="EB46">
        <v>0</v>
      </c>
      <c r="EC46">
        <v>0</v>
      </c>
      <c r="ED46">
        <v>0</v>
      </c>
      <c r="EE46">
        <v>0</v>
      </c>
      <c r="EF46">
        <v>0</v>
      </c>
      <c r="EG46">
        <v>1</v>
      </c>
      <c r="EH46">
        <v>0</v>
      </c>
      <c r="EI46">
        <v>1</v>
      </c>
      <c r="EJ46">
        <v>1</v>
      </c>
      <c r="EK46">
        <v>0</v>
      </c>
      <c r="EL46" t="s">
        <v>468</v>
      </c>
      <c r="EM46">
        <v>0</v>
      </c>
      <c r="EN46">
        <v>1</v>
      </c>
      <c r="EO46">
        <v>0</v>
      </c>
      <c r="EP46">
        <v>0</v>
      </c>
      <c r="EQ46">
        <v>1</v>
      </c>
      <c r="ER46">
        <v>0</v>
      </c>
      <c r="ES46">
        <v>0</v>
      </c>
      <c r="ET46">
        <v>0</v>
      </c>
      <c r="EU46">
        <v>0</v>
      </c>
      <c r="EV46">
        <v>1</v>
      </c>
      <c r="EW46">
        <v>1</v>
      </c>
      <c r="EX46">
        <v>0</v>
      </c>
      <c r="EY46">
        <v>0</v>
      </c>
      <c r="FB46" t="s">
        <v>285</v>
      </c>
      <c r="FC46">
        <v>0</v>
      </c>
      <c r="FD46">
        <v>1</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HC46" t="s">
        <v>468</v>
      </c>
      <c r="HD46">
        <v>0</v>
      </c>
      <c r="HE46">
        <v>0</v>
      </c>
      <c r="HF46">
        <v>0</v>
      </c>
      <c r="HG46">
        <v>0</v>
      </c>
      <c r="HH46">
        <v>0</v>
      </c>
      <c r="HI46">
        <v>0</v>
      </c>
      <c r="HJ46">
        <v>0</v>
      </c>
      <c r="HK46">
        <v>0</v>
      </c>
      <c r="HL46">
        <v>0</v>
      </c>
      <c r="HM46">
        <v>1</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0</v>
      </c>
      <c r="IS46">
        <v>0</v>
      </c>
      <c r="IT46">
        <v>0</v>
      </c>
      <c r="IU46">
        <v>0</v>
      </c>
      <c r="IV46">
        <v>0</v>
      </c>
      <c r="IW46">
        <v>0</v>
      </c>
      <c r="IZ46">
        <v>1</v>
      </c>
      <c r="JA46">
        <v>0</v>
      </c>
      <c r="JB46">
        <v>1</v>
      </c>
      <c r="JC46">
        <v>0</v>
      </c>
      <c r="JD46">
        <v>0</v>
      </c>
      <c r="JE46">
        <v>0</v>
      </c>
      <c r="JF46">
        <v>0</v>
      </c>
      <c r="JG46">
        <v>0</v>
      </c>
      <c r="JH46">
        <v>0</v>
      </c>
      <c r="JI46">
        <v>0</v>
      </c>
      <c r="JJ46">
        <v>0</v>
      </c>
      <c r="JL46">
        <v>2</v>
      </c>
      <c r="JM46" cm="1">
        <f t="array" ref="JM46">IF(OR(JN46:JQ46 &lt;&gt; ""), 1, 0)</f>
        <v>0</v>
      </c>
    </row>
    <row r="47" spans="1:277" x14ac:dyDescent="0.35">
      <c r="A47">
        <v>405511</v>
      </c>
      <c r="C47">
        <v>1</v>
      </c>
      <c r="D47" t="s">
        <v>469</v>
      </c>
      <c r="E47" t="str">
        <f>_xlfn.XLOOKUP(I47, [1]SchoolDistrictStudyWODuplicates!$K:$K, [1]SchoolDistrictStudyWODuplicates!$E:$E, "")</f>
        <v/>
      </c>
      <c r="G47" t="s">
        <v>470</v>
      </c>
      <c r="H47" s="5" t="e">
        <f>_xlfn.XLOOKUP(A47,#REF!,#REF!, "No")</f>
        <v>#REF!</v>
      </c>
      <c r="I47" s="7">
        <v>1921720</v>
      </c>
      <c r="J47" s="5" t="e">
        <f>_xlfn.XLOOKUP(I47,#REF!,#REF!,"Not Determined")</f>
        <v>#REF!</v>
      </c>
      <c r="K47" s="5" t="s">
        <v>466</v>
      </c>
      <c r="L47" t="s">
        <v>466</v>
      </c>
      <c r="M47" s="13" t="e">
        <f>_xlfn.XLOOKUP(I47,#REF!,#REF!, "No")</f>
        <v>#REF!</v>
      </c>
      <c r="N47" s="5" t="str">
        <f t="shared" si="11"/>
        <v>No</v>
      </c>
      <c r="O47" s="5" t="str">
        <f t="shared" si="12"/>
        <v>Yes</v>
      </c>
      <c r="P47" s="5" t="str">
        <f t="shared" si="13"/>
        <v>Yes</v>
      </c>
      <c r="Q47" s="5" t="str">
        <f t="shared" si="14"/>
        <v>Yes</v>
      </c>
      <c r="R47" s="5" t="str">
        <f t="shared" si="15"/>
        <v>No</v>
      </c>
      <c r="S47" s="5" t="str">
        <f t="shared" si="16"/>
        <v>No</v>
      </c>
      <c r="T47" s="5" t="str">
        <f t="shared" si="17"/>
        <v>No</v>
      </c>
      <c r="U47" s="5" t="str">
        <f t="shared" si="18"/>
        <v>No</v>
      </c>
      <c r="V47" s="5" t="str" cm="1">
        <f t="array" ref="V47">IF(OR(DB47:DG47 =1), "Yes", "No")</f>
        <v>No</v>
      </c>
      <c r="W47" s="5" t="str">
        <f t="shared" si="19"/>
        <v>No</v>
      </c>
      <c r="X47" s="5" t="str">
        <f t="shared" si="20"/>
        <v>No</v>
      </c>
      <c r="Y47" s="5" t="str">
        <f t="shared" si="21"/>
        <v>No</v>
      </c>
      <c r="Z47">
        <v>3</v>
      </c>
      <c r="AB47">
        <v>0</v>
      </c>
      <c r="AC47">
        <v>0</v>
      </c>
      <c r="AD47">
        <v>1</v>
      </c>
      <c r="AE47">
        <v>0</v>
      </c>
      <c r="AF47">
        <v>0</v>
      </c>
      <c r="AG47">
        <v>0</v>
      </c>
      <c r="AH47">
        <v>0</v>
      </c>
      <c r="AI47">
        <v>0</v>
      </c>
      <c r="AJ47">
        <v>0</v>
      </c>
      <c r="AK47">
        <v>1</v>
      </c>
      <c r="AM47">
        <v>0</v>
      </c>
      <c r="AN47">
        <v>1</v>
      </c>
      <c r="AO47">
        <v>0</v>
      </c>
      <c r="AQ47">
        <v>4</v>
      </c>
      <c r="AT47">
        <v>4</v>
      </c>
      <c r="AV47">
        <v>1</v>
      </c>
      <c r="AW47">
        <v>0</v>
      </c>
      <c r="AX47">
        <v>0</v>
      </c>
      <c r="AY47">
        <v>0</v>
      </c>
      <c r="AZ47">
        <v>0</v>
      </c>
      <c r="BA47">
        <v>0</v>
      </c>
      <c r="BC47">
        <v>1</v>
      </c>
      <c r="BE47">
        <v>1</v>
      </c>
      <c r="BG47">
        <v>1</v>
      </c>
      <c r="BH47">
        <v>1</v>
      </c>
      <c r="BI47">
        <v>4</v>
      </c>
      <c r="BJ47">
        <v>1</v>
      </c>
      <c r="BK47">
        <v>5</v>
      </c>
      <c r="BL47">
        <v>1</v>
      </c>
      <c r="BM47">
        <v>1</v>
      </c>
      <c r="BN47">
        <v>2</v>
      </c>
      <c r="BV47">
        <v>0</v>
      </c>
      <c r="BW47">
        <v>0</v>
      </c>
      <c r="BX47">
        <v>0</v>
      </c>
      <c r="BY47">
        <v>0</v>
      </c>
      <c r="BZ47">
        <v>0</v>
      </c>
      <c r="CA47">
        <v>0</v>
      </c>
      <c r="CB47">
        <v>0</v>
      </c>
      <c r="CC47">
        <v>0</v>
      </c>
      <c r="CD47">
        <v>0</v>
      </c>
      <c r="CE47">
        <v>0</v>
      </c>
      <c r="CF47">
        <v>0</v>
      </c>
      <c r="CG47">
        <v>0</v>
      </c>
      <c r="CH47">
        <v>0</v>
      </c>
      <c r="CI47">
        <v>0</v>
      </c>
      <c r="CJ47">
        <v>0</v>
      </c>
      <c r="CK47">
        <v>1</v>
      </c>
      <c r="CL47">
        <v>0</v>
      </c>
      <c r="CN47">
        <v>16</v>
      </c>
      <c r="CO47">
        <v>4</v>
      </c>
      <c r="CQ47">
        <v>6</v>
      </c>
      <c r="CR47">
        <v>6</v>
      </c>
      <c r="EB47">
        <v>0</v>
      </c>
      <c r="EC47">
        <v>0</v>
      </c>
      <c r="ED47">
        <v>0</v>
      </c>
      <c r="EE47">
        <v>0</v>
      </c>
      <c r="EF47">
        <v>1</v>
      </c>
      <c r="EG47">
        <v>0</v>
      </c>
      <c r="EH47">
        <v>0</v>
      </c>
      <c r="EI47">
        <v>0</v>
      </c>
      <c r="EJ47">
        <v>1</v>
      </c>
      <c r="EK47">
        <v>0</v>
      </c>
      <c r="EL47" t="s">
        <v>471</v>
      </c>
      <c r="EM47">
        <v>0</v>
      </c>
      <c r="EN47">
        <v>0</v>
      </c>
      <c r="EO47">
        <v>0</v>
      </c>
      <c r="EP47">
        <v>0</v>
      </c>
      <c r="EQ47">
        <v>0</v>
      </c>
      <c r="ER47">
        <v>0</v>
      </c>
      <c r="ES47">
        <v>0</v>
      </c>
      <c r="ET47">
        <v>0</v>
      </c>
      <c r="EU47">
        <v>0</v>
      </c>
      <c r="EV47">
        <v>0</v>
      </c>
      <c r="EW47">
        <v>0</v>
      </c>
      <c r="EX47">
        <v>1</v>
      </c>
      <c r="EY47">
        <v>0</v>
      </c>
      <c r="IX47" t="s">
        <v>472</v>
      </c>
      <c r="IY47">
        <v>4</v>
      </c>
      <c r="IZ47">
        <v>0</v>
      </c>
      <c r="JA47">
        <v>0</v>
      </c>
      <c r="JB47">
        <v>0</v>
      </c>
      <c r="JC47">
        <v>0</v>
      </c>
      <c r="JD47">
        <v>0</v>
      </c>
      <c r="JE47">
        <v>0</v>
      </c>
      <c r="JF47">
        <v>0</v>
      </c>
      <c r="JG47">
        <v>0</v>
      </c>
      <c r="JH47">
        <v>0</v>
      </c>
      <c r="JI47">
        <v>0</v>
      </c>
      <c r="JJ47">
        <v>1</v>
      </c>
      <c r="JL47">
        <v>2</v>
      </c>
      <c r="JM47" cm="1">
        <f t="array" ref="JM47">IF(OR(JN47:JQ47 &lt;&gt; ""), 1, 0)</f>
        <v>0</v>
      </c>
    </row>
    <row r="48" spans="1:277" x14ac:dyDescent="0.35">
      <c r="A48">
        <v>405385</v>
      </c>
      <c r="C48">
        <v>1</v>
      </c>
      <c r="D48" t="s">
        <v>473</v>
      </c>
      <c r="E48" t="str">
        <f>_xlfn.XLOOKUP(I48, [1]SchoolDistrictStudyWODuplicates!$K:$K, [1]SchoolDistrictStudyWODuplicates!$E:$E, "")</f>
        <v/>
      </c>
      <c r="G48" t="s">
        <v>474</v>
      </c>
      <c r="H48" s="7">
        <v>1601410</v>
      </c>
      <c r="I48" s="7">
        <v>1601410</v>
      </c>
      <c r="J48" s="5" t="e">
        <f>_xlfn.XLOOKUP(I48,#REF!,#REF!,"Not Determined")</f>
        <v>#REF!</v>
      </c>
      <c r="K48" s="5" t="s">
        <v>1352</v>
      </c>
      <c r="L48" t="s">
        <v>475</v>
      </c>
      <c r="M48" s="13" t="e">
        <f>_xlfn.XLOOKUP(I48,#REF!,#REF!, "No")</f>
        <v>#REF!</v>
      </c>
      <c r="N48" s="5" t="str">
        <f t="shared" si="11"/>
        <v>No</v>
      </c>
      <c r="O48" s="5" t="str">
        <f t="shared" si="12"/>
        <v>Yes</v>
      </c>
      <c r="P48" s="5" t="str">
        <f t="shared" si="13"/>
        <v>Yes</v>
      </c>
      <c r="Q48" s="5" t="str">
        <f t="shared" si="14"/>
        <v>Yes</v>
      </c>
      <c r="R48" s="5" t="str">
        <f t="shared" si="15"/>
        <v>Yes</v>
      </c>
      <c r="S48" s="5" t="str">
        <f t="shared" si="16"/>
        <v>Yes</v>
      </c>
      <c r="T48" s="5" t="str">
        <f t="shared" si="17"/>
        <v>Yes</v>
      </c>
      <c r="U48" s="5" t="str">
        <f t="shared" si="18"/>
        <v>Yes</v>
      </c>
      <c r="V48" s="5" t="str" cm="1">
        <f t="array" ref="V48">IF(OR(DB48:DG48 =1), "Yes", "No")</f>
        <v>No</v>
      </c>
      <c r="W48" s="5" t="str">
        <f t="shared" si="19"/>
        <v>No</v>
      </c>
      <c r="X48" s="5" t="str">
        <f t="shared" si="20"/>
        <v>No</v>
      </c>
      <c r="Y48" s="5" t="str">
        <f t="shared" si="21"/>
        <v>No</v>
      </c>
      <c r="Z48">
        <v>3</v>
      </c>
      <c r="AB48">
        <v>0</v>
      </c>
      <c r="AC48">
        <v>0</v>
      </c>
      <c r="AD48">
        <v>1</v>
      </c>
      <c r="AE48">
        <v>0</v>
      </c>
      <c r="AF48">
        <v>0</v>
      </c>
      <c r="AG48">
        <v>0</v>
      </c>
      <c r="AH48">
        <v>0</v>
      </c>
      <c r="AI48">
        <v>0</v>
      </c>
      <c r="AJ48">
        <v>0</v>
      </c>
      <c r="AK48">
        <v>1</v>
      </c>
      <c r="AM48">
        <v>0</v>
      </c>
      <c r="AN48">
        <v>1</v>
      </c>
      <c r="AO48">
        <v>0</v>
      </c>
      <c r="AQ48">
        <v>5</v>
      </c>
      <c r="AT48">
        <v>5</v>
      </c>
      <c r="AV48">
        <v>1</v>
      </c>
      <c r="AW48">
        <v>0</v>
      </c>
      <c r="AX48">
        <v>0</v>
      </c>
      <c r="AY48">
        <v>0</v>
      </c>
      <c r="AZ48">
        <v>0</v>
      </c>
      <c r="BA48">
        <v>0</v>
      </c>
      <c r="BC48">
        <v>1</v>
      </c>
      <c r="BE48">
        <v>1</v>
      </c>
      <c r="BG48">
        <v>1</v>
      </c>
      <c r="BH48">
        <v>1</v>
      </c>
      <c r="BI48">
        <v>4</v>
      </c>
      <c r="BJ48">
        <v>1</v>
      </c>
      <c r="BK48">
        <v>4</v>
      </c>
      <c r="BL48">
        <v>1</v>
      </c>
      <c r="BM48">
        <v>1</v>
      </c>
      <c r="BN48">
        <v>2</v>
      </c>
      <c r="BV48">
        <v>0</v>
      </c>
      <c r="BW48">
        <v>0</v>
      </c>
      <c r="BX48">
        <v>0</v>
      </c>
      <c r="BY48">
        <v>0</v>
      </c>
      <c r="BZ48">
        <v>1</v>
      </c>
      <c r="CA48">
        <v>0</v>
      </c>
      <c r="CB48">
        <v>0</v>
      </c>
      <c r="CC48">
        <v>0</v>
      </c>
      <c r="CD48">
        <v>1</v>
      </c>
      <c r="CE48">
        <v>0</v>
      </c>
      <c r="CF48">
        <v>0</v>
      </c>
      <c r="CG48">
        <v>0</v>
      </c>
      <c r="CH48">
        <v>0</v>
      </c>
      <c r="CI48">
        <v>0</v>
      </c>
      <c r="CJ48">
        <v>0</v>
      </c>
      <c r="CK48">
        <v>1</v>
      </c>
      <c r="CL48">
        <v>0</v>
      </c>
      <c r="CN48">
        <v>16</v>
      </c>
      <c r="CO48">
        <v>4</v>
      </c>
      <c r="CQ48">
        <v>5</v>
      </c>
      <c r="CR48">
        <v>5</v>
      </c>
      <c r="EB48">
        <v>1</v>
      </c>
      <c r="EC48">
        <v>0</v>
      </c>
      <c r="ED48">
        <v>1</v>
      </c>
      <c r="EE48">
        <v>0</v>
      </c>
      <c r="EF48">
        <v>0</v>
      </c>
      <c r="EG48">
        <v>0</v>
      </c>
      <c r="EH48">
        <v>0</v>
      </c>
      <c r="EI48">
        <v>1</v>
      </c>
      <c r="EJ48">
        <v>0</v>
      </c>
      <c r="EK48">
        <v>0</v>
      </c>
      <c r="EM48">
        <v>0</v>
      </c>
      <c r="EN48">
        <v>1</v>
      </c>
      <c r="EO48">
        <v>0</v>
      </c>
      <c r="EP48">
        <v>0</v>
      </c>
      <c r="EQ48">
        <v>0</v>
      </c>
      <c r="ER48">
        <v>0</v>
      </c>
      <c r="ES48">
        <v>0</v>
      </c>
      <c r="ET48">
        <v>0</v>
      </c>
      <c r="EU48">
        <v>0</v>
      </c>
      <c r="EV48">
        <v>0</v>
      </c>
      <c r="EW48">
        <v>1</v>
      </c>
      <c r="EX48">
        <v>0</v>
      </c>
      <c r="EY48">
        <v>0</v>
      </c>
      <c r="FB48" t="s">
        <v>476</v>
      </c>
      <c r="FC48">
        <v>1</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IZ48">
        <v>1</v>
      </c>
      <c r="JA48">
        <v>0</v>
      </c>
      <c r="JB48">
        <v>0</v>
      </c>
      <c r="JC48">
        <v>0</v>
      </c>
      <c r="JD48">
        <v>0</v>
      </c>
      <c r="JE48">
        <v>0</v>
      </c>
      <c r="JF48">
        <v>0</v>
      </c>
      <c r="JG48">
        <v>0</v>
      </c>
      <c r="JH48">
        <v>0</v>
      </c>
      <c r="JI48">
        <v>0</v>
      </c>
      <c r="JJ48">
        <v>0</v>
      </c>
      <c r="JL48">
        <v>2</v>
      </c>
      <c r="JM48" cm="1">
        <f t="array" ref="JM48">IF(OR(JN48:JQ48 &lt;&gt; ""), 1, 0)</f>
        <v>0</v>
      </c>
    </row>
    <row r="49" spans="1:278" x14ac:dyDescent="0.35">
      <c r="A49">
        <v>405212</v>
      </c>
      <c r="C49">
        <v>1</v>
      </c>
      <c r="D49" t="s">
        <v>477</v>
      </c>
      <c r="E49" t="str">
        <f>_xlfn.XLOOKUP(I49, [1]SchoolDistrictStudyWODuplicates!$K:$K, [1]SchoolDistrictStudyWODuplicates!$E:$E, "")</f>
        <v/>
      </c>
      <c r="G49" t="s">
        <v>478</v>
      </c>
      <c r="H49" s="5" t="e">
        <f>_xlfn.XLOOKUP(A49,#REF!,#REF!, "No")</f>
        <v>#REF!</v>
      </c>
      <c r="I49" s="7" t="s">
        <v>1353</v>
      </c>
      <c r="J49" s="5" t="b">
        <v>0</v>
      </c>
      <c r="K49" s="5" t="s">
        <v>1352</v>
      </c>
      <c r="L49" t="s">
        <v>475</v>
      </c>
      <c r="M49" s="13" t="s">
        <v>1354</v>
      </c>
      <c r="N49" s="5" t="str">
        <f t="shared" si="11"/>
        <v>No</v>
      </c>
      <c r="O49" s="5" t="str">
        <f t="shared" si="12"/>
        <v>Yes</v>
      </c>
      <c r="P49" s="5" t="str">
        <f t="shared" si="13"/>
        <v>No</v>
      </c>
      <c r="Q49" s="5" t="str">
        <f t="shared" si="14"/>
        <v>Yes</v>
      </c>
      <c r="R49" s="5" t="str">
        <f t="shared" si="15"/>
        <v>Yes</v>
      </c>
      <c r="S49" s="5" t="str">
        <f t="shared" si="16"/>
        <v>Yes</v>
      </c>
      <c r="T49" s="5" t="str">
        <f t="shared" si="17"/>
        <v>No</v>
      </c>
      <c r="U49" s="5" t="str">
        <f t="shared" si="18"/>
        <v>No</v>
      </c>
      <c r="V49" s="5" t="str" cm="1">
        <f t="array" ref="V49">IF(OR(DB49:DG49 =1), "Yes", "No")</f>
        <v>No</v>
      </c>
      <c r="W49" s="5" t="str">
        <f t="shared" si="19"/>
        <v>No</v>
      </c>
      <c r="X49" s="5" t="str">
        <f t="shared" si="20"/>
        <v>No</v>
      </c>
      <c r="Y49" s="5" t="str">
        <f t="shared" si="21"/>
        <v>No</v>
      </c>
      <c r="Z49">
        <v>4</v>
      </c>
      <c r="AB49">
        <v>0</v>
      </c>
      <c r="AC49">
        <v>0</v>
      </c>
      <c r="AD49">
        <v>0</v>
      </c>
      <c r="AE49">
        <v>1</v>
      </c>
      <c r="AF49">
        <v>0</v>
      </c>
      <c r="AG49">
        <v>0</v>
      </c>
      <c r="AH49">
        <v>0</v>
      </c>
      <c r="AI49">
        <v>0</v>
      </c>
      <c r="AJ49">
        <v>0</v>
      </c>
      <c r="AK49">
        <v>1</v>
      </c>
      <c r="AM49">
        <v>0</v>
      </c>
      <c r="AN49">
        <v>1</v>
      </c>
      <c r="AO49">
        <v>0</v>
      </c>
      <c r="AQ49">
        <v>4</v>
      </c>
      <c r="AT49">
        <v>4</v>
      </c>
      <c r="AV49">
        <v>1</v>
      </c>
      <c r="AW49">
        <v>0</v>
      </c>
      <c r="AX49">
        <v>0</v>
      </c>
      <c r="AY49">
        <v>0</v>
      </c>
      <c r="AZ49">
        <v>0</v>
      </c>
      <c r="BA49">
        <v>0</v>
      </c>
      <c r="BC49">
        <v>6</v>
      </c>
      <c r="BD49" t="s">
        <v>479</v>
      </c>
      <c r="BE49">
        <v>1</v>
      </c>
      <c r="BG49">
        <v>1</v>
      </c>
      <c r="BH49">
        <v>1</v>
      </c>
      <c r="BI49">
        <v>3</v>
      </c>
      <c r="BJ49">
        <v>2</v>
      </c>
      <c r="BL49">
        <v>2</v>
      </c>
      <c r="BM49">
        <v>3</v>
      </c>
      <c r="BN49">
        <v>2</v>
      </c>
      <c r="BV49">
        <v>0</v>
      </c>
      <c r="BW49">
        <v>0</v>
      </c>
      <c r="BX49">
        <v>0</v>
      </c>
      <c r="BY49">
        <v>0</v>
      </c>
      <c r="BZ49">
        <v>1</v>
      </c>
      <c r="CA49">
        <v>0</v>
      </c>
      <c r="CB49">
        <v>0</v>
      </c>
      <c r="CC49">
        <v>0</v>
      </c>
      <c r="CD49">
        <v>0</v>
      </c>
      <c r="CE49">
        <v>0</v>
      </c>
      <c r="CF49">
        <v>0</v>
      </c>
      <c r="CG49">
        <v>1</v>
      </c>
      <c r="CH49">
        <v>0</v>
      </c>
      <c r="CI49">
        <v>0</v>
      </c>
      <c r="CJ49">
        <v>0</v>
      </c>
      <c r="CK49">
        <v>0</v>
      </c>
      <c r="CL49">
        <v>0</v>
      </c>
      <c r="CN49">
        <v>5</v>
      </c>
      <c r="CO49">
        <v>2</v>
      </c>
      <c r="CP49" t="s">
        <v>480</v>
      </c>
      <c r="CQ49">
        <v>2</v>
      </c>
      <c r="CR49">
        <v>2</v>
      </c>
      <c r="EB49">
        <v>0</v>
      </c>
      <c r="EC49">
        <v>0</v>
      </c>
      <c r="ED49">
        <v>1</v>
      </c>
      <c r="EE49">
        <v>0</v>
      </c>
      <c r="EF49">
        <v>0</v>
      </c>
      <c r="EG49">
        <v>1</v>
      </c>
      <c r="EH49">
        <v>0</v>
      </c>
      <c r="EI49">
        <v>0</v>
      </c>
      <c r="EJ49">
        <v>0</v>
      </c>
      <c r="EK49">
        <v>0</v>
      </c>
      <c r="EM49">
        <v>0</v>
      </c>
      <c r="EN49">
        <v>1</v>
      </c>
      <c r="EO49">
        <v>0</v>
      </c>
      <c r="EP49">
        <v>0</v>
      </c>
      <c r="EQ49">
        <v>0</v>
      </c>
      <c r="ER49">
        <v>0</v>
      </c>
      <c r="ES49">
        <v>0</v>
      </c>
      <c r="ET49">
        <v>0</v>
      </c>
      <c r="EU49">
        <v>0</v>
      </c>
      <c r="EV49">
        <v>0</v>
      </c>
      <c r="EW49">
        <v>1</v>
      </c>
      <c r="EX49">
        <v>0</v>
      </c>
      <c r="EY49">
        <v>0</v>
      </c>
      <c r="FB49" t="s">
        <v>481</v>
      </c>
      <c r="FC49">
        <v>0</v>
      </c>
      <c r="FD49">
        <v>0</v>
      </c>
      <c r="FE49">
        <v>0</v>
      </c>
      <c r="FF49">
        <v>0</v>
      </c>
      <c r="FG49">
        <v>0</v>
      </c>
      <c r="FH49">
        <v>0</v>
      </c>
      <c r="FI49">
        <v>0</v>
      </c>
      <c r="FJ49">
        <v>0</v>
      </c>
      <c r="FK49">
        <v>0</v>
      </c>
      <c r="FL49">
        <v>0</v>
      </c>
      <c r="FM49">
        <v>0</v>
      </c>
      <c r="FN49">
        <v>0</v>
      </c>
      <c r="FO49">
        <v>0</v>
      </c>
      <c r="FP49">
        <v>0</v>
      </c>
      <c r="FQ49">
        <v>0</v>
      </c>
      <c r="FR49">
        <v>1</v>
      </c>
      <c r="FS49">
        <v>0</v>
      </c>
      <c r="FT49">
        <v>0</v>
      </c>
      <c r="FU49">
        <v>0</v>
      </c>
      <c r="FV49">
        <v>0</v>
      </c>
      <c r="FW49">
        <v>0</v>
      </c>
      <c r="FX49">
        <v>0</v>
      </c>
      <c r="IZ49">
        <v>0</v>
      </c>
      <c r="JA49">
        <v>0</v>
      </c>
      <c r="JB49">
        <v>0</v>
      </c>
      <c r="JC49">
        <v>0</v>
      </c>
      <c r="JD49">
        <v>0</v>
      </c>
      <c r="JE49">
        <v>0</v>
      </c>
      <c r="JF49">
        <v>0</v>
      </c>
      <c r="JG49">
        <v>0</v>
      </c>
      <c r="JH49">
        <v>0</v>
      </c>
      <c r="JI49">
        <v>0</v>
      </c>
      <c r="JJ49">
        <v>1</v>
      </c>
      <c r="JL49">
        <v>2</v>
      </c>
      <c r="JM49" cm="1">
        <f t="array" ref="JM49">IF(OR(JN49:JQ49 &lt;&gt; ""), 1, 0)</f>
        <v>0</v>
      </c>
    </row>
    <row r="50" spans="1:278" x14ac:dyDescent="0.35">
      <c r="A50">
        <v>397076</v>
      </c>
      <c r="C50">
        <v>1</v>
      </c>
      <c r="D50" t="s">
        <v>482</v>
      </c>
      <c r="E50" t="str">
        <f>_xlfn.XLOOKUP(I50, [1]SchoolDistrictStudyWODuplicates!$K:$K, [1]SchoolDistrictStudyWODuplicates!$E:$E, "")</f>
        <v/>
      </c>
      <c r="G50" t="s">
        <v>483</v>
      </c>
      <c r="H50" s="7">
        <v>1706750</v>
      </c>
      <c r="I50" s="7">
        <v>1706750</v>
      </c>
      <c r="J50" s="5" t="e">
        <f>_xlfn.XLOOKUP(I50,#REF!,#REF!,"Not Determined")</f>
        <v>#REF!</v>
      </c>
      <c r="K50" s="5" t="s">
        <v>484</v>
      </c>
      <c r="L50" t="s">
        <v>484</v>
      </c>
      <c r="M50" s="13" t="e">
        <f>_xlfn.XLOOKUP(I50,#REF!,#REF!, "No")</f>
        <v>#REF!</v>
      </c>
      <c r="N50" s="5" t="str">
        <f t="shared" si="11"/>
        <v>No</v>
      </c>
      <c r="O50" s="5" t="str">
        <f t="shared" si="12"/>
        <v>Yes</v>
      </c>
      <c r="P50" s="5" t="str">
        <f t="shared" si="13"/>
        <v>Yes</v>
      </c>
      <c r="Q50" s="5" t="str">
        <f t="shared" si="14"/>
        <v>Yes</v>
      </c>
      <c r="R50" s="5" t="str">
        <f t="shared" si="15"/>
        <v>Yes</v>
      </c>
      <c r="S50" s="5" t="str">
        <f t="shared" si="16"/>
        <v>Yes</v>
      </c>
      <c r="T50" s="5" t="str">
        <f t="shared" si="17"/>
        <v>Yes</v>
      </c>
      <c r="U50" s="5" t="str">
        <f t="shared" si="18"/>
        <v>Yes</v>
      </c>
      <c r="V50" s="5" t="str" cm="1">
        <f t="array" ref="V50">IF(OR(DB50:DG50 =1), "Yes", "No")</f>
        <v>No</v>
      </c>
      <c r="W50" s="5" t="str">
        <f t="shared" si="19"/>
        <v>No</v>
      </c>
      <c r="X50" s="5" t="str">
        <f t="shared" si="20"/>
        <v>No</v>
      </c>
      <c r="Y50" s="5" t="str">
        <f t="shared" si="21"/>
        <v>No</v>
      </c>
      <c r="Z50">
        <v>3</v>
      </c>
      <c r="AB50">
        <v>1</v>
      </c>
      <c r="AC50">
        <v>0</v>
      </c>
      <c r="AD50">
        <v>1</v>
      </c>
      <c r="AE50">
        <v>0</v>
      </c>
      <c r="AF50">
        <v>0</v>
      </c>
      <c r="AG50">
        <v>1</v>
      </c>
      <c r="AH50">
        <v>0</v>
      </c>
      <c r="AI50">
        <v>1</v>
      </c>
      <c r="AJ50">
        <v>0</v>
      </c>
      <c r="AK50">
        <v>1</v>
      </c>
      <c r="AM50">
        <v>1</v>
      </c>
      <c r="AN50">
        <v>1</v>
      </c>
      <c r="AO50">
        <v>0</v>
      </c>
      <c r="AP50">
        <v>2</v>
      </c>
      <c r="AQ50">
        <v>25</v>
      </c>
      <c r="AS50">
        <v>2</v>
      </c>
      <c r="AT50">
        <v>25</v>
      </c>
      <c r="AV50">
        <v>0</v>
      </c>
      <c r="AW50">
        <v>1</v>
      </c>
      <c r="AX50">
        <v>0</v>
      </c>
      <c r="AY50">
        <v>0</v>
      </c>
      <c r="AZ50">
        <v>0</v>
      </c>
      <c r="BA50">
        <v>0</v>
      </c>
      <c r="BC50">
        <v>2</v>
      </c>
      <c r="BE50">
        <v>3</v>
      </c>
      <c r="BG50">
        <v>1</v>
      </c>
      <c r="BH50">
        <v>1</v>
      </c>
      <c r="BI50">
        <v>4</v>
      </c>
      <c r="BJ50">
        <v>1</v>
      </c>
      <c r="BK50">
        <v>5</v>
      </c>
      <c r="BL50">
        <v>1</v>
      </c>
      <c r="BM50">
        <v>1</v>
      </c>
      <c r="BN50">
        <v>2</v>
      </c>
      <c r="BV50">
        <v>0</v>
      </c>
      <c r="BW50">
        <v>0</v>
      </c>
      <c r="BX50">
        <v>1</v>
      </c>
      <c r="BY50">
        <v>1</v>
      </c>
      <c r="BZ50">
        <v>0</v>
      </c>
      <c r="CA50">
        <v>0</v>
      </c>
      <c r="CB50">
        <v>0</v>
      </c>
      <c r="CC50">
        <v>0</v>
      </c>
      <c r="CD50">
        <v>0</v>
      </c>
      <c r="CE50">
        <v>0</v>
      </c>
      <c r="CF50">
        <v>1</v>
      </c>
      <c r="CG50">
        <v>0</v>
      </c>
      <c r="CH50">
        <v>0</v>
      </c>
      <c r="CI50">
        <v>1</v>
      </c>
      <c r="CJ50">
        <v>0</v>
      </c>
      <c r="CK50">
        <v>1</v>
      </c>
      <c r="CL50">
        <v>1</v>
      </c>
      <c r="CM50" t="s">
        <v>485</v>
      </c>
      <c r="CN50">
        <v>3</v>
      </c>
      <c r="CO50">
        <v>4</v>
      </c>
      <c r="CQ50">
        <v>4</v>
      </c>
      <c r="CR50">
        <v>4</v>
      </c>
      <c r="EB50">
        <v>0</v>
      </c>
      <c r="EC50">
        <v>0</v>
      </c>
      <c r="ED50">
        <v>0</v>
      </c>
      <c r="EE50">
        <v>0</v>
      </c>
      <c r="EF50">
        <v>0</v>
      </c>
      <c r="EG50">
        <v>1</v>
      </c>
      <c r="EH50">
        <v>1</v>
      </c>
      <c r="EI50">
        <v>1</v>
      </c>
      <c r="EJ50">
        <v>1</v>
      </c>
      <c r="EK50">
        <v>0</v>
      </c>
      <c r="EL50" t="s">
        <v>486</v>
      </c>
      <c r="JM50" cm="1">
        <f t="array" ref="JM50">IF(OR(JN50:JQ50 &lt;&gt; ""), 1, 0)</f>
        <v>0</v>
      </c>
    </row>
    <row r="51" spans="1:278" x14ac:dyDescent="0.35">
      <c r="A51">
        <v>400514</v>
      </c>
      <c r="C51">
        <v>1</v>
      </c>
      <c r="D51" t="s">
        <v>487</v>
      </c>
      <c r="E51" t="str">
        <f>_xlfn.XLOOKUP(I51, [1]SchoolDistrictStudyWODuplicates!$K:$K, [1]SchoolDistrictStudyWODuplicates!$E:$E, "")</f>
        <v/>
      </c>
      <c r="G51" t="s">
        <v>488</v>
      </c>
      <c r="H51" s="7">
        <v>1700119</v>
      </c>
      <c r="I51" s="7">
        <v>1700119</v>
      </c>
      <c r="J51" s="5" t="e">
        <f>_xlfn.XLOOKUP(I51,#REF!,#REF!,"Not Determined")</f>
        <v>#REF!</v>
      </c>
      <c r="K51" s="5" t="s">
        <v>484</v>
      </c>
      <c r="L51" t="s">
        <v>484</v>
      </c>
      <c r="M51" s="13" t="e">
        <f>_xlfn.XLOOKUP(I51,#REF!,#REF!, "No")</f>
        <v>#REF!</v>
      </c>
      <c r="N51" s="5" t="str">
        <f t="shared" si="11"/>
        <v>No</v>
      </c>
      <c r="O51" s="5" t="str">
        <f t="shared" si="12"/>
        <v>Yes</v>
      </c>
      <c r="P51" s="5" t="str">
        <f t="shared" si="13"/>
        <v>Yes</v>
      </c>
      <c r="Q51" s="5" t="str">
        <f t="shared" si="14"/>
        <v>Yes</v>
      </c>
      <c r="R51" s="5" t="str">
        <f t="shared" si="15"/>
        <v>Yes</v>
      </c>
      <c r="S51" s="5" t="str">
        <f t="shared" si="16"/>
        <v>Yes</v>
      </c>
      <c r="T51" s="5" t="str">
        <f t="shared" si="17"/>
        <v>Yes</v>
      </c>
      <c r="U51" s="5" t="str">
        <f t="shared" si="18"/>
        <v>Yes</v>
      </c>
      <c r="V51" s="5" t="str" cm="1">
        <f t="array" ref="V51">IF(OR(DB51:DG51 =1), "Yes", "No")</f>
        <v>No</v>
      </c>
      <c r="W51" s="5" t="str">
        <f t="shared" si="19"/>
        <v>Yes</v>
      </c>
      <c r="X51" s="5" t="str">
        <f t="shared" si="20"/>
        <v>No</v>
      </c>
      <c r="Y51" s="5" t="str">
        <f t="shared" si="21"/>
        <v>No</v>
      </c>
      <c r="Z51">
        <v>3</v>
      </c>
      <c r="AB51">
        <v>0</v>
      </c>
      <c r="AC51">
        <v>0</v>
      </c>
      <c r="AD51">
        <v>1</v>
      </c>
      <c r="AE51">
        <v>0</v>
      </c>
      <c r="AF51">
        <v>0</v>
      </c>
      <c r="AG51">
        <v>0</v>
      </c>
      <c r="AH51">
        <v>0</v>
      </c>
      <c r="AI51">
        <v>0</v>
      </c>
      <c r="AJ51">
        <v>0</v>
      </c>
      <c r="AK51">
        <v>1</v>
      </c>
      <c r="AM51">
        <v>1</v>
      </c>
      <c r="AN51">
        <v>1</v>
      </c>
      <c r="AO51">
        <v>0</v>
      </c>
      <c r="AP51">
        <v>2</v>
      </c>
      <c r="AQ51">
        <v>36</v>
      </c>
      <c r="AS51">
        <v>2</v>
      </c>
      <c r="AT51">
        <v>36</v>
      </c>
      <c r="AV51">
        <v>1</v>
      </c>
      <c r="AW51">
        <v>0</v>
      </c>
      <c r="AX51">
        <v>0</v>
      </c>
      <c r="AY51">
        <v>0</v>
      </c>
      <c r="AZ51">
        <v>0</v>
      </c>
      <c r="BA51">
        <v>0</v>
      </c>
      <c r="BC51">
        <v>1</v>
      </c>
      <c r="BE51">
        <v>1</v>
      </c>
      <c r="BG51">
        <v>1</v>
      </c>
      <c r="BH51">
        <v>1</v>
      </c>
      <c r="BI51">
        <v>2</v>
      </c>
      <c r="BJ51">
        <v>1</v>
      </c>
      <c r="BK51">
        <v>3</v>
      </c>
      <c r="BL51">
        <v>2</v>
      </c>
      <c r="BM51">
        <v>1</v>
      </c>
      <c r="BN51">
        <v>1</v>
      </c>
      <c r="BO51">
        <v>1</v>
      </c>
      <c r="BP51">
        <v>1</v>
      </c>
      <c r="BQ51">
        <v>1</v>
      </c>
      <c r="BR51">
        <v>1</v>
      </c>
      <c r="BS51">
        <v>1</v>
      </c>
      <c r="BT51">
        <v>0</v>
      </c>
      <c r="BV51">
        <v>0</v>
      </c>
      <c r="BW51">
        <v>0</v>
      </c>
      <c r="BX51">
        <v>0</v>
      </c>
      <c r="BY51">
        <v>1</v>
      </c>
      <c r="BZ51">
        <v>0</v>
      </c>
      <c r="CA51">
        <v>0</v>
      </c>
      <c r="CB51">
        <v>0</v>
      </c>
      <c r="CC51">
        <v>0</v>
      </c>
      <c r="CD51">
        <v>0</v>
      </c>
      <c r="CE51">
        <v>0</v>
      </c>
      <c r="CF51">
        <v>0</v>
      </c>
      <c r="CG51">
        <v>0</v>
      </c>
      <c r="CH51">
        <v>0</v>
      </c>
      <c r="CI51">
        <v>0</v>
      </c>
      <c r="CJ51">
        <v>1</v>
      </c>
      <c r="CK51">
        <v>0</v>
      </c>
      <c r="CL51">
        <v>0</v>
      </c>
      <c r="CN51">
        <v>15</v>
      </c>
      <c r="CO51">
        <v>3</v>
      </c>
      <c r="CP51" t="s">
        <v>489</v>
      </c>
      <c r="CQ51">
        <v>3</v>
      </c>
      <c r="CR51">
        <v>3</v>
      </c>
      <c r="EB51">
        <v>1</v>
      </c>
      <c r="EC51">
        <v>0</v>
      </c>
      <c r="ED51">
        <v>0</v>
      </c>
      <c r="EE51">
        <v>1</v>
      </c>
      <c r="EF51">
        <v>1</v>
      </c>
      <c r="EG51">
        <v>1</v>
      </c>
      <c r="EH51">
        <v>1</v>
      </c>
      <c r="EI51">
        <v>1</v>
      </c>
      <c r="EJ51">
        <v>0</v>
      </c>
      <c r="EK51">
        <v>0</v>
      </c>
      <c r="EM51">
        <v>0</v>
      </c>
      <c r="EN51">
        <v>0</v>
      </c>
      <c r="EO51">
        <v>0</v>
      </c>
      <c r="EP51">
        <v>0</v>
      </c>
      <c r="EQ51">
        <v>0</v>
      </c>
      <c r="ER51">
        <v>0</v>
      </c>
      <c r="ES51">
        <v>0</v>
      </c>
      <c r="ET51">
        <v>1</v>
      </c>
      <c r="EU51">
        <v>1</v>
      </c>
      <c r="EV51">
        <v>0</v>
      </c>
      <c r="EW51">
        <v>1</v>
      </c>
      <c r="EX51">
        <v>0</v>
      </c>
      <c r="EY51">
        <v>0</v>
      </c>
      <c r="IZ51">
        <v>1</v>
      </c>
      <c r="JA51">
        <v>0</v>
      </c>
      <c r="JB51">
        <v>1</v>
      </c>
      <c r="JC51">
        <v>0</v>
      </c>
      <c r="JD51">
        <v>0</v>
      </c>
      <c r="JE51">
        <v>0</v>
      </c>
      <c r="JF51">
        <v>1</v>
      </c>
      <c r="JG51">
        <v>0</v>
      </c>
      <c r="JH51">
        <v>0</v>
      </c>
      <c r="JI51">
        <v>0</v>
      </c>
      <c r="JJ51">
        <v>0</v>
      </c>
      <c r="JL51">
        <v>1</v>
      </c>
      <c r="JM51" cm="1">
        <f t="array" ref="JM51">IF(OR(JN51:JQ51 &lt;&gt; ""), 1, 0)</f>
        <v>1</v>
      </c>
      <c r="JN51">
        <v>0</v>
      </c>
      <c r="JO51">
        <v>1</v>
      </c>
      <c r="JP51">
        <v>0</v>
      </c>
      <c r="JQ51">
        <v>0</v>
      </c>
    </row>
    <row r="52" spans="1:278" x14ac:dyDescent="0.35">
      <c r="A52">
        <v>363879</v>
      </c>
      <c r="C52">
        <v>1</v>
      </c>
      <c r="D52" t="s">
        <v>490</v>
      </c>
      <c r="E52" t="str">
        <f>_xlfn.XLOOKUP(I52, [1]SchoolDistrictStudyWODuplicates!$K:$K, [1]SchoolDistrictStudyWODuplicates!$E:$E, "")</f>
        <v/>
      </c>
      <c r="G52" t="s">
        <v>491</v>
      </c>
      <c r="H52" s="7">
        <v>1743110</v>
      </c>
      <c r="I52" s="7">
        <v>1743110</v>
      </c>
      <c r="J52" s="5" t="e">
        <f>_xlfn.XLOOKUP(I52,#REF!,#REF!,"Not Determined")</f>
        <v>#REF!</v>
      </c>
      <c r="K52" s="5" t="s">
        <v>484</v>
      </c>
      <c r="L52" t="s">
        <v>484</v>
      </c>
      <c r="M52" s="13" t="e">
        <f>_xlfn.XLOOKUP(I52,#REF!,#REF!, "No")</f>
        <v>#REF!</v>
      </c>
      <c r="N52" s="5" t="str">
        <f t="shared" si="11"/>
        <v>No</v>
      </c>
      <c r="O52" s="5" t="str">
        <f t="shared" si="12"/>
        <v>Yes</v>
      </c>
      <c r="P52" s="5" t="str">
        <f t="shared" si="13"/>
        <v>Yes</v>
      </c>
      <c r="Q52" s="5" t="str">
        <f t="shared" si="14"/>
        <v>Yes</v>
      </c>
      <c r="R52" s="5" t="str">
        <f t="shared" si="15"/>
        <v>Yes</v>
      </c>
      <c r="S52" s="5" t="str">
        <f t="shared" si="16"/>
        <v>Yes</v>
      </c>
      <c r="T52" s="5" t="str">
        <f t="shared" si="17"/>
        <v>No</v>
      </c>
      <c r="U52" s="5" t="str">
        <f t="shared" si="18"/>
        <v>No</v>
      </c>
      <c r="V52" s="5" t="str" cm="1">
        <f t="array" ref="V52">IF(OR(DB52:DG52 =1), "Yes", "No")</f>
        <v>No</v>
      </c>
      <c r="W52" s="5" t="str">
        <f t="shared" si="19"/>
        <v>No</v>
      </c>
      <c r="X52" s="5" t="str">
        <f t="shared" si="20"/>
        <v>No</v>
      </c>
      <c r="Y52" s="5" t="str">
        <f t="shared" si="21"/>
        <v>No</v>
      </c>
      <c r="Z52">
        <v>3</v>
      </c>
      <c r="AB52">
        <v>0</v>
      </c>
      <c r="AC52">
        <v>0</v>
      </c>
      <c r="AD52">
        <v>1</v>
      </c>
      <c r="AE52">
        <v>0</v>
      </c>
      <c r="AF52">
        <v>0</v>
      </c>
      <c r="AG52">
        <v>0</v>
      </c>
      <c r="AH52">
        <v>0</v>
      </c>
      <c r="AI52">
        <v>0</v>
      </c>
      <c r="AJ52">
        <v>0</v>
      </c>
      <c r="AK52">
        <v>1</v>
      </c>
      <c r="AM52">
        <v>1</v>
      </c>
      <c r="AN52">
        <v>1</v>
      </c>
      <c r="AO52">
        <v>0</v>
      </c>
      <c r="AP52">
        <v>20</v>
      </c>
      <c r="AQ52">
        <v>55</v>
      </c>
      <c r="AS52">
        <v>20</v>
      </c>
      <c r="AT52">
        <v>55</v>
      </c>
      <c r="AV52">
        <v>0</v>
      </c>
      <c r="AW52">
        <v>1</v>
      </c>
      <c r="AX52">
        <v>0</v>
      </c>
      <c r="AY52">
        <v>0</v>
      </c>
      <c r="AZ52">
        <v>0</v>
      </c>
      <c r="BA52">
        <v>0</v>
      </c>
      <c r="BC52">
        <v>2</v>
      </c>
      <c r="BE52">
        <v>3</v>
      </c>
      <c r="BG52">
        <v>1</v>
      </c>
      <c r="BH52">
        <v>1</v>
      </c>
      <c r="BI52">
        <v>3</v>
      </c>
      <c r="BJ52">
        <v>1</v>
      </c>
      <c r="BK52">
        <v>4</v>
      </c>
      <c r="BL52">
        <v>2</v>
      </c>
      <c r="BM52">
        <v>1</v>
      </c>
      <c r="BN52">
        <v>1</v>
      </c>
      <c r="BO52">
        <v>0</v>
      </c>
      <c r="BP52">
        <v>0</v>
      </c>
      <c r="BQ52">
        <v>0</v>
      </c>
      <c r="BR52">
        <v>0</v>
      </c>
      <c r="BS52">
        <v>1</v>
      </c>
      <c r="BT52">
        <v>0</v>
      </c>
      <c r="BV52">
        <v>0</v>
      </c>
      <c r="BW52">
        <v>0</v>
      </c>
      <c r="BX52">
        <v>1</v>
      </c>
      <c r="BY52">
        <v>0</v>
      </c>
      <c r="BZ52">
        <v>0</v>
      </c>
      <c r="CA52">
        <v>1</v>
      </c>
      <c r="CB52">
        <v>0</v>
      </c>
      <c r="CC52">
        <v>0</v>
      </c>
      <c r="CD52">
        <v>1</v>
      </c>
      <c r="CE52">
        <v>0</v>
      </c>
      <c r="CF52">
        <v>0</v>
      </c>
      <c r="CG52">
        <v>1</v>
      </c>
      <c r="CH52">
        <v>0</v>
      </c>
      <c r="CI52">
        <v>1</v>
      </c>
      <c r="CJ52">
        <v>0</v>
      </c>
      <c r="CK52">
        <v>0</v>
      </c>
      <c r="CL52">
        <v>0</v>
      </c>
      <c r="CN52">
        <v>3</v>
      </c>
      <c r="CO52">
        <v>3</v>
      </c>
      <c r="CP52" t="s">
        <v>492</v>
      </c>
      <c r="CQ52">
        <v>2</v>
      </c>
      <c r="CR52">
        <v>2</v>
      </c>
      <c r="EB52">
        <v>0</v>
      </c>
      <c r="EC52">
        <v>0</v>
      </c>
      <c r="ED52">
        <v>0</v>
      </c>
      <c r="EE52">
        <v>1</v>
      </c>
      <c r="EF52">
        <v>1</v>
      </c>
      <c r="EG52">
        <v>0</v>
      </c>
      <c r="EH52">
        <v>0</v>
      </c>
      <c r="EI52">
        <v>0</v>
      </c>
      <c r="EJ52">
        <v>0</v>
      </c>
      <c r="EK52">
        <v>0</v>
      </c>
      <c r="EM52">
        <v>0</v>
      </c>
      <c r="EN52">
        <v>0</v>
      </c>
      <c r="EO52">
        <v>1</v>
      </c>
      <c r="EP52">
        <v>0</v>
      </c>
      <c r="EQ52">
        <v>0</v>
      </c>
      <c r="ER52">
        <v>0</v>
      </c>
      <c r="ES52">
        <v>0</v>
      </c>
      <c r="ET52">
        <v>0</v>
      </c>
      <c r="EU52">
        <v>0</v>
      </c>
      <c r="EV52">
        <v>0</v>
      </c>
      <c r="EW52">
        <v>0</v>
      </c>
      <c r="EX52">
        <v>0</v>
      </c>
      <c r="EY52">
        <v>0</v>
      </c>
      <c r="FY52" t="s">
        <v>493</v>
      </c>
      <c r="FZ52">
        <v>0</v>
      </c>
      <c r="GA52">
        <v>0</v>
      </c>
      <c r="GB52">
        <v>0</v>
      </c>
      <c r="GC52">
        <v>0</v>
      </c>
      <c r="GD52">
        <v>1</v>
      </c>
      <c r="GE52">
        <v>0</v>
      </c>
      <c r="GF52">
        <v>0</v>
      </c>
      <c r="GG52">
        <v>0</v>
      </c>
      <c r="GH52">
        <v>0</v>
      </c>
      <c r="GI52">
        <v>0</v>
      </c>
      <c r="GJ52">
        <v>0</v>
      </c>
      <c r="GK52">
        <v>0</v>
      </c>
      <c r="GL52">
        <v>0</v>
      </c>
      <c r="GM52">
        <v>0</v>
      </c>
      <c r="GN52">
        <v>0</v>
      </c>
      <c r="GO52">
        <v>0</v>
      </c>
      <c r="GP52">
        <v>0</v>
      </c>
      <c r="GQ52">
        <v>0</v>
      </c>
      <c r="GR52">
        <v>0</v>
      </c>
      <c r="IZ52">
        <v>1</v>
      </c>
      <c r="JA52">
        <v>0</v>
      </c>
      <c r="JB52">
        <v>0</v>
      </c>
      <c r="JC52">
        <v>1</v>
      </c>
      <c r="JD52">
        <v>0</v>
      </c>
      <c r="JE52">
        <v>0</v>
      </c>
      <c r="JF52">
        <v>0</v>
      </c>
      <c r="JG52">
        <v>0</v>
      </c>
      <c r="JH52">
        <v>0</v>
      </c>
      <c r="JI52">
        <v>0</v>
      </c>
      <c r="JJ52">
        <v>0</v>
      </c>
      <c r="JL52">
        <v>2</v>
      </c>
      <c r="JM52" cm="1">
        <f t="array" ref="JM52">IF(OR(JN52:JQ52 &lt;&gt; ""), 1, 0)</f>
        <v>0</v>
      </c>
    </row>
    <row r="53" spans="1:278" x14ac:dyDescent="0.35">
      <c r="A53">
        <v>362785</v>
      </c>
      <c r="C53">
        <v>1</v>
      </c>
      <c r="D53" t="s">
        <v>494</v>
      </c>
      <c r="E53" t="str">
        <f>_xlfn.XLOOKUP(I53, [1]SchoolDistrictStudyWODuplicates!$K:$K, [1]SchoolDistrictStudyWODuplicates!$E:$E, "")</f>
        <v/>
      </c>
      <c r="G53" t="s">
        <v>495</v>
      </c>
      <c r="H53" s="7">
        <v>1730420</v>
      </c>
      <c r="I53" s="7">
        <v>1730420</v>
      </c>
      <c r="J53" s="5" t="e">
        <f>_xlfn.XLOOKUP(I53,#REF!,#REF!,"Not Determined")</f>
        <v>#REF!</v>
      </c>
      <c r="K53" s="5" t="s">
        <v>484</v>
      </c>
      <c r="L53" t="s">
        <v>496</v>
      </c>
      <c r="M53" s="13" t="e">
        <f>_xlfn.XLOOKUP(I53,#REF!,#REF!, "No")</f>
        <v>#REF!</v>
      </c>
      <c r="N53" s="5" t="str">
        <f t="shared" si="11"/>
        <v>No</v>
      </c>
      <c r="O53" s="5" t="str">
        <f t="shared" si="12"/>
        <v>Yes</v>
      </c>
      <c r="P53" s="5" t="str">
        <f t="shared" si="13"/>
        <v>Yes</v>
      </c>
      <c r="Q53" s="5" t="str">
        <f t="shared" si="14"/>
        <v>Yes</v>
      </c>
      <c r="R53" s="5" t="str">
        <f t="shared" si="15"/>
        <v>Yes</v>
      </c>
      <c r="S53" s="5" t="str">
        <f t="shared" si="16"/>
        <v>Yes</v>
      </c>
      <c r="T53" s="5" t="str">
        <f t="shared" si="17"/>
        <v>Yes</v>
      </c>
      <c r="U53" s="5" t="str">
        <f t="shared" si="18"/>
        <v>Yes</v>
      </c>
      <c r="V53" s="5" t="str" cm="1">
        <f t="array" ref="V53">IF(OR(DB53:DG53 =1), "Yes", "No")</f>
        <v>No</v>
      </c>
      <c r="W53" s="5" t="str">
        <f t="shared" si="19"/>
        <v>Yes</v>
      </c>
      <c r="X53" s="5" t="str">
        <f t="shared" si="20"/>
        <v>No</v>
      </c>
      <c r="Y53" s="5" t="str">
        <f t="shared" si="21"/>
        <v>No</v>
      </c>
      <c r="Z53">
        <v>3</v>
      </c>
      <c r="AB53">
        <v>1</v>
      </c>
      <c r="AC53">
        <v>0</v>
      </c>
      <c r="AD53">
        <v>1</v>
      </c>
      <c r="AE53">
        <v>0</v>
      </c>
      <c r="AF53">
        <v>0</v>
      </c>
      <c r="AG53">
        <v>1</v>
      </c>
      <c r="AH53">
        <v>0</v>
      </c>
      <c r="AI53">
        <v>1</v>
      </c>
      <c r="AJ53">
        <v>0</v>
      </c>
      <c r="AK53">
        <v>1</v>
      </c>
      <c r="AM53">
        <v>0</v>
      </c>
      <c r="AN53">
        <v>1</v>
      </c>
      <c r="AO53">
        <v>0</v>
      </c>
      <c r="AQ53">
        <v>144</v>
      </c>
      <c r="AT53">
        <v>144</v>
      </c>
      <c r="AV53">
        <v>1</v>
      </c>
      <c r="AW53">
        <v>1</v>
      </c>
      <c r="AX53">
        <v>0</v>
      </c>
      <c r="AY53">
        <v>0</v>
      </c>
      <c r="AZ53">
        <v>0</v>
      </c>
      <c r="BA53">
        <v>0</v>
      </c>
      <c r="BC53">
        <v>1</v>
      </c>
      <c r="BE53">
        <v>1</v>
      </c>
      <c r="BG53">
        <v>1</v>
      </c>
      <c r="BH53">
        <v>1</v>
      </c>
      <c r="BI53">
        <v>2</v>
      </c>
      <c r="BJ53">
        <v>1</v>
      </c>
      <c r="BK53">
        <v>1</v>
      </c>
      <c r="BL53">
        <v>2</v>
      </c>
      <c r="BM53">
        <v>1</v>
      </c>
      <c r="BN53">
        <v>1</v>
      </c>
      <c r="BO53">
        <v>0</v>
      </c>
      <c r="BP53">
        <v>1</v>
      </c>
      <c r="BQ53">
        <v>0</v>
      </c>
      <c r="BR53">
        <v>0</v>
      </c>
      <c r="BS53">
        <v>0</v>
      </c>
      <c r="BT53">
        <v>0</v>
      </c>
      <c r="BV53">
        <v>0</v>
      </c>
      <c r="BW53">
        <v>0</v>
      </c>
      <c r="BX53">
        <v>0</v>
      </c>
      <c r="BY53">
        <v>0</v>
      </c>
      <c r="BZ53">
        <v>0</v>
      </c>
      <c r="CA53">
        <v>0</v>
      </c>
      <c r="CB53">
        <v>0</v>
      </c>
      <c r="CC53">
        <v>0</v>
      </c>
      <c r="CD53">
        <v>1</v>
      </c>
      <c r="CE53">
        <v>0</v>
      </c>
      <c r="CF53">
        <v>0</v>
      </c>
      <c r="CG53">
        <v>0</v>
      </c>
      <c r="CH53">
        <v>0</v>
      </c>
      <c r="CI53">
        <v>1</v>
      </c>
      <c r="CJ53">
        <v>1</v>
      </c>
      <c r="CK53">
        <v>0</v>
      </c>
      <c r="CL53">
        <v>0</v>
      </c>
      <c r="CN53">
        <v>9</v>
      </c>
      <c r="CO53">
        <v>2</v>
      </c>
      <c r="CP53" t="s">
        <v>497</v>
      </c>
      <c r="CQ53">
        <v>3</v>
      </c>
      <c r="CR53">
        <v>3</v>
      </c>
      <c r="EB53">
        <v>0</v>
      </c>
      <c r="EC53">
        <v>0</v>
      </c>
      <c r="ED53">
        <v>1</v>
      </c>
      <c r="EE53">
        <v>0</v>
      </c>
      <c r="EF53">
        <v>0</v>
      </c>
      <c r="EG53">
        <v>1</v>
      </c>
      <c r="EH53">
        <v>0</v>
      </c>
      <c r="EI53">
        <v>0</v>
      </c>
      <c r="EJ53">
        <v>0</v>
      </c>
      <c r="EK53">
        <v>0</v>
      </c>
      <c r="EM53">
        <v>0</v>
      </c>
      <c r="EN53">
        <v>1</v>
      </c>
      <c r="EO53">
        <v>0</v>
      </c>
      <c r="EP53">
        <v>0</v>
      </c>
      <c r="EQ53">
        <v>1</v>
      </c>
      <c r="ER53">
        <v>0</v>
      </c>
      <c r="ES53">
        <v>0</v>
      </c>
      <c r="ET53">
        <v>1</v>
      </c>
      <c r="EU53">
        <v>0</v>
      </c>
      <c r="EV53">
        <v>0</v>
      </c>
      <c r="EW53">
        <v>1</v>
      </c>
      <c r="EX53">
        <v>0</v>
      </c>
      <c r="EY53">
        <v>0</v>
      </c>
      <c r="FB53" t="s">
        <v>421</v>
      </c>
      <c r="FC53">
        <v>1</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IZ53">
        <v>1</v>
      </c>
      <c r="JA53">
        <v>0</v>
      </c>
      <c r="JB53">
        <v>0</v>
      </c>
      <c r="JC53">
        <v>0</v>
      </c>
      <c r="JD53">
        <v>0</v>
      </c>
      <c r="JE53">
        <v>1</v>
      </c>
      <c r="JF53">
        <v>1</v>
      </c>
      <c r="JG53">
        <v>0</v>
      </c>
      <c r="JH53">
        <v>0</v>
      </c>
      <c r="JI53">
        <v>0</v>
      </c>
      <c r="JJ53">
        <v>0</v>
      </c>
      <c r="JL53">
        <v>1</v>
      </c>
      <c r="JM53" cm="1">
        <f t="array" ref="JM53">IF(OR(JN53:JQ53 &lt;&gt; ""), 1, 0)</f>
        <v>1</v>
      </c>
      <c r="JN53">
        <v>1</v>
      </c>
      <c r="JO53">
        <v>0</v>
      </c>
      <c r="JP53">
        <v>1</v>
      </c>
      <c r="JQ53">
        <v>0</v>
      </c>
    </row>
    <row r="54" spans="1:278" x14ac:dyDescent="0.35">
      <c r="A54">
        <v>363337</v>
      </c>
      <c r="C54">
        <v>1</v>
      </c>
      <c r="D54" t="s">
        <v>498</v>
      </c>
      <c r="E54" t="str">
        <f>_xlfn.XLOOKUP(I54, [1]SchoolDistrictStudyWODuplicates!$K:$K, [1]SchoolDistrictStudyWODuplicates!$E:$E, "")</f>
        <v>Fieldcrest CUSD No.6</v>
      </c>
      <c r="G54" t="s">
        <v>499</v>
      </c>
      <c r="H54" s="5" t="e">
        <f>_xlfn.XLOOKUP(A54,#REF!,#REF!, "No")</f>
        <v>#REF!</v>
      </c>
      <c r="I54" s="7">
        <v>1715100</v>
      </c>
      <c r="J54" s="5" t="e">
        <f>_xlfn.XLOOKUP(I54,#REF!,#REF!,"Not Determined")</f>
        <v>#REF!</v>
      </c>
      <c r="K54" s="5" t="s">
        <v>484</v>
      </c>
      <c r="L54" t="s">
        <v>496</v>
      </c>
      <c r="M54" s="13" t="e">
        <f>_xlfn.XLOOKUP(I54,#REF!,#REF!, "No")</f>
        <v>#REF!</v>
      </c>
      <c r="N54" s="5" t="str">
        <f t="shared" si="11"/>
        <v>No</v>
      </c>
      <c r="O54" s="5" t="str">
        <f t="shared" si="12"/>
        <v>Yes</v>
      </c>
      <c r="P54" s="5" t="str">
        <f t="shared" si="13"/>
        <v>Yes</v>
      </c>
      <c r="Q54" s="5" t="str">
        <f t="shared" si="14"/>
        <v>Yes</v>
      </c>
      <c r="R54" s="5" t="str">
        <f t="shared" si="15"/>
        <v>Yes</v>
      </c>
      <c r="S54" s="5" t="str">
        <f t="shared" si="16"/>
        <v>Yes</v>
      </c>
      <c r="T54" s="5" t="str">
        <f t="shared" si="17"/>
        <v>No</v>
      </c>
      <c r="U54" s="5" t="str">
        <f t="shared" si="18"/>
        <v>No</v>
      </c>
      <c r="V54" s="5" t="str" cm="1">
        <f t="array" ref="V54">IF(OR(DB54:DG54 =1), "Yes", "No")</f>
        <v>No</v>
      </c>
      <c r="W54" s="5" t="str">
        <f t="shared" si="19"/>
        <v>No</v>
      </c>
      <c r="X54" s="5" t="str">
        <f t="shared" si="20"/>
        <v>No</v>
      </c>
      <c r="Y54" s="5" t="str">
        <f t="shared" si="21"/>
        <v>No</v>
      </c>
      <c r="Z54">
        <v>3</v>
      </c>
      <c r="AB54">
        <v>1</v>
      </c>
      <c r="AC54">
        <v>0</v>
      </c>
      <c r="AD54">
        <v>1</v>
      </c>
      <c r="AE54">
        <v>0</v>
      </c>
      <c r="AF54">
        <v>0</v>
      </c>
      <c r="AG54">
        <v>1</v>
      </c>
      <c r="AH54">
        <v>0</v>
      </c>
      <c r="AI54">
        <v>1</v>
      </c>
      <c r="AJ54">
        <v>0</v>
      </c>
      <c r="AK54">
        <v>1</v>
      </c>
      <c r="AM54">
        <v>1</v>
      </c>
      <c r="AN54">
        <v>1</v>
      </c>
      <c r="AO54">
        <v>0</v>
      </c>
      <c r="AP54">
        <v>1</v>
      </c>
      <c r="AQ54">
        <v>19</v>
      </c>
      <c r="AS54">
        <v>1</v>
      </c>
      <c r="AT54">
        <v>19</v>
      </c>
      <c r="AV54">
        <v>0</v>
      </c>
      <c r="AW54">
        <v>1</v>
      </c>
      <c r="AX54">
        <v>0</v>
      </c>
      <c r="AY54">
        <v>0</v>
      </c>
      <c r="AZ54">
        <v>0</v>
      </c>
      <c r="BA54">
        <v>0</v>
      </c>
      <c r="BC54">
        <v>2</v>
      </c>
      <c r="BE54">
        <v>3</v>
      </c>
      <c r="BG54">
        <v>1</v>
      </c>
      <c r="BH54">
        <v>1</v>
      </c>
      <c r="BI54">
        <v>5</v>
      </c>
      <c r="BJ54">
        <v>2</v>
      </c>
      <c r="BL54">
        <v>2</v>
      </c>
      <c r="BM54">
        <v>1</v>
      </c>
      <c r="BN54">
        <v>2</v>
      </c>
      <c r="BV54">
        <v>0</v>
      </c>
      <c r="BW54">
        <v>0</v>
      </c>
      <c r="BX54">
        <v>1</v>
      </c>
      <c r="BY54">
        <v>1</v>
      </c>
      <c r="BZ54">
        <v>1</v>
      </c>
      <c r="CA54">
        <v>0</v>
      </c>
      <c r="CB54">
        <v>0</v>
      </c>
      <c r="CC54">
        <v>0</v>
      </c>
      <c r="CD54">
        <v>1</v>
      </c>
      <c r="CE54">
        <v>0</v>
      </c>
      <c r="CF54">
        <v>0</v>
      </c>
      <c r="CG54">
        <v>1</v>
      </c>
      <c r="CH54">
        <v>0</v>
      </c>
      <c r="CI54">
        <v>1</v>
      </c>
      <c r="CJ54">
        <v>0</v>
      </c>
      <c r="CK54">
        <v>0</v>
      </c>
      <c r="CL54">
        <v>0</v>
      </c>
      <c r="CN54">
        <v>5</v>
      </c>
      <c r="CO54">
        <v>4</v>
      </c>
      <c r="CQ54">
        <v>2</v>
      </c>
      <c r="CR54">
        <v>2</v>
      </c>
      <c r="EB54">
        <v>0</v>
      </c>
      <c r="EC54">
        <v>0</v>
      </c>
      <c r="ED54">
        <v>1</v>
      </c>
      <c r="EE54">
        <v>1</v>
      </c>
      <c r="EF54">
        <v>1</v>
      </c>
      <c r="EG54">
        <v>1</v>
      </c>
      <c r="EH54">
        <v>0</v>
      </c>
      <c r="EI54">
        <v>1</v>
      </c>
      <c r="EJ54">
        <v>0</v>
      </c>
      <c r="EK54">
        <v>0</v>
      </c>
      <c r="EM54">
        <v>0</v>
      </c>
      <c r="EN54">
        <v>1</v>
      </c>
      <c r="EO54">
        <v>0</v>
      </c>
      <c r="EP54">
        <v>0</v>
      </c>
      <c r="EQ54">
        <v>0</v>
      </c>
      <c r="ER54">
        <v>0</v>
      </c>
      <c r="ES54">
        <v>0</v>
      </c>
      <c r="ET54">
        <v>0</v>
      </c>
      <c r="EU54">
        <v>0</v>
      </c>
      <c r="EV54">
        <v>0</v>
      </c>
      <c r="EW54">
        <v>0</v>
      </c>
      <c r="EX54">
        <v>0</v>
      </c>
      <c r="EY54">
        <v>0</v>
      </c>
      <c r="FB54" t="s">
        <v>500</v>
      </c>
      <c r="FC54">
        <v>1</v>
      </c>
      <c r="FD54">
        <v>1</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IZ54">
        <v>1</v>
      </c>
      <c r="JA54">
        <v>0</v>
      </c>
      <c r="JB54">
        <v>0</v>
      </c>
      <c r="JC54">
        <v>1</v>
      </c>
      <c r="JD54">
        <v>0</v>
      </c>
      <c r="JE54">
        <v>0</v>
      </c>
      <c r="JF54">
        <v>0</v>
      </c>
      <c r="JG54">
        <v>1</v>
      </c>
      <c r="JH54">
        <v>0</v>
      </c>
      <c r="JI54">
        <v>0</v>
      </c>
      <c r="JJ54">
        <v>0</v>
      </c>
      <c r="JL54">
        <v>2</v>
      </c>
      <c r="JM54" cm="1">
        <f t="array" ref="JM54">IF(OR(JN54:JQ54 &lt;&gt; ""), 1, 0)</f>
        <v>0</v>
      </c>
    </row>
    <row r="55" spans="1:278" x14ac:dyDescent="0.35">
      <c r="A55">
        <v>362577</v>
      </c>
      <c r="C55">
        <v>1</v>
      </c>
      <c r="D55" t="s">
        <v>501</v>
      </c>
      <c r="E55" t="str">
        <f>_xlfn.XLOOKUP(I55, [1]SchoolDistrictStudyWODuplicates!$K:$K, [1]SchoolDistrictStudyWODuplicates!$E:$E, "")</f>
        <v>Harmony-Emge School District No. 175</v>
      </c>
      <c r="G55" t="s">
        <v>502</v>
      </c>
      <c r="H55" s="7">
        <v>1714220</v>
      </c>
      <c r="I55" s="7">
        <v>1714220</v>
      </c>
      <c r="J55" s="5" t="e">
        <f>_xlfn.XLOOKUP(I55,#REF!,#REF!,"Not Determined")</f>
        <v>#REF!</v>
      </c>
      <c r="K55" s="5" t="s">
        <v>484</v>
      </c>
      <c r="L55" t="s">
        <v>496</v>
      </c>
      <c r="M55" s="13" t="e">
        <f>_xlfn.XLOOKUP(I55,#REF!,#REF!, "No")</f>
        <v>#REF!</v>
      </c>
      <c r="N55" s="5" t="str">
        <f t="shared" si="11"/>
        <v>No</v>
      </c>
      <c r="O55" s="5" t="str">
        <f t="shared" si="12"/>
        <v>Yes</v>
      </c>
      <c r="P55" s="5" t="str">
        <f t="shared" si="13"/>
        <v>Yes</v>
      </c>
      <c r="Q55" s="5" t="str">
        <f t="shared" si="14"/>
        <v>Yes</v>
      </c>
      <c r="R55" s="5" t="str">
        <f t="shared" si="15"/>
        <v>No</v>
      </c>
      <c r="S55" s="5" t="str">
        <f t="shared" si="16"/>
        <v>No</v>
      </c>
      <c r="T55" s="5" t="str">
        <f t="shared" si="17"/>
        <v>No</v>
      </c>
      <c r="U55" s="5" t="str">
        <f t="shared" si="18"/>
        <v>No</v>
      </c>
      <c r="V55" s="5" t="str" cm="1">
        <f t="array" ref="V55">IF(OR(DB55:DG55 =1), "Yes", "No")</f>
        <v>No</v>
      </c>
      <c r="W55" s="5" t="str">
        <f t="shared" si="19"/>
        <v>No</v>
      </c>
      <c r="X55" s="5" t="str">
        <f t="shared" si="20"/>
        <v>No</v>
      </c>
      <c r="Y55" s="5" t="str">
        <f t="shared" si="21"/>
        <v>No</v>
      </c>
      <c r="Z55">
        <v>3</v>
      </c>
      <c r="AB55">
        <v>1</v>
      </c>
      <c r="AC55">
        <v>0</v>
      </c>
      <c r="AD55">
        <v>1</v>
      </c>
      <c r="AE55">
        <v>0</v>
      </c>
      <c r="AF55">
        <v>0</v>
      </c>
      <c r="AG55">
        <v>0</v>
      </c>
      <c r="AH55">
        <v>0</v>
      </c>
      <c r="AI55">
        <v>1</v>
      </c>
      <c r="AJ55">
        <v>0</v>
      </c>
      <c r="AK55">
        <v>1</v>
      </c>
      <c r="AM55">
        <v>1</v>
      </c>
      <c r="AN55">
        <v>1</v>
      </c>
      <c r="AO55">
        <v>1</v>
      </c>
      <c r="AP55">
        <v>13</v>
      </c>
      <c r="AQ55">
        <v>15</v>
      </c>
      <c r="AR55">
        <v>2</v>
      </c>
      <c r="AS55">
        <v>13</v>
      </c>
      <c r="AT55">
        <v>15</v>
      </c>
      <c r="AU55">
        <v>2</v>
      </c>
      <c r="AV55">
        <v>1</v>
      </c>
      <c r="AW55">
        <v>1</v>
      </c>
      <c r="AX55">
        <v>0</v>
      </c>
      <c r="AY55">
        <v>0</v>
      </c>
      <c r="AZ55">
        <v>0</v>
      </c>
      <c r="BA55">
        <v>0</v>
      </c>
      <c r="BC55">
        <v>2</v>
      </c>
      <c r="BE55">
        <v>3</v>
      </c>
      <c r="BG55">
        <v>1</v>
      </c>
      <c r="BH55">
        <v>1</v>
      </c>
      <c r="BI55">
        <v>4</v>
      </c>
      <c r="BJ55">
        <v>1</v>
      </c>
      <c r="BK55">
        <v>4</v>
      </c>
      <c r="BL55">
        <v>1</v>
      </c>
      <c r="BM55">
        <v>1</v>
      </c>
      <c r="BN55">
        <v>1</v>
      </c>
      <c r="BO55">
        <v>0</v>
      </c>
      <c r="BP55">
        <v>0</v>
      </c>
      <c r="BQ55">
        <v>0</v>
      </c>
      <c r="BR55">
        <v>0</v>
      </c>
      <c r="BS55">
        <v>0</v>
      </c>
      <c r="BT55">
        <v>1</v>
      </c>
      <c r="BU55" t="s">
        <v>503</v>
      </c>
      <c r="BV55">
        <v>1</v>
      </c>
      <c r="BW55">
        <v>0</v>
      </c>
      <c r="BX55">
        <v>0</v>
      </c>
      <c r="BY55">
        <v>0</v>
      </c>
      <c r="BZ55">
        <v>0</v>
      </c>
      <c r="CA55">
        <v>0</v>
      </c>
      <c r="CB55">
        <v>0</v>
      </c>
      <c r="CC55">
        <v>0</v>
      </c>
      <c r="CD55">
        <v>1</v>
      </c>
      <c r="CE55">
        <v>0</v>
      </c>
      <c r="CF55">
        <v>0</v>
      </c>
      <c r="CG55">
        <v>1</v>
      </c>
      <c r="CH55">
        <v>0</v>
      </c>
      <c r="CI55">
        <v>0</v>
      </c>
      <c r="CJ55">
        <v>0</v>
      </c>
      <c r="CK55">
        <v>0</v>
      </c>
      <c r="CL55">
        <v>0</v>
      </c>
      <c r="CN55">
        <v>9</v>
      </c>
      <c r="JM55" cm="1">
        <f t="array" ref="JM55">IF(OR(JN55:JQ55 &lt;&gt; ""), 1, 0)</f>
        <v>0</v>
      </c>
    </row>
    <row r="56" spans="1:278" x14ac:dyDescent="0.35">
      <c r="A56">
        <v>405449</v>
      </c>
      <c r="C56">
        <v>1</v>
      </c>
      <c r="D56" t="s">
        <v>504</v>
      </c>
      <c r="E56" t="str">
        <f>_xlfn.XLOOKUP(I56, [1]SchoolDistrictStudyWODuplicates!$K:$K, [1]SchoolDistrictStudyWODuplicates!$E:$E, "")</f>
        <v/>
      </c>
      <c r="G56" t="s">
        <v>505</v>
      </c>
      <c r="H56" s="5" t="e">
        <f>_xlfn.XLOOKUP(A56,#REF!,#REF!, "No")</f>
        <v>#REF!</v>
      </c>
      <c r="I56" s="7">
        <v>1719660</v>
      </c>
      <c r="J56" s="5" t="e">
        <f>_xlfn.XLOOKUP(I56,#REF!,#REF!,"Not Determined")</f>
        <v>#REF!</v>
      </c>
      <c r="K56" s="5" t="s">
        <v>484</v>
      </c>
      <c r="L56" t="s">
        <v>496</v>
      </c>
      <c r="M56" s="13" t="e">
        <f>_xlfn.XLOOKUP(I56,#REF!,#REF!, "No")</f>
        <v>#REF!</v>
      </c>
      <c r="N56" s="5" t="str">
        <f t="shared" si="11"/>
        <v>No</v>
      </c>
      <c r="O56" s="5" t="str">
        <f t="shared" si="12"/>
        <v>Yes</v>
      </c>
      <c r="P56" s="5" t="str">
        <f t="shared" si="13"/>
        <v>Yes</v>
      </c>
      <c r="Q56" s="5" t="str">
        <f t="shared" si="14"/>
        <v>Yes</v>
      </c>
      <c r="R56" s="5" t="str">
        <f t="shared" si="15"/>
        <v>Yes</v>
      </c>
      <c r="S56" s="5" t="str">
        <f t="shared" si="16"/>
        <v>Yes</v>
      </c>
      <c r="T56" s="5" t="str">
        <f t="shared" si="17"/>
        <v>Yes</v>
      </c>
      <c r="U56" s="5" t="str">
        <f t="shared" si="18"/>
        <v>Yes</v>
      </c>
      <c r="V56" s="5" t="str" cm="1">
        <f t="array" ref="V56">IF(OR(DB56:DG56 =1), "Yes", "No")</f>
        <v>No</v>
      </c>
      <c r="W56" s="5" t="str">
        <f t="shared" si="19"/>
        <v>Yes</v>
      </c>
      <c r="X56" s="5" t="str">
        <f t="shared" si="20"/>
        <v>No</v>
      </c>
      <c r="Y56" s="5" t="str">
        <f t="shared" si="21"/>
        <v>No</v>
      </c>
      <c r="Z56">
        <v>3</v>
      </c>
      <c r="AB56">
        <v>1</v>
      </c>
      <c r="AC56">
        <v>0</v>
      </c>
      <c r="AD56">
        <v>1</v>
      </c>
      <c r="AE56">
        <v>0</v>
      </c>
      <c r="AF56">
        <v>0</v>
      </c>
      <c r="AG56">
        <v>0</v>
      </c>
      <c r="AH56">
        <v>0</v>
      </c>
      <c r="AI56">
        <v>1</v>
      </c>
      <c r="AJ56">
        <v>0</v>
      </c>
      <c r="AK56">
        <v>1</v>
      </c>
      <c r="AM56">
        <v>1</v>
      </c>
      <c r="AN56">
        <v>1</v>
      </c>
      <c r="AO56">
        <v>1</v>
      </c>
      <c r="AP56">
        <v>3</v>
      </c>
      <c r="AQ56">
        <v>12</v>
      </c>
      <c r="AR56">
        <v>0</v>
      </c>
      <c r="AS56">
        <v>3</v>
      </c>
      <c r="AT56">
        <v>12</v>
      </c>
      <c r="AV56">
        <v>0</v>
      </c>
      <c r="AW56">
        <v>1</v>
      </c>
      <c r="AX56">
        <v>0</v>
      </c>
      <c r="AY56">
        <v>1</v>
      </c>
      <c r="AZ56">
        <v>0</v>
      </c>
      <c r="BA56">
        <v>0</v>
      </c>
      <c r="BC56">
        <v>4</v>
      </c>
      <c r="BE56">
        <v>1</v>
      </c>
      <c r="BG56">
        <v>1</v>
      </c>
      <c r="BH56">
        <v>1</v>
      </c>
      <c r="BI56">
        <v>2</v>
      </c>
      <c r="BJ56">
        <v>1</v>
      </c>
      <c r="BK56">
        <v>1</v>
      </c>
      <c r="BL56">
        <v>1</v>
      </c>
      <c r="BM56">
        <v>1</v>
      </c>
      <c r="BN56">
        <v>1</v>
      </c>
      <c r="BO56">
        <v>0</v>
      </c>
      <c r="BP56">
        <v>0</v>
      </c>
      <c r="BQ56">
        <v>0</v>
      </c>
      <c r="BR56">
        <v>0</v>
      </c>
      <c r="BS56">
        <v>0</v>
      </c>
      <c r="BT56">
        <v>1</v>
      </c>
      <c r="BU56" t="s">
        <v>506</v>
      </c>
      <c r="BV56">
        <v>0</v>
      </c>
      <c r="BW56">
        <v>0</v>
      </c>
      <c r="BX56">
        <v>0</v>
      </c>
      <c r="BY56">
        <v>0</v>
      </c>
      <c r="BZ56">
        <v>0</v>
      </c>
      <c r="CA56">
        <v>0</v>
      </c>
      <c r="CB56">
        <v>0</v>
      </c>
      <c r="CC56">
        <v>0</v>
      </c>
      <c r="CD56">
        <v>0</v>
      </c>
      <c r="CE56">
        <v>0</v>
      </c>
      <c r="CF56">
        <v>0</v>
      </c>
      <c r="CG56">
        <v>0</v>
      </c>
      <c r="CH56">
        <v>0</v>
      </c>
      <c r="CI56">
        <v>0</v>
      </c>
      <c r="CJ56">
        <v>1</v>
      </c>
      <c r="CK56">
        <v>0</v>
      </c>
      <c r="CL56">
        <v>0</v>
      </c>
      <c r="CN56">
        <v>5</v>
      </c>
      <c r="CO56">
        <v>3</v>
      </c>
      <c r="CP56" t="s">
        <v>507</v>
      </c>
      <c r="CQ56">
        <v>4</v>
      </c>
      <c r="CR56">
        <v>4</v>
      </c>
      <c r="EB56">
        <v>1</v>
      </c>
      <c r="EC56">
        <v>0</v>
      </c>
      <c r="ED56">
        <v>0</v>
      </c>
      <c r="EE56">
        <v>0</v>
      </c>
      <c r="EF56">
        <v>0</v>
      </c>
      <c r="EG56">
        <v>0</v>
      </c>
      <c r="EH56">
        <v>0</v>
      </c>
      <c r="EI56">
        <v>0</v>
      </c>
      <c r="EJ56">
        <v>1</v>
      </c>
      <c r="EK56">
        <v>0</v>
      </c>
      <c r="EL56" t="s">
        <v>508</v>
      </c>
      <c r="EM56">
        <v>0</v>
      </c>
      <c r="EN56">
        <v>1</v>
      </c>
      <c r="EO56">
        <v>0</v>
      </c>
      <c r="EP56">
        <v>1</v>
      </c>
      <c r="EQ56">
        <v>0</v>
      </c>
      <c r="ER56">
        <v>0</v>
      </c>
      <c r="ES56">
        <v>0</v>
      </c>
      <c r="ET56">
        <v>0</v>
      </c>
      <c r="EU56">
        <v>0</v>
      </c>
      <c r="EV56">
        <v>0</v>
      </c>
      <c r="EW56">
        <v>1</v>
      </c>
      <c r="EX56">
        <v>0</v>
      </c>
      <c r="EY56">
        <v>0</v>
      </c>
      <c r="FB56" t="s">
        <v>274</v>
      </c>
      <c r="FC56">
        <v>1</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IZ56">
        <v>1</v>
      </c>
      <c r="JA56">
        <v>1</v>
      </c>
      <c r="JB56">
        <v>0</v>
      </c>
      <c r="JC56">
        <v>1</v>
      </c>
      <c r="JD56">
        <v>0</v>
      </c>
      <c r="JE56">
        <v>0</v>
      </c>
      <c r="JF56">
        <v>0</v>
      </c>
      <c r="JG56">
        <v>0</v>
      </c>
      <c r="JH56">
        <v>0</v>
      </c>
      <c r="JI56">
        <v>0</v>
      </c>
      <c r="JJ56">
        <v>0</v>
      </c>
      <c r="JL56">
        <v>1</v>
      </c>
      <c r="JM56" cm="1">
        <f t="array" ref="JM56">IF(OR(JN56:JQ56 &lt;&gt; ""), 1, 0)</f>
        <v>1</v>
      </c>
      <c r="JN56">
        <v>1</v>
      </c>
      <c r="JO56">
        <v>1</v>
      </c>
      <c r="JP56">
        <v>1</v>
      </c>
      <c r="JQ56">
        <v>0</v>
      </c>
    </row>
    <row r="57" spans="1:278" x14ac:dyDescent="0.35">
      <c r="A57">
        <v>405383</v>
      </c>
      <c r="C57">
        <v>1</v>
      </c>
      <c r="D57" t="s">
        <v>509</v>
      </c>
      <c r="E57" t="str">
        <f>_xlfn.XLOOKUP(I57, [1]SchoolDistrictStudyWODuplicates!$K:$K, [1]SchoolDistrictStudyWODuplicates!$E:$E, "")</f>
        <v/>
      </c>
      <c r="G57" t="s">
        <v>510</v>
      </c>
      <c r="H57" s="7">
        <v>1731740</v>
      </c>
      <c r="I57" s="7">
        <v>1731740</v>
      </c>
      <c r="J57" s="5" t="e">
        <f>_xlfn.XLOOKUP(I57,#REF!,#REF!,"Not Determined")</f>
        <v>#REF!</v>
      </c>
      <c r="K57" s="5" t="s">
        <v>484</v>
      </c>
      <c r="L57" t="s">
        <v>496</v>
      </c>
      <c r="M57" s="13" t="e">
        <f>_xlfn.XLOOKUP(I57,#REF!,#REF!, "No")</f>
        <v>#REF!</v>
      </c>
      <c r="N57" s="5" t="str">
        <f t="shared" si="11"/>
        <v>No</v>
      </c>
      <c r="O57" s="5" t="str">
        <f t="shared" si="12"/>
        <v>Yes</v>
      </c>
      <c r="P57" s="5" t="str">
        <f t="shared" si="13"/>
        <v>Yes</v>
      </c>
      <c r="Q57" s="5" t="str">
        <f t="shared" si="14"/>
        <v>No</v>
      </c>
      <c r="R57" s="5" t="str">
        <f t="shared" si="15"/>
        <v>Yes</v>
      </c>
      <c r="S57" s="5" t="str">
        <f t="shared" si="16"/>
        <v>Yes</v>
      </c>
      <c r="T57" s="5" t="str">
        <f t="shared" si="17"/>
        <v>Yes</v>
      </c>
      <c r="U57" s="5" t="str">
        <f t="shared" si="18"/>
        <v>Yes</v>
      </c>
      <c r="V57" s="5" t="str" cm="1">
        <f t="array" ref="V57">IF(OR(DB57:DG57 =1), "Yes", "No")</f>
        <v>No</v>
      </c>
      <c r="W57" s="5" t="str">
        <f t="shared" si="19"/>
        <v>Yes</v>
      </c>
      <c r="X57" s="5" t="str">
        <f t="shared" si="20"/>
        <v>No</v>
      </c>
      <c r="Y57" s="5" t="str">
        <f t="shared" si="21"/>
        <v>No</v>
      </c>
      <c r="Z57">
        <v>13</v>
      </c>
      <c r="AB57">
        <v>0</v>
      </c>
      <c r="AC57">
        <v>1</v>
      </c>
      <c r="AD57">
        <v>0</v>
      </c>
      <c r="AE57">
        <v>0</v>
      </c>
      <c r="AF57">
        <v>0</v>
      </c>
      <c r="AG57">
        <v>0</v>
      </c>
      <c r="AH57">
        <v>0</v>
      </c>
      <c r="AI57">
        <v>0</v>
      </c>
      <c r="AJ57">
        <v>0</v>
      </c>
      <c r="AK57">
        <v>1</v>
      </c>
      <c r="AM57">
        <v>1</v>
      </c>
      <c r="AN57">
        <v>0</v>
      </c>
      <c r="AO57">
        <v>0</v>
      </c>
      <c r="AP57">
        <v>50</v>
      </c>
      <c r="AS57">
        <v>50</v>
      </c>
      <c r="AV57">
        <v>1</v>
      </c>
      <c r="AW57">
        <v>1</v>
      </c>
      <c r="AX57">
        <v>0</v>
      </c>
      <c r="AY57">
        <v>0</v>
      </c>
      <c r="AZ57">
        <v>0</v>
      </c>
      <c r="BA57">
        <v>0</v>
      </c>
      <c r="BC57">
        <v>1</v>
      </c>
      <c r="BE57">
        <v>2</v>
      </c>
      <c r="BG57">
        <v>2</v>
      </c>
      <c r="BJ57">
        <v>2</v>
      </c>
      <c r="BL57">
        <v>2</v>
      </c>
      <c r="BM57">
        <v>1</v>
      </c>
      <c r="BN57">
        <v>1</v>
      </c>
      <c r="BO57">
        <v>1</v>
      </c>
      <c r="BP57">
        <v>0</v>
      </c>
      <c r="BQ57">
        <v>0</v>
      </c>
      <c r="BR57">
        <v>0</v>
      </c>
      <c r="BS57">
        <v>1</v>
      </c>
      <c r="BT57">
        <v>0</v>
      </c>
      <c r="BV57">
        <v>0</v>
      </c>
      <c r="BW57">
        <v>0</v>
      </c>
      <c r="BX57">
        <v>0</v>
      </c>
      <c r="BY57">
        <v>0</v>
      </c>
      <c r="BZ57">
        <v>1</v>
      </c>
      <c r="CA57">
        <v>0</v>
      </c>
      <c r="CB57">
        <v>0</v>
      </c>
      <c r="CC57">
        <v>1</v>
      </c>
      <c r="CD57">
        <v>1</v>
      </c>
      <c r="CE57">
        <v>0</v>
      </c>
      <c r="CF57">
        <v>1</v>
      </c>
      <c r="CG57">
        <v>1</v>
      </c>
      <c r="CH57">
        <v>1</v>
      </c>
      <c r="CI57">
        <v>1</v>
      </c>
      <c r="CJ57">
        <v>1</v>
      </c>
      <c r="CK57">
        <v>0</v>
      </c>
      <c r="CL57">
        <v>0</v>
      </c>
      <c r="CN57">
        <v>1</v>
      </c>
      <c r="CO57">
        <v>2</v>
      </c>
      <c r="CP57" t="s">
        <v>511</v>
      </c>
      <c r="CQ57">
        <v>3</v>
      </c>
      <c r="CR57">
        <v>3</v>
      </c>
      <c r="EB57">
        <v>1</v>
      </c>
      <c r="EC57">
        <v>1</v>
      </c>
      <c r="ED57">
        <v>1</v>
      </c>
      <c r="EE57">
        <v>1</v>
      </c>
      <c r="EF57">
        <v>0</v>
      </c>
      <c r="EG57">
        <v>1</v>
      </c>
      <c r="EH57">
        <v>0</v>
      </c>
      <c r="EI57">
        <v>0</v>
      </c>
      <c r="EJ57">
        <v>0</v>
      </c>
      <c r="EK57">
        <v>0</v>
      </c>
      <c r="EM57">
        <v>1</v>
      </c>
      <c r="EN57">
        <v>0</v>
      </c>
      <c r="EO57">
        <v>0</v>
      </c>
      <c r="EP57">
        <v>0</v>
      </c>
      <c r="EQ57">
        <v>0</v>
      </c>
      <c r="ER57">
        <v>0</v>
      </c>
      <c r="ES57">
        <v>0</v>
      </c>
      <c r="ET57">
        <v>0</v>
      </c>
      <c r="EU57">
        <v>0</v>
      </c>
      <c r="EV57">
        <v>0</v>
      </c>
      <c r="EW57">
        <v>0</v>
      </c>
      <c r="EX57">
        <v>0</v>
      </c>
      <c r="EY57">
        <v>0</v>
      </c>
      <c r="EZ57" t="s">
        <v>512</v>
      </c>
      <c r="FA57">
        <v>12</v>
      </c>
      <c r="IZ57">
        <v>1</v>
      </c>
      <c r="JA57">
        <v>0</v>
      </c>
      <c r="JB57">
        <v>1</v>
      </c>
      <c r="JC57">
        <v>0</v>
      </c>
      <c r="JD57">
        <v>0</v>
      </c>
      <c r="JE57">
        <v>0</v>
      </c>
      <c r="JF57">
        <v>1</v>
      </c>
      <c r="JG57">
        <v>0</v>
      </c>
      <c r="JH57">
        <v>0</v>
      </c>
      <c r="JI57">
        <v>0</v>
      </c>
      <c r="JJ57">
        <v>0</v>
      </c>
      <c r="JL57">
        <v>1</v>
      </c>
      <c r="JM57" cm="1">
        <f t="array" ref="JM57">IF(OR(JN57:JQ57 &lt;&gt; ""), 1, 0)</f>
        <v>1</v>
      </c>
      <c r="JN57">
        <v>0</v>
      </c>
      <c r="JO57">
        <v>0</v>
      </c>
      <c r="JP57">
        <v>0</v>
      </c>
      <c r="JQ57">
        <v>1</v>
      </c>
      <c r="JR57" t="s">
        <v>513</v>
      </c>
    </row>
    <row r="58" spans="1:278" x14ac:dyDescent="0.35">
      <c r="A58">
        <v>405320</v>
      </c>
      <c r="C58">
        <v>1</v>
      </c>
      <c r="D58" t="s">
        <v>573</v>
      </c>
      <c r="E58" t="str">
        <f>_xlfn.XLOOKUP(I58, [1]SchoolDistrictStudyWODuplicates!$K:$K, [1]SchoolDistrictStudyWODuplicates!$E:$E, "")</f>
        <v/>
      </c>
      <c r="G58" t="s">
        <v>574</v>
      </c>
      <c r="H58" s="7">
        <v>1931290</v>
      </c>
      <c r="I58" s="7">
        <v>1931290</v>
      </c>
      <c r="J58" s="5" t="e">
        <f>_xlfn.XLOOKUP(I58,#REF!,#REF!,"Not Determined")</f>
        <v>#REF!</v>
      </c>
      <c r="K58" s="5" t="s">
        <v>466</v>
      </c>
      <c r="L58" t="s">
        <v>569</v>
      </c>
      <c r="M58" s="13" t="e">
        <f>_xlfn.XLOOKUP(I58,#REF!,#REF!, "No")</f>
        <v>#REF!</v>
      </c>
      <c r="N58" s="5" t="str">
        <f t="shared" si="11"/>
        <v>Yes</v>
      </c>
      <c r="O58" s="5" t="str">
        <f t="shared" si="12"/>
        <v>Yes</v>
      </c>
      <c r="P58" s="5" t="str">
        <f t="shared" si="13"/>
        <v>Yes</v>
      </c>
      <c r="Q58" s="5" t="str">
        <f t="shared" si="14"/>
        <v>Yes</v>
      </c>
      <c r="R58" s="5" t="str">
        <f t="shared" si="15"/>
        <v>Yes</v>
      </c>
      <c r="S58" s="5" t="str">
        <f t="shared" si="16"/>
        <v>Yes</v>
      </c>
      <c r="T58" s="5" t="str">
        <f t="shared" si="17"/>
        <v>Yes</v>
      </c>
      <c r="U58" s="5" t="str">
        <f t="shared" si="18"/>
        <v>Yes</v>
      </c>
      <c r="V58" s="5" t="str" cm="1">
        <f t="array" ref="V58">IF(OR(DB58:DG58 =1), "Yes", "No")</f>
        <v>Yes</v>
      </c>
      <c r="W58" s="5" t="str">
        <f t="shared" si="19"/>
        <v>No</v>
      </c>
      <c r="X58" s="5" t="str">
        <f t="shared" si="20"/>
        <v>No</v>
      </c>
      <c r="Y58" s="5" t="str">
        <f t="shared" si="21"/>
        <v>Yes</v>
      </c>
      <c r="Z58">
        <v>3</v>
      </c>
      <c r="AB58">
        <v>1</v>
      </c>
      <c r="AC58">
        <v>0</v>
      </c>
      <c r="AD58">
        <v>1</v>
      </c>
      <c r="AE58">
        <v>0</v>
      </c>
      <c r="AF58">
        <v>0</v>
      </c>
      <c r="AG58">
        <v>0</v>
      </c>
      <c r="AH58">
        <v>0</v>
      </c>
      <c r="AI58">
        <v>1</v>
      </c>
      <c r="AJ58">
        <v>0</v>
      </c>
      <c r="AK58">
        <v>1</v>
      </c>
      <c r="AM58">
        <v>0</v>
      </c>
      <c r="AN58">
        <v>1</v>
      </c>
      <c r="AO58">
        <v>0</v>
      </c>
      <c r="AQ58">
        <v>65</v>
      </c>
      <c r="AT58">
        <v>65</v>
      </c>
      <c r="AV58">
        <v>1</v>
      </c>
      <c r="AW58">
        <v>0</v>
      </c>
      <c r="AX58">
        <v>0</v>
      </c>
      <c r="AY58">
        <v>0</v>
      </c>
      <c r="AZ58">
        <v>1</v>
      </c>
      <c r="BA58">
        <v>0</v>
      </c>
      <c r="BC58">
        <v>1</v>
      </c>
      <c r="BE58">
        <v>1</v>
      </c>
      <c r="BG58">
        <v>1</v>
      </c>
      <c r="BH58">
        <v>1</v>
      </c>
      <c r="BI58">
        <v>2</v>
      </c>
      <c r="BJ58">
        <v>2</v>
      </c>
      <c r="BL58">
        <v>2</v>
      </c>
      <c r="BM58">
        <v>1</v>
      </c>
      <c r="CQ58">
        <v>4</v>
      </c>
      <c r="CR58">
        <v>4</v>
      </c>
      <c r="CS58">
        <v>0</v>
      </c>
      <c r="CT58">
        <v>0</v>
      </c>
      <c r="CU58">
        <v>0</v>
      </c>
      <c r="CV58">
        <v>0</v>
      </c>
      <c r="CW58">
        <v>0</v>
      </c>
      <c r="CX58">
        <v>0</v>
      </c>
      <c r="CY58">
        <v>0</v>
      </c>
      <c r="CZ58">
        <v>0</v>
      </c>
      <c r="DA58">
        <v>1</v>
      </c>
      <c r="DB58">
        <v>0</v>
      </c>
      <c r="DC58">
        <v>0</v>
      </c>
      <c r="DD58">
        <v>0</v>
      </c>
      <c r="DE58">
        <v>0</v>
      </c>
      <c r="DF58">
        <v>0</v>
      </c>
      <c r="DG58">
        <v>1</v>
      </c>
      <c r="DH58">
        <v>0</v>
      </c>
      <c r="DI58" t="s">
        <v>575</v>
      </c>
      <c r="DJ58" t="s">
        <v>357</v>
      </c>
      <c r="DK58">
        <v>3</v>
      </c>
      <c r="DL58">
        <v>3</v>
      </c>
      <c r="DM58" t="s">
        <v>576</v>
      </c>
      <c r="DN58">
        <v>1</v>
      </c>
      <c r="DP58">
        <v>1</v>
      </c>
      <c r="DR58" t="s">
        <v>577</v>
      </c>
      <c r="DS58">
        <v>1</v>
      </c>
      <c r="DU58">
        <v>13</v>
      </c>
      <c r="DW58" t="s">
        <v>279</v>
      </c>
      <c r="DX58">
        <v>2</v>
      </c>
      <c r="DZ58">
        <v>4</v>
      </c>
      <c r="EB58">
        <v>0</v>
      </c>
      <c r="EC58">
        <v>0</v>
      </c>
      <c r="ED58">
        <v>0</v>
      </c>
      <c r="EE58">
        <v>0</v>
      </c>
      <c r="EF58">
        <v>0</v>
      </c>
      <c r="EG58">
        <v>1</v>
      </c>
      <c r="EH58">
        <v>0</v>
      </c>
      <c r="EI58">
        <v>0</v>
      </c>
      <c r="EJ58">
        <v>1</v>
      </c>
      <c r="EK58">
        <v>0</v>
      </c>
      <c r="EL58" t="s">
        <v>273</v>
      </c>
      <c r="EM58">
        <v>0</v>
      </c>
      <c r="EN58">
        <v>0</v>
      </c>
      <c r="EO58">
        <v>0</v>
      </c>
      <c r="EP58">
        <v>1</v>
      </c>
      <c r="EQ58">
        <v>0</v>
      </c>
      <c r="ER58">
        <v>0</v>
      </c>
      <c r="ES58">
        <v>0</v>
      </c>
      <c r="ET58">
        <v>0</v>
      </c>
      <c r="EU58">
        <v>1</v>
      </c>
      <c r="EV58">
        <v>1</v>
      </c>
      <c r="EW58">
        <v>1</v>
      </c>
      <c r="EX58">
        <v>0</v>
      </c>
      <c r="EY58">
        <v>0</v>
      </c>
      <c r="HC58" t="s">
        <v>468</v>
      </c>
      <c r="HD58">
        <v>0</v>
      </c>
      <c r="HE58">
        <v>0</v>
      </c>
      <c r="HF58">
        <v>0</v>
      </c>
      <c r="HG58">
        <v>0</v>
      </c>
      <c r="HH58">
        <v>0</v>
      </c>
      <c r="HI58">
        <v>0</v>
      </c>
      <c r="HJ58">
        <v>0</v>
      </c>
      <c r="HK58">
        <v>0</v>
      </c>
      <c r="HL58">
        <v>0</v>
      </c>
      <c r="HM58">
        <v>1</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0</v>
      </c>
      <c r="IW58">
        <v>0</v>
      </c>
      <c r="IZ58">
        <v>0</v>
      </c>
      <c r="JA58">
        <v>0</v>
      </c>
      <c r="JB58">
        <v>0</v>
      </c>
      <c r="JC58">
        <v>0</v>
      </c>
      <c r="JD58">
        <v>0</v>
      </c>
      <c r="JE58">
        <v>0</v>
      </c>
      <c r="JF58">
        <v>0</v>
      </c>
      <c r="JG58">
        <v>0</v>
      </c>
      <c r="JH58">
        <v>0</v>
      </c>
      <c r="JI58">
        <v>0</v>
      </c>
      <c r="JJ58">
        <v>1</v>
      </c>
      <c r="JL58">
        <v>2</v>
      </c>
      <c r="JM58" cm="1">
        <f t="array" ref="JM58">IF(OR(JN58:JQ58 &lt;&gt; ""), 1, 0)</f>
        <v>0</v>
      </c>
    </row>
    <row r="59" spans="1:278" x14ac:dyDescent="0.35">
      <c r="A59">
        <v>363306</v>
      </c>
      <c r="C59">
        <v>1</v>
      </c>
      <c r="D59" t="s">
        <v>523</v>
      </c>
      <c r="E59" t="str">
        <f>_xlfn.XLOOKUP(I59, [1]SchoolDistrictStudyWODuplicates!$K:$K, [1]SchoolDistrictStudyWODuplicates!$E:$E, "")</f>
        <v>Logansport Community School Corp.</v>
      </c>
      <c r="G59" t="s">
        <v>524</v>
      </c>
      <c r="H59" s="5" t="e">
        <f>_xlfn.XLOOKUP(A59,#REF!,#REF!, "No")</f>
        <v>#REF!</v>
      </c>
      <c r="I59" s="7">
        <v>1806030</v>
      </c>
      <c r="J59" s="5" t="e">
        <f>_xlfn.XLOOKUP(I59,#REF!,#REF!,"Not Determined")</f>
        <v>#REF!</v>
      </c>
      <c r="K59" s="5" t="s">
        <v>516</v>
      </c>
      <c r="L59" t="s">
        <v>516</v>
      </c>
      <c r="M59" s="13" t="e">
        <f>_xlfn.XLOOKUP(I59,#REF!,#REF!, "No")</f>
        <v>#REF!</v>
      </c>
      <c r="N59" s="5" t="str">
        <f t="shared" si="11"/>
        <v>No</v>
      </c>
      <c r="O59" s="5" t="str">
        <f t="shared" si="12"/>
        <v>Yes</v>
      </c>
      <c r="P59" s="5" t="str">
        <f t="shared" si="13"/>
        <v>No</v>
      </c>
      <c r="Q59" s="5" t="str">
        <f t="shared" si="14"/>
        <v>Yes</v>
      </c>
      <c r="R59" s="5" t="str">
        <f t="shared" si="15"/>
        <v>No</v>
      </c>
      <c r="S59" s="5" t="str">
        <f t="shared" si="16"/>
        <v>No</v>
      </c>
      <c r="T59" s="5" t="str">
        <f t="shared" si="17"/>
        <v>No</v>
      </c>
      <c r="U59" s="5" t="str">
        <f t="shared" si="18"/>
        <v>No</v>
      </c>
      <c r="V59" s="5" t="str" cm="1">
        <f t="array" ref="V59">IF(OR(DB59:DG59 =1), "Yes", "No")</f>
        <v>No</v>
      </c>
      <c r="W59" s="5" t="str">
        <f t="shared" si="19"/>
        <v>Yes</v>
      </c>
      <c r="X59" s="5" t="str">
        <f t="shared" si="20"/>
        <v>No</v>
      </c>
      <c r="Y59" s="5" t="str">
        <f t="shared" si="21"/>
        <v>No</v>
      </c>
      <c r="Z59">
        <v>3</v>
      </c>
      <c r="AB59">
        <v>0</v>
      </c>
      <c r="AC59">
        <v>0</v>
      </c>
      <c r="AD59">
        <v>1</v>
      </c>
      <c r="AE59">
        <v>0</v>
      </c>
      <c r="AF59">
        <v>0</v>
      </c>
      <c r="AG59">
        <v>0</v>
      </c>
      <c r="AH59">
        <v>0</v>
      </c>
      <c r="AI59">
        <v>0</v>
      </c>
      <c r="AJ59">
        <v>0</v>
      </c>
      <c r="AK59">
        <v>1</v>
      </c>
      <c r="AM59">
        <v>1</v>
      </c>
      <c r="AN59">
        <v>1</v>
      </c>
      <c r="AO59">
        <v>0</v>
      </c>
      <c r="AP59">
        <v>5</v>
      </c>
      <c r="AQ59">
        <v>44</v>
      </c>
      <c r="AS59">
        <v>5</v>
      </c>
      <c r="AT59">
        <v>44</v>
      </c>
      <c r="AV59">
        <v>1</v>
      </c>
      <c r="AW59">
        <v>1</v>
      </c>
      <c r="AX59">
        <v>0</v>
      </c>
      <c r="AY59">
        <v>0</v>
      </c>
      <c r="AZ59">
        <v>0</v>
      </c>
      <c r="BA59">
        <v>0</v>
      </c>
      <c r="BC59">
        <v>1</v>
      </c>
      <c r="BE59">
        <v>1</v>
      </c>
      <c r="BG59">
        <v>1</v>
      </c>
      <c r="BH59">
        <v>1</v>
      </c>
      <c r="BI59">
        <v>4</v>
      </c>
      <c r="BJ59">
        <v>1</v>
      </c>
      <c r="BK59">
        <v>6</v>
      </c>
      <c r="BL59">
        <v>2</v>
      </c>
      <c r="BM59">
        <v>3</v>
      </c>
      <c r="BN59">
        <v>2</v>
      </c>
      <c r="BV59">
        <v>0</v>
      </c>
      <c r="BW59">
        <v>0</v>
      </c>
      <c r="BX59">
        <v>0</v>
      </c>
      <c r="BY59">
        <v>1</v>
      </c>
      <c r="BZ59">
        <v>0</v>
      </c>
      <c r="CA59">
        <v>0</v>
      </c>
      <c r="CB59">
        <v>0</v>
      </c>
      <c r="CC59">
        <v>0</v>
      </c>
      <c r="CD59">
        <v>0</v>
      </c>
      <c r="CE59">
        <v>0</v>
      </c>
      <c r="CF59">
        <v>0</v>
      </c>
      <c r="CG59">
        <v>0</v>
      </c>
      <c r="CH59">
        <v>0</v>
      </c>
      <c r="CI59">
        <v>0</v>
      </c>
      <c r="CJ59">
        <v>0</v>
      </c>
      <c r="CK59">
        <v>0</v>
      </c>
      <c r="CL59">
        <v>0</v>
      </c>
      <c r="CN59">
        <v>4</v>
      </c>
      <c r="CO59">
        <v>4</v>
      </c>
      <c r="CQ59">
        <v>6</v>
      </c>
      <c r="CR59">
        <v>6</v>
      </c>
      <c r="EB59">
        <v>0</v>
      </c>
      <c r="EC59">
        <v>1</v>
      </c>
      <c r="ED59">
        <v>1</v>
      </c>
      <c r="EE59">
        <v>0</v>
      </c>
      <c r="EF59">
        <v>0</v>
      </c>
      <c r="EG59">
        <v>1</v>
      </c>
      <c r="EH59">
        <v>1</v>
      </c>
      <c r="EI59">
        <v>0</v>
      </c>
      <c r="EJ59">
        <v>0</v>
      </c>
      <c r="EK59">
        <v>0</v>
      </c>
      <c r="EM59">
        <v>0</v>
      </c>
      <c r="EN59">
        <v>0</v>
      </c>
      <c r="EO59">
        <v>0</v>
      </c>
      <c r="EP59">
        <v>1</v>
      </c>
      <c r="EQ59">
        <v>1</v>
      </c>
      <c r="ER59">
        <v>0</v>
      </c>
      <c r="ES59">
        <v>0</v>
      </c>
      <c r="ET59">
        <v>0</v>
      </c>
      <c r="EU59">
        <v>0</v>
      </c>
      <c r="EV59">
        <v>0</v>
      </c>
      <c r="EW59">
        <v>1</v>
      </c>
      <c r="EX59">
        <v>0</v>
      </c>
      <c r="EY59">
        <v>0</v>
      </c>
      <c r="IZ59">
        <v>0</v>
      </c>
      <c r="JA59">
        <v>0</v>
      </c>
      <c r="JB59">
        <v>0</v>
      </c>
      <c r="JC59">
        <v>0</v>
      </c>
      <c r="JD59">
        <v>0</v>
      </c>
      <c r="JE59">
        <v>0</v>
      </c>
      <c r="JF59">
        <v>1</v>
      </c>
      <c r="JG59">
        <v>0</v>
      </c>
      <c r="JH59">
        <v>0</v>
      </c>
      <c r="JI59">
        <v>0</v>
      </c>
      <c r="JJ59">
        <v>0</v>
      </c>
      <c r="JL59">
        <v>1</v>
      </c>
      <c r="JM59" cm="1">
        <f t="array" ref="JM59">IF(OR(JN59:JQ59 &lt;&gt; ""), 1, 0)</f>
        <v>1</v>
      </c>
      <c r="JN59">
        <v>0</v>
      </c>
      <c r="JO59">
        <v>0</v>
      </c>
      <c r="JP59">
        <v>1</v>
      </c>
      <c r="JQ59">
        <v>0</v>
      </c>
    </row>
    <row r="60" spans="1:278" x14ac:dyDescent="0.35">
      <c r="A60">
        <v>346778</v>
      </c>
      <c r="C60">
        <v>1</v>
      </c>
      <c r="D60" t="s">
        <v>525</v>
      </c>
      <c r="E60" t="str">
        <f>_xlfn.XLOOKUP(I60, [1]SchoolDistrictStudyWODuplicates!$K:$K, [1]SchoolDistrictStudyWODuplicates!$E:$E, "")</f>
        <v/>
      </c>
      <c r="G60" t="s">
        <v>526</v>
      </c>
      <c r="H60" s="5" t="e">
        <f>_xlfn.XLOOKUP(A60,#REF!,#REF!, "No")</f>
        <v>#REF!</v>
      </c>
      <c r="I60" s="7">
        <v>1806240</v>
      </c>
      <c r="J60" s="5" t="e">
        <f>_xlfn.XLOOKUP(I60,#REF!,#REF!,"Not Determined")</f>
        <v>#REF!</v>
      </c>
      <c r="K60" s="5" t="s">
        <v>516</v>
      </c>
      <c r="L60" t="s">
        <v>516</v>
      </c>
      <c r="M60" s="13" t="e">
        <f>_xlfn.XLOOKUP(I60,#REF!,#REF!, "No")</f>
        <v>#REF!</v>
      </c>
      <c r="N60" s="5" t="str">
        <f t="shared" si="11"/>
        <v>No</v>
      </c>
      <c r="O60" s="5" t="str">
        <f t="shared" si="12"/>
        <v>Yes</v>
      </c>
      <c r="P60" s="5" t="str">
        <f t="shared" si="13"/>
        <v>Yes</v>
      </c>
      <c r="Q60" s="5" t="str">
        <f t="shared" si="14"/>
        <v>No</v>
      </c>
      <c r="R60" s="5" t="str">
        <f t="shared" si="15"/>
        <v>No</v>
      </c>
      <c r="S60" s="5" t="str">
        <f t="shared" si="16"/>
        <v>No</v>
      </c>
      <c r="T60" s="5" t="str">
        <f t="shared" si="17"/>
        <v>No</v>
      </c>
      <c r="U60" s="5" t="str">
        <f t="shared" si="18"/>
        <v>No</v>
      </c>
      <c r="V60" s="5" t="str" cm="1">
        <f t="array" ref="V60">IF(OR(DB60:DG60 =1), "Yes", "No")</f>
        <v>No</v>
      </c>
      <c r="W60" s="5" t="str">
        <f t="shared" si="19"/>
        <v>No</v>
      </c>
      <c r="X60" s="5" t="str">
        <f t="shared" si="20"/>
        <v>No</v>
      </c>
      <c r="Y60" s="5" t="str">
        <f t="shared" si="21"/>
        <v>No</v>
      </c>
      <c r="Z60">
        <v>3</v>
      </c>
      <c r="AB60">
        <v>1</v>
      </c>
      <c r="AC60">
        <v>0</v>
      </c>
      <c r="AD60">
        <v>1</v>
      </c>
      <c r="AE60">
        <v>0</v>
      </c>
      <c r="AF60">
        <v>1</v>
      </c>
      <c r="AG60">
        <v>0</v>
      </c>
      <c r="AH60">
        <v>0</v>
      </c>
      <c r="AI60">
        <v>0</v>
      </c>
      <c r="AJ60">
        <v>0</v>
      </c>
      <c r="AK60">
        <v>1</v>
      </c>
      <c r="AM60">
        <v>1</v>
      </c>
      <c r="AN60">
        <v>1</v>
      </c>
      <c r="AO60">
        <v>0</v>
      </c>
      <c r="AP60">
        <v>3</v>
      </c>
      <c r="AQ60">
        <v>20</v>
      </c>
      <c r="AS60">
        <v>3</v>
      </c>
      <c r="AT60">
        <v>20</v>
      </c>
      <c r="AV60">
        <v>1</v>
      </c>
      <c r="AW60">
        <v>1</v>
      </c>
      <c r="AX60">
        <v>0</v>
      </c>
      <c r="AY60">
        <v>0</v>
      </c>
      <c r="AZ60">
        <v>0</v>
      </c>
      <c r="BA60">
        <v>0</v>
      </c>
      <c r="BC60">
        <v>1</v>
      </c>
      <c r="BE60">
        <v>1</v>
      </c>
      <c r="BG60">
        <v>1</v>
      </c>
      <c r="BH60">
        <v>2</v>
      </c>
      <c r="BI60">
        <v>4</v>
      </c>
      <c r="BJ60">
        <v>2</v>
      </c>
      <c r="BL60">
        <v>2</v>
      </c>
      <c r="BM60">
        <v>1</v>
      </c>
      <c r="BN60">
        <v>2</v>
      </c>
      <c r="BV60">
        <v>1</v>
      </c>
      <c r="BW60">
        <v>0</v>
      </c>
      <c r="BX60">
        <v>1</v>
      </c>
      <c r="BY60">
        <v>0</v>
      </c>
      <c r="BZ60">
        <v>1</v>
      </c>
      <c r="CA60">
        <v>0</v>
      </c>
      <c r="CB60">
        <v>1</v>
      </c>
      <c r="CC60">
        <v>0</v>
      </c>
      <c r="CD60">
        <v>1</v>
      </c>
      <c r="CE60">
        <v>0</v>
      </c>
      <c r="CF60">
        <v>0</v>
      </c>
      <c r="CG60">
        <v>1</v>
      </c>
      <c r="CH60">
        <v>0</v>
      </c>
      <c r="CI60">
        <v>0</v>
      </c>
      <c r="CJ60">
        <v>0</v>
      </c>
      <c r="CK60">
        <v>0</v>
      </c>
      <c r="CL60">
        <v>0</v>
      </c>
      <c r="CN60">
        <v>5</v>
      </c>
      <c r="CO60">
        <v>4</v>
      </c>
      <c r="CQ60">
        <v>6</v>
      </c>
      <c r="CR60">
        <v>6</v>
      </c>
      <c r="EB60">
        <v>1</v>
      </c>
      <c r="EC60">
        <v>0</v>
      </c>
      <c r="ED60">
        <v>1</v>
      </c>
      <c r="EE60">
        <v>0</v>
      </c>
      <c r="EF60">
        <v>0</v>
      </c>
      <c r="EG60">
        <v>1</v>
      </c>
      <c r="EH60">
        <v>0</v>
      </c>
      <c r="EI60">
        <v>1</v>
      </c>
      <c r="EJ60">
        <v>0</v>
      </c>
      <c r="EK60">
        <v>0</v>
      </c>
      <c r="EM60">
        <v>0</v>
      </c>
      <c r="EN60">
        <v>1</v>
      </c>
      <c r="EO60">
        <v>0</v>
      </c>
      <c r="EP60">
        <v>0</v>
      </c>
      <c r="EQ60">
        <v>0</v>
      </c>
      <c r="ER60">
        <v>0</v>
      </c>
      <c r="ES60">
        <v>1</v>
      </c>
      <c r="ET60">
        <v>1</v>
      </c>
      <c r="EU60">
        <v>1</v>
      </c>
      <c r="EV60">
        <v>1</v>
      </c>
      <c r="EW60">
        <v>1</v>
      </c>
      <c r="EX60">
        <v>0</v>
      </c>
      <c r="EY60">
        <v>0</v>
      </c>
      <c r="FB60" t="s">
        <v>285</v>
      </c>
      <c r="FC60">
        <v>0</v>
      </c>
      <c r="FD60">
        <v>1</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GS60" t="s">
        <v>527</v>
      </c>
      <c r="GT60">
        <v>0</v>
      </c>
      <c r="GU60">
        <v>1</v>
      </c>
      <c r="GV60">
        <v>0</v>
      </c>
      <c r="GW60">
        <v>0</v>
      </c>
      <c r="GX60">
        <v>0</v>
      </c>
      <c r="GY60">
        <v>0</v>
      </c>
      <c r="GZ60">
        <v>0</v>
      </c>
      <c r="HA60">
        <v>0</v>
      </c>
      <c r="HB60">
        <v>0</v>
      </c>
      <c r="HC60" t="s">
        <v>528</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1</v>
      </c>
      <c r="IZ60">
        <v>1</v>
      </c>
      <c r="JA60">
        <v>0</v>
      </c>
      <c r="JB60">
        <v>1</v>
      </c>
      <c r="JC60">
        <v>0</v>
      </c>
      <c r="JD60">
        <v>0</v>
      </c>
      <c r="JE60">
        <v>1</v>
      </c>
      <c r="JF60">
        <v>0</v>
      </c>
      <c r="JG60">
        <v>0</v>
      </c>
      <c r="JH60">
        <v>0</v>
      </c>
      <c r="JI60">
        <v>0</v>
      </c>
      <c r="JJ60">
        <v>0</v>
      </c>
      <c r="JL60">
        <v>2</v>
      </c>
      <c r="JM60" cm="1">
        <f t="array" ref="JM60">IF(OR(JN60:JQ60 &lt;&gt; ""), 1, 0)</f>
        <v>0</v>
      </c>
    </row>
    <row r="61" spans="1:278" x14ac:dyDescent="0.35">
      <c r="A61">
        <v>405338</v>
      </c>
      <c r="C61">
        <v>1</v>
      </c>
      <c r="D61" t="s">
        <v>529</v>
      </c>
      <c r="E61" t="str">
        <f>_xlfn.XLOOKUP(I61, [1]SchoolDistrictStudyWODuplicates!$K:$K, [1]SchoolDistrictStudyWODuplicates!$E:$E, "")</f>
        <v/>
      </c>
      <c r="G61" t="s">
        <v>530</v>
      </c>
      <c r="H61" s="5" t="e">
        <f>_xlfn.XLOOKUP(A61,#REF!,#REF!, "No")</f>
        <v>#REF!</v>
      </c>
      <c r="I61" s="7">
        <v>1809630</v>
      </c>
      <c r="J61" s="5" t="e">
        <f>_xlfn.XLOOKUP(I61,#REF!,#REF!,"Not Determined")</f>
        <v>#REF!</v>
      </c>
      <c r="K61" s="5" t="s">
        <v>516</v>
      </c>
      <c r="L61" t="s">
        <v>516</v>
      </c>
      <c r="M61" s="13" t="e">
        <f>_xlfn.XLOOKUP(I61,#REF!,#REF!, "No")</f>
        <v>#REF!</v>
      </c>
      <c r="N61" s="5" t="str">
        <f t="shared" si="11"/>
        <v>No</v>
      </c>
      <c r="O61" s="5" t="str">
        <f t="shared" si="12"/>
        <v>Yes</v>
      </c>
      <c r="P61" s="5" t="str">
        <f t="shared" si="13"/>
        <v>Yes</v>
      </c>
      <c r="Q61" s="5" t="str">
        <f t="shared" si="14"/>
        <v>Yes</v>
      </c>
      <c r="R61" s="5" t="str">
        <f t="shared" si="15"/>
        <v>No</v>
      </c>
      <c r="S61" s="5" t="str">
        <f t="shared" si="16"/>
        <v>No</v>
      </c>
      <c r="T61" s="5" t="str">
        <f t="shared" si="17"/>
        <v>No</v>
      </c>
      <c r="U61" s="5" t="str">
        <f t="shared" si="18"/>
        <v>No</v>
      </c>
      <c r="V61" s="5" t="str" cm="1">
        <f t="array" ref="V61">IF(OR(DB61:DG61 =1), "Yes", "No")</f>
        <v>No</v>
      </c>
      <c r="W61" s="5" t="str">
        <f t="shared" si="19"/>
        <v>No</v>
      </c>
      <c r="X61" s="5" t="str">
        <f t="shared" si="20"/>
        <v>No</v>
      </c>
      <c r="Y61" s="5" t="str">
        <f t="shared" si="21"/>
        <v>No</v>
      </c>
      <c r="Z61">
        <v>15</v>
      </c>
      <c r="AA61" t="s">
        <v>531</v>
      </c>
      <c r="AB61">
        <v>0</v>
      </c>
      <c r="AC61">
        <v>0</v>
      </c>
      <c r="AD61">
        <v>1</v>
      </c>
      <c r="AE61">
        <v>0</v>
      </c>
      <c r="AF61">
        <v>0</v>
      </c>
      <c r="AG61">
        <v>0</v>
      </c>
      <c r="AH61">
        <v>0</v>
      </c>
      <c r="AI61">
        <v>0</v>
      </c>
      <c r="AJ61">
        <v>0</v>
      </c>
      <c r="AK61">
        <v>1</v>
      </c>
      <c r="AM61">
        <v>0</v>
      </c>
      <c r="AN61">
        <v>1</v>
      </c>
      <c r="AO61">
        <v>0</v>
      </c>
      <c r="AQ61">
        <v>19</v>
      </c>
      <c r="AT61">
        <v>19</v>
      </c>
      <c r="AV61">
        <v>1</v>
      </c>
      <c r="AW61">
        <v>0</v>
      </c>
      <c r="AX61">
        <v>0</v>
      </c>
      <c r="AY61">
        <v>0</v>
      </c>
      <c r="AZ61">
        <v>0</v>
      </c>
      <c r="BA61">
        <v>0</v>
      </c>
      <c r="BC61">
        <v>1</v>
      </c>
      <c r="BE61">
        <v>1</v>
      </c>
      <c r="BG61">
        <v>1</v>
      </c>
      <c r="BH61">
        <v>1</v>
      </c>
      <c r="BI61">
        <v>4</v>
      </c>
      <c r="BJ61">
        <v>1</v>
      </c>
      <c r="BK61">
        <v>5</v>
      </c>
      <c r="BL61">
        <v>2</v>
      </c>
      <c r="BM61">
        <v>1</v>
      </c>
      <c r="BN61">
        <v>2</v>
      </c>
      <c r="BV61">
        <v>0</v>
      </c>
      <c r="BW61">
        <v>0</v>
      </c>
      <c r="BX61">
        <v>1</v>
      </c>
      <c r="BY61">
        <v>0</v>
      </c>
      <c r="BZ61">
        <v>1</v>
      </c>
      <c r="CA61">
        <v>0</v>
      </c>
      <c r="CB61">
        <v>0</v>
      </c>
      <c r="CC61">
        <v>0</v>
      </c>
      <c r="CD61">
        <v>1</v>
      </c>
      <c r="CE61">
        <v>0</v>
      </c>
      <c r="CF61">
        <v>0</v>
      </c>
      <c r="CG61">
        <v>0</v>
      </c>
      <c r="CH61">
        <v>0</v>
      </c>
      <c r="CI61">
        <v>1</v>
      </c>
      <c r="CJ61">
        <v>0</v>
      </c>
      <c r="CK61">
        <v>0</v>
      </c>
      <c r="CL61">
        <v>0</v>
      </c>
      <c r="CN61">
        <v>5</v>
      </c>
      <c r="CO61">
        <v>4</v>
      </c>
      <c r="CQ61">
        <v>6</v>
      </c>
      <c r="CR61">
        <v>6</v>
      </c>
      <c r="EB61">
        <v>1</v>
      </c>
      <c r="EC61">
        <v>0</v>
      </c>
      <c r="ED61">
        <v>1</v>
      </c>
      <c r="EE61">
        <v>0</v>
      </c>
      <c r="EF61">
        <v>0</v>
      </c>
      <c r="EG61">
        <v>0</v>
      </c>
      <c r="EH61">
        <v>0</v>
      </c>
      <c r="EI61">
        <v>0</v>
      </c>
      <c r="EJ61">
        <v>0</v>
      </c>
      <c r="EK61">
        <v>0</v>
      </c>
      <c r="EM61">
        <v>0</v>
      </c>
      <c r="EN61">
        <v>1</v>
      </c>
      <c r="EO61">
        <v>0</v>
      </c>
      <c r="EP61">
        <v>0</v>
      </c>
      <c r="EQ61">
        <v>1</v>
      </c>
      <c r="ER61">
        <v>0</v>
      </c>
      <c r="ES61">
        <v>0</v>
      </c>
      <c r="ET61">
        <v>0</v>
      </c>
      <c r="EU61">
        <v>0</v>
      </c>
      <c r="EV61">
        <v>1</v>
      </c>
      <c r="EW61">
        <v>1</v>
      </c>
      <c r="EX61">
        <v>0</v>
      </c>
      <c r="EY61">
        <v>0</v>
      </c>
      <c r="FB61" t="s">
        <v>274</v>
      </c>
      <c r="FC61">
        <v>1</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HC61" t="s">
        <v>532</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1</v>
      </c>
      <c r="IZ61">
        <v>1</v>
      </c>
      <c r="JA61">
        <v>0</v>
      </c>
      <c r="JB61">
        <v>0</v>
      </c>
      <c r="JC61">
        <v>0</v>
      </c>
      <c r="JD61">
        <v>0</v>
      </c>
      <c r="JE61">
        <v>0</v>
      </c>
      <c r="JF61">
        <v>0</v>
      </c>
      <c r="JG61">
        <v>0</v>
      </c>
      <c r="JH61">
        <v>0</v>
      </c>
      <c r="JI61">
        <v>0</v>
      </c>
      <c r="JJ61">
        <v>0</v>
      </c>
      <c r="JL61">
        <v>2</v>
      </c>
      <c r="JM61" cm="1">
        <f t="array" ref="JM61">IF(OR(JN61:JQ61 &lt;&gt; ""), 1, 0)</f>
        <v>0</v>
      </c>
    </row>
    <row r="62" spans="1:278" x14ac:dyDescent="0.35">
      <c r="A62">
        <v>371459</v>
      </c>
      <c r="C62">
        <v>1</v>
      </c>
      <c r="D62" t="s">
        <v>533</v>
      </c>
      <c r="E62" t="str">
        <f>_xlfn.XLOOKUP(I62, [1]SchoolDistrictStudyWODuplicates!$K:$K, [1]SchoolDistrictStudyWODuplicates!$E:$E, "")</f>
        <v>South Putnam Schools</v>
      </c>
      <c r="G62" t="s">
        <v>534</v>
      </c>
      <c r="H62" s="7">
        <v>1810500</v>
      </c>
      <c r="I62" s="7">
        <v>1810500</v>
      </c>
      <c r="J62" s="5" t="e">
        <f>_xlfn.XLOOKUP(I62,#REF!,#REF!,"Not Determined")</f>
        <v>#REF!</v>
      </c>
      <c r="K62" s="5" t="s">
        <v>516</v>
      </c>
      <c r="L62" t="s">
        <v>516</v>
      </c>
      <c r="M62" s="13" t="e">
        <f>_xlfn.XLOOKUP(I62,#REF!,#REF!, "No")</f>
        <v>#REF!</v>
      </c>
      <c r="N62" s="5" t="str">
        <f t="shared" si="11"/>
        <v>No</v>
      </c>
      <c r="O62" s="5" t="str">
        <f t="shared" si="12"/>
        <v>Yes</v>
      </c>
      <c r="P62" s="5" t="str">
        <f t="shared" si="13"/>
        <v>Yes</v>
      </c>
      <c r="Q62" s="5" t="str">
        <f t="shared" si="14"/>
        <v>Yes</v>
      </c>
      <c r="R62" s="5" t="str">
        <f t="shared" si="15"/>
        <v>Yes</v>
      </c>
      <c r="S62" s="5" t="str">
        <f t="shared" si="16"/>
        <v>Yes</v>
      </c>
      <c r="T62" s="5" t="str">
        <f t="shared" si="17"/>
        <v>Yes</v>
      </c>
      <c r="U62" s="5" t="str">
        <f t="shared" si="18"/>
        <v>No</v>
      </c>
      <c r="V62" s="5" t="str" cm="1">
        <f t="array" ref="V62">IF(OR(DB62:DG62 =1), "Yes", "No")</f>
        <v>No</v>
      </c>
      <c r="W62" s="5" t="str">
        <f t="shared" si="19"/>
        <v>No</v>
      </c>
      <c r="X62" s="5" t="str">
        <f t="shared" si="20"/>
        <v>No</v>
      </c>
      <c r="Y62" s="5" t="str">
        <f t="shared" si="21"/>
        <v>No</v>
      </c>
      <c r="Z62">
        <v>3</v>
      </c>
      <c r="AB62">
        <v>1</v>
      </c>
      <c r="AC62">
        <v>0</v>
      </c>
      <c r="AD62">
        <v>1</v>
      </c>
      <c r="AE62">
        <v>0</v>
      </c>
      <c r="AF62">
        <v>0</v>
      </c>
      <c r="AG62">
        <v>0</v>
      </c>
      <c r="AH62">
        <v>0</v>
      </c>
      <c r="AI62">
        <v>1</v>
      </c>
      <c r="AJ62">
        <v>0</v>
      </c>
      <c r="AK62">
        <v>1</v>
      </c>
      <c r="AM62">
        <v>1</v>
      </c>
      <c r="AN62">
        <v>1</v>
      </c>
      <c r="AO62">
        <v>1</v>
      </c>
      <c r="AP62">
        <v>4</v>
      </c>
      <c r="AQ62">
        <v>25</v>
      </c>
      <c r="AR62">
        <v>2</v>
      </c>
      <c r="AS62">
        <v>4</v>
      </c>
      <c r="AT62">
        <v>25</v>
      </c>
      <c r="AU62">
        <v>2</v>
      </c>
      <c r="AV62">
        <v>1</v>
      </c>
      <c r="AW62">
        <v>1</v>
      </c>
      <c r="AX62">
        <v>0</v>
      </c>
      <c r="AY62">
        <v>0</v>
      </c>
      <c r="AZ62">
        <v>0</v>
      </c>
      <c r="BA62">
        <v>0</v>
      </c>
      <c r="BC62">
        <v>1</v>
      </c>
      <c r="BE62">
        <v>1</v>
      </c>
      <c r="BG62">
        <v>1</v>
      </c>
      <c r="BH62">
        <v>1</v>
      </c>
      <c r="BI62">
        <v>3</v>
      </c>
      <c r="BJ62">
        <v>1</v>
      </c>
      <c r="BK62">
        <v>4</v>
      </c>
      <c r="BL62">
        <v>2</v>
      </c>
      <c r="BM62">
        <v>1</v>
      </c>
      <c r="BN62">
        <v>1</v>
      </c>
      <c r="BO62">
        <v>1</v>
      </c>
      <c r="BP62">
        <v>0</v>
      </c>
      <c r="BQ62">
        <v>0</v>
      </c>
      <c r="BR62">
        <v>0</v>
      </c>
      <c r="BS62">
        <v>0</v>
      </c>
      <c r="BT62">
        <v>1</v>
      </c>
      <c r="BU62" t="s">
        <v>535</v>
      </c>
      <c r="BV62">
        <v>0</v>
      </c>
      <c r="BW62">
        <v>0</v>
      </c>
      <c r="BX62">
        <v>1</v>
      </c>
      <c r="BY62">
        <v>0</v>
      </c>
      <c r="BZ62">
        <v>1</v>
      </c>
      <c r="CA62">
        <v>0</v>
      </c>
      <c r="CB62">
        <v>0</v>
      </c>
      <c r="CC62">
        <v>0</v>
      </c>
      <c r="CD62">
        <v>1</v>
      </c>
      <c r="CE62">
        <v>0</v>
      </c>
      <c r="CF62">
        <v>1</v>
      </c>
      <c r="CG62">
        <v>1</v>
      </c>
      <c r="CH62">
        <v>0</v>
      </c>
      <c r="CI62">
        <v>1</v>
      </c>
      <c r="CJ62">
        <v>0</v>
      </c>
      <c r="CK62">
        <v>1</v>
      </c>
      <c r="CL62">
        <v>0</v>
      </c>
      <c r="CN62">
        <v>16</v>
      </c>
      <c r="CO62">
        <v>4</v>
      </c>
      <c r="CQ62">
        <v>3</v>
      </c>
      <c r="CR62">
        <v>2</v>
      </c>
      <c r="EB62">
        <v>1</v>
      </c>
      <c r="EC62">
        <v>0</v>
      </c>
      <c r="ED62">
        <v>1</v>
      </c>
      <c r="EE62">
        <v>1</v>
      </c>
      <c r="EF62">
        <v>1</v>
      </c>
      <c r="EG62">
        <v>1</v>
      </c>
      <c r="EH62">
        <v>0</v>
      </c>
      <c r="EI62">
        <v>0</v>
      </c>
      <c r="EJ62">
        <v>0</v>
      </c>
      <c r="EK62">
        <v>0</v>
      </c>
      <c r="EM62">
        <v>0</v>
      </c>
      <c r="EN62">
        <v>1</v>
      </c>
      <c r="EO62">
        <v>0</v>
      </c>
      <c r="EP62">
        <v>1</v>
      </c>
      <c r="EQ62">
        <v>1</v>
      </c>
      <c r="ER62">
        <v>0</v>
      </c>
      <c r="ES62">
        <v>0</v>
      </c>
      <c r="ET62">
        <v>0</v>
      </c>
      <c r="EU62">
        <v>0</v>
      </c>
      <c r="EV62">
        <v>1</v>
      </c>
      <c r="EW62">
        <v>1</v>
      </c>
      <c r="EX62">
        <v>0</v>
      </c>
      <c r="EY62">
        <v>0</v>
      </c>
      <c r="FB62" t="s">
        <v>536</v>
      </c>
      <c r="FC62">
        <v>1</v>
      </c>
      <c r="FD62">
        <v>1</v>
      </c>
      <c r="FE62">
        <v>0</v>
      </c>
      <c r="FF62">
        <v>0</v>
      </c>
      <c r="FG62">
        <v>0</v>
      </c>
      <c r="FH62">
        <v>0</v>
      </c>
      <c r="FI62">
        <v>0</v>
      </c>
      <c r="FJ62">
        <v>1</v>
      </c>
      <c r="FK62">
        <v>0</v>
      </c>
      <c r="FL62">
        <v>0</v>
      </c>
      <c r="FM62">
        <v>0</v>
      </c>
      <c r="FN62">
        <v>0</v>
      </c>
      <c r="FO62">
        <v>0</v>
      </c>
      <c r="FP62">
        <v>0</v>
      </c>
      <c r="FQ62">
        <v>0</v>
      </c>
      <c r="FR62">
        <v>0</v>
      </c>
      <c r="FS62">
        <v>0</v>
      </c>
      <c r="FT62">
        <v>0</v>
      </c>
      <c r="FU62">
        <v>0</v>
      </c>
      <c r="FV62">
        <v>0</v>
      </c>
      <c r="FW62">
        <v>0</v>
      </c>
      <c r="FX62">
        <v>1</v>
      </c>
      <c r="HC62" t="s">
        <v>537</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1</v>
      </c>
      <c r="IL62">
        <v>0</v>
      </c>
      <c r="IM62">
        <v>0</v>
      </c>
      <c r="IN62">
        <v>0</v>
      </c>
      <c r="IO62">
        <v>0</v>
      </c>
      <c r="IP62">
        <v>0</v>
      </c>
      <c r="IQ62">
        <v>0</v>
      </c>
      <c r="IR62">
        <v>0</v>
      </c>
      <c r="IS62">
        <v>0</v>
      </c>
      <c r="IT62">
        <v>0</v>
      </c>
      <c r="IU62">
        <v>0</v>
      </c>
      <c r="IV62">
        <v>0</v>
      </c>
      <c r="IW62">
        <v>0</v>
      </c>
      <c r="IZ62">
        <v>1</v>
      </c>
      <c r="JA62">
        <v>0</v>
      </c>
      <c r="JB62">
        <v>1</v>
      </c>
      <c r="JC62">
        <v>0</v>
      </c>
      <c r="JD62">
        <v>0</v>
      </c>
      <c r="JE62">
        <v>0</v>
      </c>
      <c r="JF62">
        <v>1</v>
      </c>
      <c r="JG62">
        <v>0</v>
      </c>
      <c r="JH62">
        <v>0</v>
      </c>
      <c r="JI62">
        <v>0</v>
      </c>
      <c r="JJ62">
        <v>0</v>
      </c>
      <c r="JL62">
        <v>2</v>
      </c>
      <c r="JM62" cm="1">
        <f t="array" ref="JM62">IF(OR(JN62:JQ62 &lt;&gt; ""), 1, 0)</f>
        <v>0</v>
      </c>
    </row>
    <row r="63" spans="1:278" x14ac:dyDescent="0.35">
      <c r="A63">
        <v>393121</v>
      </c>
      <c r="C63">
        <v>1</v>
      </c>
      <c r="D63" t="s">
        <v>538</v>
      </c>
      <c r="E63" t="str">
        <f>_xlfn.XLOOKUP(I63, [1]SchoolDistrictStudyWODuplicates!$K:$K, [1]SchoolDistrictStudyWODuplicates!$E:$E, "")</f>
        <v>Danville Community School Corporation</v>
      </c>
      <c r="G63" t="s">
        <v>539</v>
      </c>
      <c r="H63" s="5" t="e">
        <f>_xlfn.XLOOKUP(A63,#REF!,#REF!, "No")</f>
        <v>#REF!</v>
      </c>
      <c r="I63" s="7">
        <v>1802550</v>
      </c>
      <c r="J63" s="5" t="e">
        <f>_xlfn.XLOOKUP(I63,#REF!,#REF!,"Not Determined")</f>
        <v>#REF!</v>
      </c>
      <c r="K63" s="5" t="s">
        <v>516</v>
      </c>
      <c r="L63" t="s">
        <v>540</v>
      </c>
      <c r="M63" s="13" t="e">
        <f>_xlfn.XLOOKUP(I63,#REF!,#REF!, "No")</f>
        <v>#REF!</v>
      </c>
      <c r="N63" s="5" t="str">
        <f t="shared" si="11"/>
        <v>No</v>
      </c>
      <c r="O63" s="5" t="str">
        <f t="shared" si="12"/>
        <v>Yes</v>
      </c>
      <c r="P63" s="5" t="str">
        <f t="shared" si="13"/>
        <v>Yes</v>
      </c>
      <c r="Q63" s="5" t="str">
        <f t="shared" si="14"/>
        <v>Yes</v>
      </c>
      <c r="R63" s="5" t="str">
        <f t="shared" si="15"/>
        <v>Yes</v>
      </c>
      <c r="S63" s="5" t="str">
        <f t="shared" si="16"/>
        <v>Yes</v>
      </c>
      <c r="T63" s="5" t="str">
        <f t="shared" si="17"/>
        <v>Yes</v>
      </c>
      <c r="U63" s="5" t="str">
        <f t="shared" si="18"/>
        <v>Yes</v>
      </c>
      <c r="V63" s="5" t="str" cm="1">
        <f t="array" ref="V63">IF(OR(DB63:DG63 =1), "Yes", "No")</f>
        <v>No</v>
      </c>
      <c r="W63" s="5" t="str">
        <f t="shared" si="19"/>
        <v>No</v>
      </c>
      <c r="X63" s="5" t="str">
        <f t="shared" si="20"/>
        <v>No</v>
      </c>
      <c r="Y63" s="5" t="str">
        <f t="shared" si="21"/>
        <v>No</v>
      </c>
      <c r="Z63">
        <v>3</v>
      </c>
      <c r="AB63">
        <v>0</v>
      </c>
      <c r="AC63">
        <v>1</v>
      </c>
      <c r="AD63">
        <v>1</v>
      </c>
      <c r="AE63">
        <v>0</v>
      </c>
      <c r="AF63">
        <v>0</v>
      </c>
      <c r="AG63">
        <v>0</v>
      </c>
      <c r="AH63">
        <v>0</v>
      </c>
      <c r="AI63">
        <v>0</v>
      </c>
      <c r="AJ63">
        <v>0</v>
      </c>
      <c r="AK63">
        <v>1</v>
      </c>
      <c r="AM63">
        <v>1</v>
      </c>
      <c r="AN63">
        <v>1</v>
      </c>
      <c r="AO63">
        <v>1</v>
      </c>
      <c r="AP63">
        <v>2</v>
      </c>
      <c r="AQ63">
        <v>16</v>
      </c>
      <c r="AR63">
        <v>14</v>
      </c>
      <c r="AS63">
        <v>2</v>
      </c>
      <c r="AT63">
        <v>16</v>
      </c>
      <c r="AU63">
        <v>14</v>
      </c>
      <c r="AV63">
        <v>1</v>
      </c>
      <c r="AW63">
        <v>1</v>
      </c>
      <c r="AX63">
        <v>0</v>
      </c>
      <c r="AY63">
        <v>1</v>
      </c>
      <c r="AZ63">
        <v>0</v>
      </c>
      <c r="BA63">
        <v>0</v>
      </c>
      <c r="BC63">
        <v>4</v>
      </c>
      <c r="BE63">
        <v>1</v>
      </c>
      <c r="BG63">
        <v>1</v>
      </c>
      <c r="BH63">
        <v>1</v>
      </c>
      <c r="BI63">
        <v>2</v>
      </c>
      <c r="BJ63">
        <v>2</v>
      </c>
      <c r="BL63">
        <v>2</v>
      </c>
      <c r="BM63">
        <v>1</v>
      </c>
      <c r="BN63">
        <v>2</v>
      </c>
      <c r="BV63">
        <v>0</v>
      </c>
      <c r="BW63">
        <v>0</v>
      </c>
      <c r="BX63">
        <v>0</v>
      </c>
      <c r="BY63">
        <v>0</v>
      </c>
      <c r="BZ63">
        <v>0</v>
      </c>
      <c r="CA63">
        <v>0</v>
      </c>
      <c r="CB63">
        <v>0</v>
      </c>
      <c r="CC63">
        <v>0</v>
      </c>
      <c r="CD63">
        <v>0</v>
      </c>
      <c r="CE63">
        <v>0</v>
      </c>
      <c r="CF63">
        <v>0</v>
      </c>
      <c r="CG63">
        <v>0</v>
      </c>
      <c r="CH63">
        <v>0</v>
      </c>
      <c r="CI63">
        <v>0</v>
      </c>
      <c r="CJ63">
        <v>0</v>
      </c>
      <c r="CK63">
        <v>1</v>
      </c>
      <c r="CL63">
        <v>0</v>
      </c>
      <c r="CN63">
        <v>16</v>
      </c>
      <c r="CO63">
        <v>4</v>
      </c>
      <c r="CQ63">
        <v>5</v>
      </c>
      <c r="CR63">
        <v>3</v>
      </c>
      <c r="EB63">
        <v>0</v>
      </c>
      <c r="EC63">
        <v>0</v>
      </c>
      <c r="ED63">
        <v>1</v>
      </c>
      <c r="EE63">
        <v>0</v>
      </c>
      <c r="EF63">
        <v>0</v>
      </c>
      <c r="EG63">
        <v>0</v>
      </c>
      <c r="EH63">
        <v>0</v>
      </c>
      <c r="EI63">
        <v>0</v>
      </c>
      <c r="EJ63">
        <v>1</v>
      </c>
      <c r="EK63">
        <v>0</v>
      </c>
      <c r="EL63" t="s">
        <v>541</v>
      </c>
      <c r="EM63">
        <v>0</v>
      </c>
      <c r="EN63">
        <v>1</v>
      </c>
      <c r="EO63">
        <v>0</v>
      </c>
      <c r="EP63">
        <v>0</v>
      </c>
      <c r="EQ63">
        <v>1</v>
      </c>
      <c r="ER63">
        <v>0</v>
      </c>
      <c r="ES63">
        <v>0</v>
      </c>
      <c r="ET63">
        <v>0</v>
      </c>
      <c r="EU63">
        <v>0</v>
      </c>
      <c r="EV63">
        <v>1</v>
      </c>
      <c r="EW63">
        <v>1</v>
      </c>
      <c r="EX63">
        <v>0</v>
      </c>
      <c r="EY63">
        <v>0</v>
      </c>
      <c r="FB63" t="s">
        <v>542</v>
      </c>
      <c r="FC63">
        <v>1</v>
      </c>
      <c r="FD63">
        <v>1</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HC63" t="s">
        <v>543</v>
      </c>
      <c r="HD63">
        <v>1</v>
      </c>
      <c r="HE63">
        <v>0</v>
      </c>
      <c r="HF63">
        <v>0</v>
      </c>
      <c r="HG63">
        <v>0</v>
      </c>
      <c r="HH63">
        <v>0</v>
      </c>
      <c r="HI63">
        <v>0</v>
      </c>
      <c r="HJ63">
        <v>0</v>
      </c>
      <c r="HK63">
        <v>0</v>
      </c>
      <c r="HL63">
        <v>0</v>
      </c>
      <c r="HM63">
        <v>0</v>
      </c>
      <c r="HN63">
        <v>0</v>
      </c>
      <c r="HO63">
        <v>0</v>
      </c>
      <c r="HP63">
        <v>0</v>
      </c>
      <c r="HQ63">
        <v>0</v>
      </c>
      <c r="HR63">
        <v>0</v>
      </c>
      <c r="HS63">
        <v>0</v>
      </c>
      <c r="HT63">
        <v>0</v>
      </c>
      <c r="HU63">
        <v>0</v>
      </c>
      <c r="HV63">
        <v>1</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0</v>
      </c>
      <c r="IV63">
        <v>0</v>
      </c>
      <c r="IW63">
        <v>0</v>
      </c>
      <c r="IZ63">
        <v>0</v>
      </c>
      <c r="JA63">
        <v>0</v>
      </c>
      <c r="JB63">
        <v>0</v>
      </c>
      <c r="JC63">
        <v>0</v>
      </c>
      <c r="JD63">
        <v>0</v>
      </c>
      <c r="JE63">
        <v>0</v>
      </c>
      <c r="JF63">
        <v>0</v>
      </c>
      <c r="JG63">
        <v>0</v>
      </c>
      <c r="JH63">
        <v>0</v>
      </c>
      <c r="JI63">
        <v>0</v>
      </c>
      <c r="JJ63">
        <v>1</v>
      </c>
      <c r="JL63">
        <v>2</v>
      </c>
      <c r="JM63" cm="1">
        <f t="array" ref="JM63">IF(OR(JN63:JQ63 &lt;&gt; ""), 1, 0)</f>
        <v>0</v>
      </c>
    </row>
    <row r="64" spans="1:278" x14ac:dyDescent="0.35">
      <c r="A64">
        <v>364006</v>
      </c>
      <c r="C64">
        <v>1</v>
      </c>
      <c r="D64" t="s">
        <v>544</v>
      </c>
      <c r="E64" t="str">
        <f>_xlfn.XLOOKUP(I64, [1]SchoolDistrictStudyWODuplicates!$K:$K, [1]SchoolDistrictStudyWODuplicates!$E:$E, "")</f>
        <v/>
      </c>
      <c r="G64" t="s">
        <v>545</v>
      </c>
      <c r="H64" s="5" t="e">
        <f>_xlfn.XLOOKUP(A64,#REF!,#REF!, "No")</f>
        <v>#REF!</v>
      </c>
      <c r="I64" s="7">
        <v>1802850</v>
      </c>
      <c r="J64" s="5" t="e">
        <f>_xlfn.XLOOKUP(I64,#REF!,#REF!,"Not Determined")</f>
        <v>#REF!</v>
      </c>
      <c r="K64" s="5" t="s">
        <v>516</v>
      </c>
      <c r="L64" t="s">
        <v>546</v>
      </c>
      <c r="M64" s="13" t="e">
        <f>_xlfn.XLOOKUP(I64,#REF!,#REF!, "No")</f>
        <v>#REF!</v>
      </c>
      <c r="N64" s="5" t="str">
        <f t="shared" si="11"/>
        <v>No</v>
      </c>
      <c r="O64" s="5" t="str">
        <f t="shared" si="12"/>
        <v>Yes</v>
      </c>
      <c r="P64" s="5" t="str">
        <f t="shared" si="13"/>
        <v>Yes</v>
      </c>
      <c r="Q64" s="5" t="str">
        <f t="shared" si="14"/>
        <v>Yes</v>
      </c>
      <c r="R64" s="5" t="str">
        <f t="shared" si="15"/>
        <v>Yes</v>
      </c>
      <c r="S64" s="5" t="str">
        <f t="shared" si="16"/>
        <v>Yes</v>
      </c>
      <c r="T64" s="5" t="str">
        <f t="shared" si="17"/>
        <v>Yes</v>
      </c>
      <c r="U64" s="5" t="str">
        <f t="shared" si="18"/>
        <v>Yes</v>
      </c>
      <c r="V64" s="5" t="str" cm="1">
        <f t="array" ref="V64">IF(OR(DB64:DG64 =1), "Yes", "No")</f>
        <v>No</v>
      </c>
      <c r="W64" s="5" t="str">
        <f t="shared" si="19"/>
        <v>Yes</v>
      </c>
      <c r="X64" s="5" t="str">
        <f t="shared" si="20"/>
        <v>No</v>
      </c>
      <c r="Y64" s="5" t="str">
        <f t="shared" si="21"/>
        <v>No</v>
      </c>
      <c r="Z64">
        <v>4</v>
      </c>
      <c r="AB64">
        <v>1</v>
      </c>
      <c r="AC64">
        <v>0</v>
      </c>
      <c r="AD64">
        <v>1</v>
      </c>
      <c r="AE64">
        <v>1</v>
      </c>
      <c r="AF64">
        <v>0</v>
      </c>
      <c r="AG64">
        <v>1</v>
      </c>
      <c r="AH64">
        <v>0</v>
      </c>
      <c r="AI64">
        <v>1</v>
      </c>
      <c r="AJ64">
        <v>0</v>
      </c>
      <c r="AK64">
        <v>1</v>
      </c>
      <c r="AM64">
        <v>1</v>
      </c>
      <c r="AN64">
        <v>1</v>
      </c>
      <c r="AO64">
        <v>0</v>
      </c>
      <c r="AP64">
        <v>10</v>
      </c>
      <c r="AQ64">
        <v>130</v>
      </c>
      <c r="AS64">
        <v>10</v>
      </c>
      <c r="AT64">
        <v>130</v>
      </c>
      <c r="AV64">
        <v>1</v>
      </c>
      <c r="AW64">
        <v>0</v>
      </c>
      <c r="AX64">
        <v>0</v>
      </c>
      <c r="AY64">
        <v>0</v>
      </c>
      <c r="AZ64">
        <v>0</v>
      </c>
      <c r="BA64">
        <v>0</v>
      </c>
      <c r="BC64">
        <v>1</v>
      </c>
      <c r="BE64">
        <v>1</v>
      </c>
      <c r="BG64">
        <v>1</v>
      </c>
      <c r="BH64">
        <v>1</v>
      </c>
      <c r="BI64">
        <v>4</v>
      </c>
      <c r="BJ64">
        <v>1</v>
      </c>
      <c r="BK64">
        <v>4</v>
      </c>
      <c r="BL64">
        <v>1</v>
      </c>
      <c r="BM64">
        <v>1</v>
      </c>
      <c r="BN64">
        <v>2</v>
      </c>
      <c r="BV64">
        <v>1</v>
      </c>
      <c r="BW64">
        <v>0</v>
      </c>
      <c r="BX64">
        <v>1</v>
      </c>
      <c r="BY64">
        <v>1</v>
      </c>
      <c r="BZ64">
        <v>1</v>
      </c>
      <c r="CA64">
        <v>0</v>
      </c>
      <c r="CB64">
        <v>0</v>
      </c>
      <c r="CC64">
        <v>0</v>
      </c>
      <c r="CD64">
        <v>1</v>
      </c>
      <c r="CE64">
        <v>0</v>
      </c>
      <c r="CF64">
        <v>0</v>
      </c>
      <c r="CG64">
        <v>0</v>
      </c>
      <c r="CH64">
        <v>0</v>
      </c>
      <c r="CI64">
        <v>1</v>
      </c>
      <c r="CJ64">
        <v>0</v>
      </c>
      <c r="CK64">
        <v>1</v>
      </c>
      <c r="CL64">
        <v>0</v>
      </c>
      <c r="CN64">
        <v>6</v>
      </c>
      <c r="CO64">
        <v>4</v>
      </c>
      <c r="CQ64">
        <v>5</v>
      </c>
      <c r="CR64">
        <v>5</v>
      </c>
      <c r="EB64">
        <v>0</v>
      </c>
      <c r="EC64">
        <v>1</v>
      </c>
      <c r="ED64">
        <v>1</v>
      </c>
      <c r="EE64">
        <v>1</v>
      </c>
      <c r="EF64">
        <v>1</v>
      </c>
      <c r="EG64">
        <v>0</v>
      </c>
      <c r="EH64">
        <v>1</v>
      </c>
      <c r="EI64">
        <v>1</v>
      </c>
      <c r="EJ64">
        <v>0</v>
      </c>
      <c r="EK64">
        <v>0</v>
      </c>
      <c r="EM64">
        <v>0</v>
      </c>
      <c r="EN64">
        <v>1</v>
      </c>
      <c r="EO64">
        <v>0</v>
      </c>
      <c r="EP64">
        <v>1</v>
      </c>
      <c r="EQ64">
        <v>1</v>
      </c>
      <c r="ER64">
        <v>0</v>
      </c>
      <c r="ES64">
        <v>0</v>
      </c>
      <c r="ET64">
        <v>0</v>
      </c>
      <c r="EU64">
        <v>1</v>
      </c>
      <c r="EV64">
        <v>1</v>
      </c>
      <c r="EW64">
        <v>1</v>
      </c>
      <c r="EX64">
        <v>0</v>
      </c>
      <c r="EY64">
        <v>0</v>
      </c>
      <c r="FB64" t="s">
        <v>547</v>
      </c>
      <c r="FC64">
        <v>1</v>
      </c>
      <c r="FD64">
        <v>1</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HC64" t="s">
        <v>548</v>
      </c>
      <c r="HD64">
        <v>0</v>
      </c>
      <c r="HE64">
        <v>0</v>
      </c>
      <c r="HF64">
        <v>0</v>
      </c>
      <c r="HG64">
        <v>0</v>
      </c>
      <c r="HH64">
        <v>0</v>
      </c>
      <c r="HI64">
        <v>0</v>
      </c>
      <c r="HJ64">
        <v>0</v>
      </c>
      <c r="HK64">
        <v>0</v>
      </c>
      <c r="HL64">
        <v>0</v>
      </c>
      <c r="HM64">
        <v>0</v>
      </c>
      <c r="HN64">
        <v>1</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0</v>
      </c>
      <c r="IQ64">
        <v>0</v>
      </c>
      <c r="IR64">
        <v>0</v>
      </c>
      <c r="IS64">
        <v>0</v>
      </c>
      <c r="IT64">
        <v>0</v>
      </c>
      <c r="IU64">
        <v>0</v>
      </c>
      <c r="IV64">
        <v>0</v>
      </c>
      <c r="IW64">
        <v>0</v>
      </c>
      <c r="IZ64">
        <v>1</v>
      </c>
      <c r="JA64">
        <v>0</v>
      </c>
      <c r="JB64">
        <v>0</v>
      </c>
      <c r="JC64">
        <v>0</v>
      </c>
      <c r="JD64">
        <v>1</v>
      </c>
      <c r="JE64">
        <v>0</v>
      </c>
      <c r="JF64">
        <v>1</v>
      </c>
      <c r="JG64">
        <v>0</v>
      </c>
      <c r="JH64">
        <v>0</v>
      </c>
      <c r="JI64">
        <v>0</v>
      </c>
      <c r="JJ64">
        <v>0</v>
      </c>
      <c r="JL64">
        <v>1</v>
      </c>
      <c r="JM64" cm="1">
        <f t="array" ref="JM64">IF(OR(JN64:JQ64 &lt;&gt; ""), 1, 0)</f>
        <v>1</v>
      </c>
      <c r="JN64">
        <v>0</v>
      </c>
      <c r="JO64">
        <v>0</v>
      </c>
      <c r="JP64">
        <v>0</v>
      </c>
      <c r="JQ64">
        <v>1</v>
      </c>
      <c r="JR64" t="s">
        <v>549</v>
      </c>
    </row>
    <row r="65" spans="1:278" x14ac:dyDescent="0.35">
      <c r="A65">
        <v>358418</v>
      </c>
      <c r="C65">
        <v>1</v>
      </c>
      <c r="D65" t="s">
        <v>550</v>
      </c>
      <c r="E65" t="str">
        <f>_xlfn.XLOOKUP(I65, [1]SchoolDistrictStudyWODuplicates!$K:$K, [1]SchoolDistrictStudyWODuplicates!$E:$E, "")</f>
        <v>Fort Wayne Community Schools</v>
      </c>
      <c r="G65" t="s">
        <v>551</v>
      </c>
      <c r="H65" s="5" t="e">
        <f>_xlfn.XLOOKUP(A65,#REF!,#REF!, "No")</f>
        <v>#REF!</v>
      </c>
      <c r="I65" s="7">
        <v>1803630</v>
      </c>
      <c r="J65" s="5" t="e">
        <f>_xlfn.XLOOKUP(I65,#REF!,#REF!,"Not Determined")</f>
        <v>#REF!</v>
      </c>
      <c r="K65" s="5" t="s">
        <v>516</v>
      </c>
      <c r="L65" t="s">
        <v>540</v>
      </c>
      <c r="M65" s="13" t="e">
        <f>_xlfn.XLOOKUP(I65,#REF!,#REF!, "No")</f>
        <v>#REF!</v>
      </c>
      <c r="N65" s="5" t="str">
        <f t="shared" si="11"/>
        <v>No</v>
      </c>
      <c r="O65" s="5" t="str">
        <f t="shared" si="12"/>
        <v>Yes</v>
      </c>
      <c r="P65" s="5" t="str">
        <f t="shared" si="13"/>
        <v>Yes</v>
      </c>
      <c r="Q65" s="5" t="str">
        <f t="shared" si="14"/>
        <v>Yes</v>
      </c>
      <c r="R65" s="5" t="str">
        <f t="shared" si="15"/>
        <v>Yes</v>
      </c>
      <c r="S65" s="5" t="str">
        <f t="shared" si="16"/>
        <v>Yes</v>
      </c>
      <c r="T65" s="5" t="str">
        <f t="shared" si="17"/>
        <v>Yes</v>
      </c>
      <c r="U65" s="5" t="str">
        <f t="shared" si="18"/>
        <v>Yes</v>
      </c>
      <c r="V65" s="5" t="str" cm="1">
        <f t="array" ref="V65">IF(OR(DB65:DG65 =1), "Yes", "No")</f>
        <v>No</v>
      </c>
      <c r="W65" s="5" t="str">
        <f t="shared" si="19"/>
        <v>Yes</v>
      </c>
      <c r="X65" s="5" t="str">
        <f t="shared" si="20"/>
        <v>No</v>
      </c>
      <c r="Y65" s="5" t="str">
        <f t="shared" si="21"/>
        <v>No</v>
      </c>
      <c r="Z65">
        <v>5</v>
      </c>
      <c r="AB65">
        <v>0</v>
      </c>
      <c r="AC65">
        <v>1</v>
      </c>
      <c r="AD65">
        <v>1</v>
      </c>
      <c r="AE65">
        <v>0</v>
      </c>
      <c r="AF65">
        <v>1</v>
      </c>
      <c r="AG65">
        <v>0</v>
      </c>
      <c r="AH65">
        <v>0</v>
      </c>
      <c r="AI65">
        <v>0</v>
      </c>
      <c r="AJ65">
        <v>0</v>
      </c>
      <c r="AK65">
        <v>1</v>
      </c>
      <c r="AM65">
        <v>1</v>
      </c>
      <c r="AN65">
        <v>0</v>
      </c>
      <c r="AO65">
        <v>1</v>
      </c>
      <c r="AP65">
        <v>57</v>
      </c>
      <c r="AR65">
        <v>169</v>
      </c>
      <c r="AS65">
        <v>57</v>
      </c>
      <c r="AU65">
        <v>169</v>
      </c>
      <c r="AV65">
        <v>1</v>
      </c>
      <c r="AW65">
        <v>0</v>
      </c>
      <c r="AX65">
        <v>0</v>
      </c>
      <c r="AY65">
        <v>0</v>
      </c>
      <c r="AZ65">
        <v>0</v>
      </c>
      <c r="BA65">
        <v>0</v>
      </c>
      <c r="BC65">
        <v>1</v>
      </c>
      <c r="BE65">
        <v>1</v>
      </c>
      <c r="BG65">
        <v>1</v>
      </c>
      <c r="BH65">
        <v>1</v>
      </c>
      <c r="BI65">
        <v>4</v>
      </c>
      <c r="BJ65">
        <v>1</v>
      </c>
      <c r="BK65">
        <v>4</v>
      </c>
      <c r="BL65">
        <v>1</v>
      </c>
      <c r="BM65">
        <v>1</v>
      </c>
      <c r="BN65">
        <v>2</v>
      </c>
      <c r="BV65">
        <v>0</v>
      </c>
      <c r="BW65">
        <v>0</v>
      </c>
      <c r="BX65">
        <v>0</v>
      </c>
      <c r="BY65">
        <v>0</v>
      </c>
      <c r="BZ65">
        <v>0</v>
      </c>
      <c r="CA65">
        <v>0</v>
      </c>
      <c r="CB65">
        <v>0</v>
      </c>
      <c r="CC65">
        <v>0</v>
      </c>
      <c r="CD65">
        <v>0</v>
      </c>
      <c r="CE65">
        <v>0</v>
      </c>
      <c r="CF65">
        <v>0</v>
      </c>
      <c r="CG65">
        <v>0</v>
      </c>
      <c r="CH65">
        <v>0</v>
      </c>
      <c r="CI65">
        <v>0</v>
      </c>
      <c r="CJ65">
        <v>0</v>
      </c>
      <c r="CK65">
        <v>1</v>
      </c>
      <c r="CL65">
        <v>0</v>
      </c>
      <c r="CN65">
        <v>16</v>
      </c>
      <c r="CO65">
        <v>4</v>
      </c>
      <c r="CQ65">
        <v>4</v>
      </c>
      <c r="CR65">
        <v>5</v>
      </c>
      <c r="EB65">
        <v>0</v>
      </c>
      <c r="EC65">
        <v>1</v>
      </c>
      <c r="ED65">
        <v>1</v>
      </c>
      <c r="EE65">
        <v>1</v>
      </c>
      <c r="EF65">
        <v>0</v>
      </c>
      <c r="EG65">
        <v>1</v>
      </c>
      <c r="EH65">
        <v>0</v>
      </c>
      <c r="EI65">
        <v>0</v>
      </c>
      <c r="EJ65">
        <v>0</v>
      </c>
      <c r="EK65">
        <v>0</v>
      </c>
      <c r="EM65">
        <v>0</v>
      </c>
      <c r="EN65">
        <v>0</v>
      </c>
      <c r="EO65">
        <v>0</v>
      </c>
      <c r="EP65">
        <v>1</v>
      </c>
      <c r="EQ65">
        <v>1</v>
      </c>
      <c r="ER65">
        <v>0</v>
      </c>
      <c r="ES65">
        <v>0</v>
      </c>
      <c r="ET65">
        <v>1</v>
      </c>
      <c r="EU65">
        <v>0</v>
      </c>
      <c r="EV65">
        <v>1</v>
      </c>
      <c r="EW65">
        <v>1</v>
      </c>
      <c r="EX65">
        <v>0</v>
      </c>
      <c r="EY65">
        <v>0</v>
      </c>
      <c r="HC65" t="s">
        <v>552</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1</v>
      </c>
      <c r="IL65">
        <v>0</v>
      </c>
      <c r="IM65">
        <v>0</v>
      </c>
      <c r="IN65">
        <v>0</v>
      </c>
      <c r="IO65">
        <v>0</v>
      </c>
      <c r="IP65">
        <v>0</v>
      </c>
      <c r="IQ65">
        <v>0</v>
      </c>
      <c r="IR65">
        <v>0</v>
      </c>
      <c r="IS65">
        <v>0</v>
      </c>
      <c r="IT65">
        <v>0</v>
      </c>
      <c r="IU65">
        <v>0</v>
      </c>
      <c r="IV65">
        <v>0</v>
      </c>
      <c r="IW65">
        <v>0</v>
      </c>
      <c r="IZ65">
        <v>1</v>
      </c>
      <c r="JA65">
        <v>0</v>
      </c>
      <c r="JB65">
        <v>1</v>
      </c>
      <c r="JC65">
        <v>0</v>
      </c>
      <c r="JD65">
        <v>0</v>
      </c>
      <c r="JE65">
        <v>0</v>
      </c>
      <c r="JF65">
        <v>0</v>
      </c>
      <c r="JG65">
        <v>0</v>
      </c>
      <c r="JH65">
        <v>0</v>
      </c>
      <c r="JI65">
        <v>0</v>
      </c>
      <c r="JJ65">
        <v>0</v>
      </c>
      <c r="JL65">
        <v>1</v>
      </c>
      <c r="JM65" cm="1">
        <f t="array" ref="JM65">IF(OR(JN65:JQ65 &lt;&gt; ""), 1, 0)</f>
        <v>1</v>
      </c>
      <c r="JN65">
        <v>0</v>
      </c>
      <c r="JO65">
        <v>1</v>
      </c>
      <c r="JP65">
        <v>0</v>
      </c>
      <c r="JQ65">
        <v>0</v>
      </c>
    </row>
    <row r="66" spans="1:278" x14ac:dyDescent="0.35">
      <c r="A66">
        <v>359894</v>
      </c>
      <c r="C66">
        <v>1</v>
      </c>
      <c r="D66" t="s">
        <v>553</v>
      </c>
      <c r="E66" t="str">
        <f>_xlfn.XLOOKUP(I66, [1]SchoolDistrictStudyWODuplicates!$K:$K, [1]SchoolDistrictStudyWODuplicates!$E:$E, "")</f>
        <v>Shelby Eastern Schools</v>
      </c>
      <c r="G66" t="s">
        <v>554</v>
      </c>
      <c r="H66" s="5" t="e">
        <f>_xlfn.XLOOKUP(A66,#REF!,#REF!, "No")</f>
        <v>#REF!</v>
      </c>
      <c r="I66" s="7">
        <v>1803210</v>
      </c>
      <c r="J66" s="5" t="e">
        <f>_xlfn.XLOOKUP(I66,#REF!,#REF!,"Not Determined")</f>
        <v>#REF!</v>
      </c>
      <c r="K66" s="5" t="s">
        <v>516</v>
      </c>
      <c r="L66" t="s">
        <v>540</v>
      </c>
      <c r="M66" s="13" t="e">
        <f>_xlfn.XLOOKUP(I66,#REF!,#REF!, "No")</f>
        <v>#REF!</v>
      </c>
      <c r="N66" s="5" t="str">
        <f t="shared" si="11"/>
        <v>No</v>
      </c>
      <c r="O66" s="5" t="str">
        <f t="shared" si="12"/>
        <v>Yes</v>
      </c>
      <c r="P66" s="5" t="str">
        <f t="shared" si="13"/>
        <v>Yes</v>
      </c>
      <c r="Q66" s="5" t="str">
        <f t="shared" si="14"/>
        <v>Yes</v>
      </c>
      <c r="R66" s="5" t="str">
        <f t="shared" si="15"/>
        <v>Yes</v>
      </c>
      <c r="S66" s="5" t="str">
        <f t="shared" si="16"/>
        <v>Yes</v>
      </c>
      <c r="T66" s="5" t="str">
        <f t="shared" si="17"/>
        <v>Yes</v>
      </c>
      <c r="U66" s="5" t="str">
        <f t="shared" si="18"/>
        <v>Yes</v>
      </c>
      <c r="V66" s="5" t="str" cm="1">
        <f t="array" ref="V66">IF(OR(DB66:DG66 =1), "Yes", "No")</f>
        <v>No</v>
      </c>
      <c r="W66" s="5" t="str">
        <f t="shared" si="19"/>
        <v>No</v>
      </c>
      <c r="X66" s="5" t="str">
        <f t="shared" si="20"/>
        <v>No</v>
      </c>
      <c r="Y66" s="5" t="str">
        <f t="shared" si="21"/>
        <v>No</v>
      </c>
      <c r="Z66">
        <v>3</v>
      </c>
      <c r="AB66">
        <v>0</v>
      </c>
      <c r="AC66">
        <v>0</v>
      </c>
      <c r="AD66">
        <v>1</v>
      </c>
      <c r="AE66">
        <v>0</v>
      </c>
      <c r="AF66">
        <v>0</v>
      </c>
      <c r="AG66">
        <v>0</v>
      </c>
      <c r="AH66">
        <v>0</v>
      </c>
      <c r="AI66">
        <v>0</v>
      </c>
      <c r="AJ66">
        <v>0</v>
      </c>
      <c r="AK66">
        <v>1</v>
      </c>
      <c r="AM66">
        <v>1</v>
      </c>
      <c r="AN66">
        <v>1</v>
      </c>
      <c r="AO66">
        <v>1</v>
      </c>
      <c r="AP66">
        <v>7</v>
      </c>
      <c r="AQ66">
        <v>10</v>
      </c>
      <c r="AR66">
        <v>14</v>
      </c>
      <c r="AS66">
        <v>7</v>
      </c>
      <c r="AT66">
        <v>10</v>
      </c>
      <c r="AU66">
        <v>14</v>
      </c>
      <c r="AV66">
        <v>1</v>
      </c>
      <c r="AW66">
        <v>1</v>
      </c>
      <c r="AX66">
        <v>0</v>
      </c>
      <c r="AY66">
        <v>0</v>
      </c>
      <c r="AZ66">
        <v>0</v>
      </c>
      <c r="BA66">
        <v>0</v>
      </c>
      <c r="BC66">
        <v>1</v>
      </c>
      <c r="BE66">
        <v>5</v>
      </c>
      <c r="BF66" t="s">
        <v>555</v>
      </c>
      <c r="BG66">
        <v>1</v>
      </c>
      <c r="BH66">
        <v>1</v>
      </c>
      <c r="BI66">
        <v>4</v>
      </c>
      <c r="BJ66">
        <v>1</v>
      </c>
      <c r="BK66">
        <v>4</v>
      </c>
      <c r="BL66">
        <v>2</v>
      </c>
      <c r="BM66">
        <v>1</v>
      </c>
      <c r="BN66">
        <v>2</v>
      </c>
      <c r="BV66">
        <v>0</v>
      </c>
      <c r="BW66">
        <v>0</v>
      </c>
      <c r="BX66">
        <v>0</v>
      </c>
      <c r="BY66">
        <v>0</v>
      </c>
      <c r="BZ66">
        <v>1</v>
      </c>
      <c r="CA66">
        <v>0</v>
      </c>
      <c r="CB66">
        <v>0</v>
      </c>
      <c r="CC66">
        <v>0</v>
      </c>
      <c r="CD66">
        <v>1</v>
      </c>
      <c r="CE66">
        <v>0</v>
      </c>
      <c r="CF66">
        <v>0</v>
      </c>
      <c r="CG66">
        <v>1</v>
      </c>
      <c r="CH66">
        <v>0</v>
      </c>
      <c r="CI66">
        <v>1</v>
      </c>
      <c r="CJ66">
        <v>0</v>
      </c>
      <c r="CK66">
        <v>0</v>
      </c>
      <c r="CL66">
        <v>0</v>
      </c>
      <c r="CN66">
        <v>9</v>
      </c>
      <c r="CO66">
        <v>4</v>
      </c>
      <c r="CQ66">
        <v>3</v>
      </c>
      <c r="CR66">
        <v>3</v>
      </c>
      <c r="EB66">
        <v>1</v>
      </c>
      <c r="EC66">
        <v>0</v>
      </c>
      <c r="ED66">
        <v>1</v>
      </c>
      <c r="EE66">
        <v>0</v>
      </c>
      <c r="EF66">
        <v>1</v>
      </c>
      <c r="EG66">
        <v>0</v>
      </c>
      <c r="EH66">
        <v>0</v>
      </c>
      <c r="EI66">
        <v>0</v>
      </c>
      <c r="EJ66">
        <v>0</v>
      </c>
      <c r="EK66">
        <v>0</v>
      </c>
      <c r="EM66">
        <v>1</v>
      </c>
      <c r="EN66">
        <v>1</v>
      </c>
      <c r="EO66">
        <v>0</v>
      </c>
      <c r="EP66">
        <v>0</v>
      </c>
      <c r="EQ66">
        <v>0</v>
      </c>
      <c r="ER66">
        <v>0</v>
      </c>
      <c r="ES66">
        <v>0</v>
      </c>
      <c r="ET66">
        <v>0</v>
      </c>
      <c r="EU66">
        <v>0</v>
      </c>
      <c r="EV66">
        <v>1</v>
      </c>
      <c r="EW66">
        <v>1</v>
      </c>
      <c r="EX66">
        <v>0</v>
      </c>
      <c r="EY66">
        <v>0</v>
      </c>
      <c r="EZ66" t="s">
        <v>556</v>
      </c>
      <c r="FA66">
        <v>10</v>
      </c>
      <c r="FB66" t="s">
        <v>557</v>
      </c>
      <c r="FC66">
        <v>1</v>
      </c>
      <c r="FD66">
        <v>1</v>
      </c>
      <c r="FE66">
        <v>0</v>
      </c>
      <c r="FF66">
        <v>0</v>
      </c>
      <c r="FG66">
        <v>0</v>
      </c>
      <c r="FH66">
        <v>0</v>
      </c>
      <c r="FI66">
        <v>0</v>
      </c>
      <c r="FJ66">
        <v>0</v>
      </c>
      <c r="FK66">
        <v>0</v>
      </c>
      <c r="FL66">
        <v>0</v>
      </c>
      <c r="FM66">
        <v>1</v>
      </c>
      <c r="FN66">
        <v>0</v>
      </c>
      <c r="FO66">
        <v>0</v>
      </c>
      <c r="FP66">
        <v>0</v>
      </c>
      <c r="FQ66">
        <v>0</v>
      </c>
      <c r="FR66">
        <v>0</v>
      </c>
      <c r="FS66">
        <v>0</v>
      </c>
      <c r="FT66">
        <v>0</v>
      </c>
      <c r="FU66">
        <v>0</v>
      </c>
      <c r="FV66">
        <v>0</v>
      </c>
      <c r="FW66">
        <v>0</v>
      </c>
      <c r="FX66">
        <v>0</v>
      </c>
      <c r="HC66" t="s">
        <v>558</v>
      </c>
      <c r="HD66">
        <v>1</v>
      </c>
      <c r="HE66">
        <v>0</v>
      </c>
      <c r="HF66">
        <v>0</v>
      </c>
      <c r="HG66">
        <v>0</v>
      </c>
      <c r="HH66">
        <v>0</v>
      </c>
      <c r="HI66">
        <v>0</v>
      </c>
      <c r="HJ66">
        <v>0</v>
      </c>
      <c r="HK66">
        <v>0</v>
      </c>
      <c r="HL66">
        <v>0</v>
      </c>
      <c r="HM66">
        <v>0</v>
      </c>
      <c r="HN66">
        <v>0</v>
      </c>
      <c r="HO66">
        <v>0</v>
      </c>
      <c r="HP66">
        <v>0</v>
      </c>
      <c r="HQ66">
        <v>0</v>
      </c>
      <c r="HR66">
        <v>0</v>
      </c>
      <c r="HS66">
        <v>0</v>
      </c>
      <c r="HT66">
        <v>0</v>
      </c>
      <c r="HU66">
        <v>0</v>
      </c>
      <c r="HV66">
        <v>1</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Z66">
        <v>1</v>
      </c>
      <c r="JA66">
        <v>0</v>
      </c>
      <c r="JB66">
        <v>1</v>
      </c>
      <c r="JC66">
        <v>0</v>
      </c>
      <c r="JD66">
        <v>0</v>
      </c>
      <c r="JE66">
        <v>0</v>
      </c>
      <c r="JF66">
        <v>1</v>
      </c>
      <c r="JG66">
        <v>0</v>
      </c>
      <c r="JH66">
        <v>0</v>
      </c>
      <c r="JI66">
        <v>0</v>
      </c>
      <c r="JJ66">
        <v>0</v>
      </c>
      <c r="JL66">
        <v>2</v>
      </c>
      <c r="JM66" cm="1">
        <f t="array" ref="JM66">IF(OR(JN66:JQ66 &lt;&gt; ""), 1, 0)</f>
        <v>0</v>
      </c>
    </row>
    <row r="67" spans="1:278" x14ac:dyDescent="0.35">
      <c r="A67">
        <v>362865</v>
      </c>
      <c r="C67">
        <v>1</v>
      </c>
      <c r="D67" t="s">
        <v>559</v>
      </c>
      <c r="E67" t="str">
        <f>_xlfn.XLOOKUP(I67, [1]SchoolDistrictStudyWODuplicates!$K:$K, [1]SchoolDistrictStudyWODuplicates!$E:$E, "")</f>
        <v>South Henry School Corporation</v>
      </c>
      <c r="G67" t="s">
        <v>560</v>
      </c>
      <c r="H67" s="5" t="e">
        <f>_xlfn.XLOOKUP(A67,#REF!,#REF!, "No")</f>
        <v>#REF!</v>
      </c>
      <c r="I67" s="7">
        <v>1810380</v>
      </c>
      <c r="J67" s="5" t="e">
        <f>_xlfn.XLOOKUP(I67,#REF!,#REF!,"Not Determined")</f>
        <v>#REF!</v>
      </c>
      <c r="K67" s="5" t="s">
        <v>516</v>
      </c>
      <c r="L67" t="s">
        <v>540</v>
      </c>
      <c r="M67" s="13" t="e">
        <f>_xlfn.XLOOKUP(I67,#REF!,#REF!, "No")</f>
        <v>#REF!</v>
      </c>
      <c r="N67" s="5" t="str">
        <f t="shared" si="11"/>
        <v>No</v>
      </c>
      <c r="O67" s="5" t="str">
        <f t="shared" si="12"/>
        <v>Yes</v>
      </c>
      <c r="P67" s="5" t="str">
        <f t="shared" si="13"/>
        <v>Yes</v>
      </c>
      <c r="Q67" s="5" t="str">
        <f t="shared" si="14"/>
        <v>Yes</v>
      </c>
      <c r="R67" s="5" t="str">
        <f t="shared" si="15"/>
        <v>Yes</v>
      </c>
      <c r="S67" s="5" t="str">
        <f t="shared" si="16"/>
        <v>Yes</v>
      </c>
      <c r="T67" s="5" t="str">
        <f t="shared" si="17"/>
        <v>No</v>
      </c>
      <c r="U67" s="5" t="str">
        <f t="shared" si="18"/>
        <v>No</v>
      </c>
      <c r="V67" s="5" t="str" cm="1">
        <f t="array" ref="V67">IF(OR(DB67:DG67 =1), "Yes", "No")</f>
        <v>No</v>
      </c>
      <c r="W67" s="5" t="str">
        <f t="shared" si="19"/>
        <v>No</v>
      </c>
      <c r="X67" s="5" t="str">
        <f t="shared" si="20"/>
        <v>No</v>
      </c>
      <c r="Y67" s="5" t="str">
        <f t="shared" si="21"/>
        <v>No</v>
      </c>
      <c r="Z67">
        <v>13</v>
      </c>
      <c r="AB67">
        <v>1</v>
      </c>
      <c r="AC67">
        <v>0</v>
      </c>
      <c r="AD67">
        <v>1</v>
      </c>
      <c r="AE67">
        <v>0</v>
      </c>
      <c r="AF67">
        <v>0</v>
      </c>
      <c r="AG67">
        <v>0</v>
      </c>
      <c r="AH67">
        <v>0</v>
      </c>
      <c r="AI67">
        <v>1</v>
      </c>
      <c r="AJ67">
        <v>0</v>
      </c>
      <c r="AK67">
        <v>1</v>
      </c>
      <c r="AM67">
        <v>1</v>
      </c>
      <c r="AN67">
        <v>1</v>
      </c>
      <c r="AO67">
        <v>0</v>
      </c>
      <c r="AP67">
        <v>6</v>
      </c>
      <c r="AQ67">
        <v>15</v>
      </c>
      <c r="AS67">
        <v>6</v>
      </c>
      <c r="AT67">
        <v>15</v>
      </c>
      <c r="AV67">
        <v>1</v>
      </c>
      <c r="AW67">
        <v>1</v>
      </c>
      <c r="AX67">
        <v>0</v>
      </c>
      <c r="AY67">
        <v>0</v>
      </c>
      <c r="AZ67">
        <v>0</v>
      </c>
      <c r="BA67">
        <v>0</v>
      </c>
      <c r="BC67">
        <v>1</v>
      </c>
      <c r="BE67">
        <v>4</v>
      </c>
      <c r="BG67">
        <v>1</v>
      </c>
      <c r="BH67">
        <v>1</v>
      </c>
      <c r="BI67">
        <v>5</v>
      </c>
      <c r="BJ67">
        <v>1</v>
      </c>
      <c r="BK67">
        <v>6</v>
      </c>
      <c r="BL67">
        <v>1</v>
      </c>
      <c r="BM67">
        <v>1</v>
      </c>
      <c r="BN67">
        <v>1</v>
      </c>
      <c r="BO67">
        <v>1</v>
      </c>
      <c r="BP67">
        <v>0</v>
      </c>
      <c r="BQ67">
        <v>0</v>
      </c>
      <c r="BR67">
        <v>0</v>
      </c>
      <c r="BS67">
        <v>0</v>
      </c>
      <c r="BT67">
        <v>0</v>
      </c>
      <c r="BV67">
        <v>0</v>
      </c>
      <c r="BW67">
        <v>1</v>
      </c>
      <c r="BX67">
        <v>0</v>
      </c>
      <c r="BY67">
        <v>0</v>
      </c>
      <c r="BZ67">
        <v>0</v>
      </c>
      <c r="CA67">
        <v>0</v>
      </c>
      <c r="CB67">
        <v>0</v>
      </c>
      <c r="CC67">
        <v>0</v>
      </c>
      <c r="CD67">
        <v>0</v>
      </c>
      <c r="CE67">
        <v>0</v>
      </c>
      <c r="CF67">
        <v>0</v>
      </c>
      <c r="CG67">
        <v>0</v>
      </c>
      <c r="CH67">
        <v>0</v>
      </c>
      <c r="CI67">
        <v>0</v>
      </c>
      <c r="CJ67">
        <v>0</v>
      </c>
      <c r="CK67">
        <v>0</v>
      </c>
      <c r="CL67">
        <v>0</v>
      </c>
      <c r="CN67">
        <v>2</v>
      </c>
      <c r="CO67">
        <v>4</v>
      </c>
      <c r="CQ67">
        <v>1</v>
      </c>
      <c r="CR67">
        <v>1</v>
      </c>
      <c r="EB67">
        <v>1</v>
      </c>
      <c r="EC67">
        <v>1</v>
      </c>
      <c r="ED67">
        <v>1</v>
      </c>
      <c r="EE67">
        <v>1</v>
      </c>
      <c r="EF67">
        <v>1</v>
      </c>
      <c r="EG67">
        <v>1</v>
      </c>
      <c r="EH67">
        <v>0</v>
      </c>
      <c r="EI67">
        <v>0</v>
      </c>
      <c r="EJ67">
        <v>0</v>
      </c>
      <c r="EK67">
        <v>0</v>
      </c>
      <c r="EM67">
        <v>1</v>
      </c>
      <c r="EN67">
        <v>1</v>
      </c>
      <c r="EO67">
        <v>0</v>
      </c>
      <c r="EP67">
        <v>1</v>
      </c>
      <c r="EQ67">
        <v>1</v>
      </c>
      <c r="ER67">
        <v>1</v>
      </c>
      <c r="ES67">
        <v>0</v>
      </c>
      <c r="ET67">
        <v>0</v>
      </c>
      <c r="EU67">
        <v>0</v>
      </c>
      <c r="EV67">
        <v>0</v>
      </c>
      <c r="EW67">
        <v>0</v>
      </c>
      <c r="EX67">
        <v>0</v>
      </c>
      <c r="EY67">
        <v>0</v>
      </c>
      <c r="EZ67" t="s">
        <v>561</v>
      </c>
      <c r="FA67">
        <v>2</v>
      </c>
      <c r="FB67" t="s">
        <v>562</v>
      </c>
      <c r="FC67">
        <v>1</v>
      </c>
      <c r="FD67">
        <v>1</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IZ67">
        <v>1</v>
      </c>
      <c r="JA67">
        <v>0</v>
      </c>
      <c r="JB67">
        <v>1</v>
      </c>
      <c r="JC67">
        <v>0</v>
      </c>
      <c r="JD67">
        <v>0</v>
      </c>
      <c r="JE67">
        <v>0</v>
      </c>
      <c r="JF67">
        <v>0</v>
      </c>
      <c r="JG67">
        <v>0</v>
      </c>
      <c r="JH67">
        <v>0</v>
      </c>
      <c r="JI67">
        <v>0</v>
      </c>
      <c r="JJ67">
        <v>0</v>
      </c>
      <c r="JL67">
        <v>2</v>
      </c>
      <c r="JM67" cm="1">
        <f t="array" ref="JM67">IF(OR(JN67:JQ67 &lt;&gt; ""), 1, 0)</f>
        <v>0</v>
      </c>
    </row>
    <row r="68" spans="1:278" x14ac:dyDescent="0.35">
      <c r="A68">
        <v>405223</v>
      </c>
      <c r="C68">
        <v>1</v>
      </c>
      <c r="D68" t="s">
        <v>563</v>
      </c>
      <c r="E68" t="str">
        <f>_xlfn.XLOOKUP(I68, [1]SchoolDistrictStudyWODuplicates!$K:$K, [1]SchoolDistrictStudyWODuplicates!$E:$E, "")</f>
        <v/>
      </c>
      <c r="G68" t="s">
        <v>564</v>
      </c>
      <c r="H68" s="5" t="e">
        <f>_xlfn.XLOOKUP(A68,#REF!,#REF!, "No")</f>
        <v>#REF!</v>
      </c>
      <c r="I68" s="7">
        <v>1808040</v>
      </c>
      <c r="J68" s="5" t="e">
        <f>_xlfn.XLOOKUP(I68,#REF!,#REF!,"Not Determined")</f>
        <v>#REF!</v>
      </c>
      <c r="K68" s="5" t="s">
        <v>516</v>
      </c>
      <c r="L68" t="s">
        <v>540</v>
      </c>
      <c r="M68" s="13" t="e">
        <f>_xlfn.XLOOKUP(I68,#REF!,#REF!, "No")</f>
        <v>#REF!</v>
      </c>
      <c r="N68" s="5" t="str">
        <f t="shared" si="11"/>
        <v>No</v>
      </c>
      <c r="O68" s="5" t="str">
        <f t="shared" si="12"/>
        <v>Yes</v>
      </c>
      <c r="P68" s="5" t="str">
        <f t="shared" si="13"/>
        <v>Yes</v>
      </c>
      <c r="Q68" s="5" t="str">
        <f t="shared" si="14"/>
        <v>Yes</v>
      </c>
      <c r="R68" s="5" t="str">
        <f t="shared" si="15"/>
        <v>Yes</v>
      </c>
      <c r="S68" s="5" t="str">
        <f t="shared" si="16"/>
        <v>Yes</v>
      </c>
      <c r="T68" s="5" t="str">
        <f t="shared" si="17"/>
        <v>No</v>
      </c>
      <c r="U68" s="5" t="str">
        <f t="shared" si="18"/>
        <v>No</v>
      </c>
      <c r="V68" s="5" t="str" cm="1">
        <f t="array" ref="V68">IF(OR(DB68:DG68 =1), "Yes", "No")</f>
        <v>No</v>
      </c>
      <c r="W68" s="5" t="str">
        <f t="shared" si="19"/>
        <v>No</v>
      </c>
      <c r="X68" s="5" t="str">
        <f t="shared" si="20"/>
        <v>No</v>
      </c>
      <c r="Y68" s="5" t="str">
        <f t="shared" si="21"/>
        <v>No</v>
      </c>
      <c r="Z68">
        <v>1</v>
      </c>
      <c r="AB68">
        <v>1</v>
      </c>
      <c r="AC68">
        <v>0</v>
      </c>
      <c r="AD68">
        <v>1</v>
      </c>
      <c r="AE68">
        <v>0</v>
      </c>
      <c r="AF68">
        <v>0</v>
      </c>
      <c r="AG68">
        <v>0</v>
      </c>
      <c r="AH68">
        <v>0</v>
      </c>
      <c r="AI68">
        <v>1</v>
      </c>
      <c r="AJ68">
        <v>0</v>
      </c>
      <c r="AK68">
        <v>1</v>
      </c>
      <c r="AM68">
        <v>1</v>
      </c>
      <c r="AN68">
        <v>0</v>
      </c>
      <c r="AO68">
        <v>0</v>
      </c>
      <c r="AP68">
        <v>2</v>
      </c>
      <c r="AS68">
        <v>2</v>
      </c>
      <c r="AV68">
        <v>1</v>
      </c>
      <c r="AW68">
        <v>1</v>
      </c>
      <c r="AX68">
        <v>0</v>
      </c>
      <c r="AY68">
        <v>0</v>
      </c>
      <c r="AZ68">
        <v>0</v>
      </c>
      <c r="BA68">
        <v>0</v>
      </c>
      <c r="BC68">
        <v>1</v>
      </c>
      <c r="BE68">
        <v>4</v>
      </c>
      <c r="BG68">
        <v>1</v>
      </c>
      <c r="BH68">
        <v>1</v>
      </c>
      <c r="BI68">
        <v>5</v>
      </c>
      <c r="BJ68">
        <v>2</v>
      </c>
      <c r="BL68">
        <v>2</v>
      </c>
      <c r="BM68">
        <v>1</v>
      </c>
      <c r="BN68">
        <v>2</v>
      </c>
      <c r="BV68">
        <v>0</v>
      </c>
      <c r="BW68">
        <v>1</v>
      </c>
      <c r="BX68">
        <v>0</v>
      </c>
      <c r="BY68">
        <v>0</v>
      </c>
      <c r="BZ68">
        <v>1</v>
      </c>
      <c r="CA68">
        <v>0</v>
      </c>
      <c r="CB68">
        <v>0</v>
      </c>
      <c r="CC68">
        <v>0</v>
      </c>
      <c r="CD68">
        <v>0</v>
      </c>
      <c r="CE68">
        <v>1</v>
      </c>
      <c r="CF68">
        <v>0</v>
      </c>
      <c r="CG68">
        <v>0</v>
      </c>
      <c r="CH68">
        <v>0</v>
      </c>
      <c r="CI68">
        <v>1</v>
      </c>
      <c r="CJ68">
        <v>0</v>
      </c>
      <c r="CK68">
        <v>0</v>
      </c>
      <c r="CL68">
        <v>0</v>
      </c>
      <c r="CN68">
        <v>2</v>
      </c>
      <c r="CO68">
        <v>4</v>
      </c>
      <c r="CQ68">
        <v>2</v>
      </c>
      <c r="CR68">
        <v>2</v>
      </c>
      <c r="EB68">
        <v>0</v>
      </c>
      <c r="EC68">
        <v>0</v>
      </c>
      <c r="ED68">
        <v>0</v>
      </c>
      <c r="EE68">
        <v>1</v>
      </c>
      <c r="EF68">
        <v>1</v>
      </c>
      <c r="EG68">
        <v>1</v>
      </c>
      <c r="EH68">
        <v>0</v>
      </c>
      <c r="EI68">
        <v>1</v>
      </c>
      <c r="EJ68">
        <v>0</v>
      </c>
      <c r="EK68">
        <v>0</v>
      </c>
      <c r="EM68">
        <v>0</v>
      </c>
      <c r="EN68">
        <v>1</v>
      </c>
      <c r="EO68">
        <v>1</v>
      </c>
      <c r="EP68">
        <v>1</v>
      </c>
      <c r="EQ68">
        <v>0</v>
      </c>
      <c r="ER68">
        <v>0</v>
      </c>
      <c r="ES68">
        <v>0</v>
      </c>
      <c r="ET68">
        <v>0</v>
      </c>
      <c r="EU68">
        <v>0</v>
      </c>
      <c r="EV68">
        <v>0</v>
      </c>
      <c r="EW68">
        <v>1</v>
      </c>
      <c r="EX68">
        <v>0</v>
      </c>
      <c r="EY68">
        <v>0</v>
      </c>
      <c r="FB68" t="s">
        <v>565</v>
      </c>
      <c r="FC68">
        <v>0</v>
      </c>
      <c r="FD68">
        <v>1</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t="s">
        <v>566</v>
      </c>
      <c r="FZ68">
        <v>1</v>
      </c>
      <c r="GA68">
        <v>0</v>
      </c>
      <c r="GB68">
        <v>0</v>
      </c>
      <c r="GC68">
        <v>0</v>
      </c>
      <c r="GD68">
        <v>1</v>
      </c>
      <c r="GE68">
        <v>0</v>
      </c>
      <c r="GF68">
        <v>0</v>
      </c>
      <c r="GG68">
        <v>0</v>
      </c>
      <c r="GH68">
        <v>0</v>
      </c>
      <c r="GI68">
        <v>0</v>
      </c>
      <c r="GJ68">
        <v>0</v>
      </c>
      <c r="GK68">
        <v>0</v>
      </c>
      <c r="GL68">
        <v>0</v>
      </c>
      <c r="GM68">
        <v>0</v>
      </c>
      <c r="GN68">
        <v>0</v>
      </c>
      <c r="GO68">
        <v>0</v>
      </c>
      <c r="GP68">
        <v>0</v>
      </c>
      <c r="GQ68">
        <v>0</v>
      </c>
      <c r="GR68">
        <v>0</v>
      </c>
      <c r="IZ68">
        <v>1</v>
      </c>
      <c r="JA68">
        <v>0</v>
      </c>
      <c r="JB68">
        <v>0</v>
      </c>
      <c r="JC68">
        <v>1</v>
      </c>
      <c r="JD68">
        <v>0</v>
      </c>
      <c r="JE68">
        <v>0</v>
      </c>
      <c r="JF68">
        <v>1</v>
      </c>
      <c r="JG68">
        <v>0</v>
      </c>
      <c r="JH68">
        <v>0</v>
      </c>
      <c r="JI68">
        <v>0</v>
      </c>
      <c r="JJ68">
        <v>0</v>
      </c>
      <c r="JL68">
        <v>2</v>
      </c>
      <c r="JM68" cm="1">
        <f t="array" ref="JM68">IF(OR(JN68:JQ68 &lt;&gt; ""), 1, 0)</f>
        <v>0</v>
      </c>
    </row>
    <row r="69" spans="1:278" x14ac:dyDescent="0.35">
      <c r="A69">
        <v>405490</v>
      </c>
      <c r="C69">
        <v>1</v>
      </c>
      <c r="D69" t="s">
        <v>567</v>
      </c>
      <c r="E69" t="str">
        <f>_xlfn.XLOOKUP(I69, [1]SchoolDistrictStudyWODuplicates!$K:$K, [1]SchoolDistrictStudyWODuplicates!$E:$E, "")</f>
        <v/>
      </c>
      <c r="G69" t="s">
        <v>568</v>
      </c>
      <c r="H69" s="7">
        <v>1906240</v>
      </c>
      <c r="I69" s="7">
        <v>1906240</v>
      </c>
      <c r="J69" s="5" t="e">
        <f>_xlfn.XLOOKUP(I69,#REF!,#REF!,"Not Determined")</f>
        <v>#REF!</v>
      </c>
      <c r="K69" s="5" t="s">
        <v>466</v>
      </c>
      <c r="L69" t="s">
        <v>569</v>
      </c>
      <c r="M69" s="13" t="e">
        <f>_xlfn.XLOOKUP(I69,#REF!,#REF!, "No")</f>
        <v>#REF!</v>
      </c>
      <c r="N69" s="5" t="str">
        <f t="shared" si="11"/>
        <v>No</v>
      </c>
      <c r="O69" s="5" t="str">
        <f t="shared" si="12"/>
        <v>Yes</v>
      </c>
      <c r="P69" s="5" t="str">
        <f t="shared" si="13"/>
        <v>Yes</v>
      </c>
      <c r="Q69" s="5" t="str">
        <f t="shared" si="14"/>
        <v>Yes</v>
      </c>
      <c r="R69" s="5" t="str">
        <f t="shared" si="15"/>
        <v>Yes</v>
      </c>
      <c r="S69" s="5" t="str">
        <f t="shared" si="16"/>
        <v>Yes</v>
      </c>
      <c r="T69" s="5" t="str">
        <f t="shared" si="17"/>
        <v>Yes</v>
      </c>
      <c r="U69" s="5" t="str">
        <f t="shared" si="18"/>
        <v>Yes</v>
      </c>
      <c r="V69" s="5" t="str" cm="1">
        <f t="array" ref="V69">IF(OR(DB69:DG69 =1), "Yes", "No")</f>
        <v>No</v>
      </c>
      <c r="W69" s="5" t="str">
        <f t="shared" si="19"/>
        <v>Yes</v>
      </c>
      <c r="X69" s="5" t="str">
        <f t="shared" si="20"/>
        <v>No</v>
      </c>
      <c r="Y69" s="5" t="str">
        <f t="shared" si="21"/>
        <v>No</v>
      </c>
      <c r="Z69">
        <v>3</v>
      </c>
      <c r="AB69">
        <v>0</v>
      </c>
      <c r="AC69">
        <v>0</v>
      </c>
      <c r="AD69">
        <v>1</v>
      </c>
      <c r="AE69">
        <v>0</v>
      </c>
      <c r="AF69">
        <v>0</v>
      </c>
      <c r="AG69">
        <v>0</v>
      </c>
      <c r="AH69">
        <v>0</v>
      </c>
      <c r="AI69">
        <v>0</v>
      </c>
      <c r="AJ69">
        <v>0</v>
      </c>
      <c r="AK69">
        <v>1</v>
      </c>
      <c r="AM69">
        <v>0</v>
      </c>
      <c r="AN69">
        <v>1</v>
      </c>
      <c r="AO69">
        <v>0</v>
      </c>
      <c r="AQ69">
        <v>20</v>
      </c>
      <c r="AT69">
        <v>20</v>
      </c>
      <c r="AV69">
        <v>1</v>
      </c>
      <c r="AW69">
        <v>0</v>
      </c>
      <c r="AX69">
        <v>0</v>
      </c>
      <c r="AY69">
        <v>0</v>
      </c>
      <c r="AZ69">
        <v>0</v>
      </c>
      <c r="BA69">
        <v>0</v>
      </c>
      <c r="BC69">
        <v>1</v>
      </c>
      <c r="BE69">
        <v>1</v>
      </c>
      <c r="BG69">
        <v>1</v>
      </c>
      <c r="BH69">
        <v>1</v>
      </c>
      <c r="BI69">
        <v>4</v>
      </c>
      <c r="BJ69">
        <v>1</v>
      </c>
      <c r="BK69">
        <v>4</v>
      </c>
      <c r="BL69">
        <v>1</v>
      </c>
      <c r="BM69">
        <v>1</v>
      </c>
      <c r="BN69">
        <v>1</v>
      </c>
      <c r="BO69">
        <v>1</v>
      </c>
      <c r="BP69">
        <v>0</v>
      </c>
      <c r="BQ69">
        <v>0</v>
      </c>
      <c r="BR69">
        <v>0</v>
      </c>
      <c r="BS69">
        <v>0</v>
      </c>
      <c r="BT69">
        <v>0</v>
      </c>
      <c r="BV69">
        <v>0</v>
      </c>
      <c r="BW69">
        <v>0</v>
      </c>
      <c r="BX69">
        <v>0</v>
      </c>
      <c r="BY69">
        <v>0</v>
      </c>
      <c r="BZ69">
        <v>0</v>
      </c>
      <c r="CA69">
        <v>0</v>
      </c>
      <c r="CB69">
        <v>0</v>
      </c>
      <c r="CC69">
        <v>0</v>
      </c>
      <c r="CD69">
        <v>1</v>
      </c>
      <c r="CE69">
        <v>0</v>
      </c>
      <c r="CF69">
        <v>0</v>
      </c>
      <c r="CG69">
        <v>0</v>
      </c>
      <c r="CH69">
        <v>0</v>
      </c>
      <c r="CI69">
        <v>0</v>
      </c>
      <c r="CJ69">
        <v>0</v>
      </c>
      <c r="CK69">
        <v>0</v>
      </c>
      <c r="CL69">
        <v>0</v>
      </c>
      <c r="CN69">
        <v>9</v>
      </c>
      <c r="CO69">
        <v>4</v>
      </c>
      <c r="CQ69">
        <v>5</v>
      </c>
      <c r="CR69">
        <v>4</v>
      </c>
      <c r="EB69">
        <v>0</v>
      </c>
      <c r="EC69">
        <v>1</v>
      </c>
      <c r="ED69">
        <v>1</v>
      </c>
      <c r="EE69">
        <v>0</v>
      </c>
      <c r="EF69">
        <v>0</v>
      </c>
      <c r="EG69">
        <v>1</v>
      </c>
      <c r="EH69">
        <v>0</v>
      </c>
      <c r="EI69">
        <v>0</v>
      </c>
      <c r="EJ69">
        <v>0</v>
      </c>
      <c r="EK69">
        <v>0</v>
      </c>
      <c r="EM69">
        <v>0</v>
      </c>
      <c r="EN69">
        <v>1</v>
      </c>
      <c r="EO69">
        <v>0</v>
      </c>
      <c r="EP69">
        <v>1</v>
      </c>
      <c r="EQ69">
        <v>0</v>
      </c>
      <c r="ER69">
        <v>0</v>
      </c>
      <c r="ES69">
        <v>0</v>
      </c>
      <c r="ET69">
        <v>0</v>
      </c>
      <c r="EU69">
        <v>0</v>
      </c>
      <c r="EV69">
        <v>0</v>
      </c>
      <c r="EW69">
        <v>0</v>
      </c>
      <c r="EX69">
        <v>0</v>
      </c>
      <c r="EY69">
        <v>0</v>
      </c>
      <c r="FB69" t="s">
        <v>570</v>
      </c>
      <c r="FC69">
        <v>1</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IZ69">
        <v>0</v>
      </c>
      <c r="JA69">
        <v>0</v>
      </c>
      <c r="JB69">
        <v>0</v>
      </c>
      <c r="JC69">
        <v>0</v>
      </c>
      <c r="JD69">
        <v>0</v>
      </c>
      <c r="JE69">
        <v>0</v>
      </c>
      <c r="JF69">
        <v>0</v>
      </c>
      <c r="JG69">
        <v>0</v>
      </c>
      <c r="JH69">
        <v>0</v>
      </c>
      <c r="JI69">
        <v>0</v>
      </c>
      <c r="JJ69">
        <v>1</v>
      </c>
      <c r="JL69">
        <v>1</v>
      </c>
      <c r="JM69" cm="1">
        <f t="array" ref="JM69">IF(OR(JN69:JQ69 &lt;&gt; ""), 1, 0)</f>
        <v>1</v>
      </c>
      <c r="JN69">
        <v>1</v>
      </c>
      <c r="JO69">
        <v>1</v>
      </c>
      <c r="JP69">
        <v>1</v>
      </c>
      <c r="JQ69">
        <v>0</v>
      </c>
    </row>
    <row r="70" spans="1:278" x14ac:dyDescent="0.35">
      <c r="A70">
        <v>370509</v>
      </c>
      <c r="C70">
        <v>1</v>
      </c>
      <c r="D70" t="s">
        <v>571</v>
      </c>
      <c r="E70" t="str">
        <f>_xlfn.XLOOKUP(I70, [1]SchoolDistrictStudyWODuplicates!$K:$K, [1]SchoolDistrictStudyWODuplicates!$E:$E, "")</f>
        <v/>
      </c>
      <c r="G70" t="s">
        <v>572</v>
      </c>
      <c r="H70" s="7">
        <v>1900027</v>
      </c>
      <c r="I70" s="7">
        <v>1900027</v>
      </c>
      <c r="J70" s="5" t="e">
        <f>_xlfn.XLOOKUP(I70,#REF!,#REF!,"Not Determined")</f>
        <v>#REF!</v>
      </c>
      <c r="K70" s="5" t="s">
        <v>466</v>
      </c>
      <c r="L70" t="s">
        <v>569</v>
      </c>
      <c r="M70" s="13" t="e">
        <f>_xlfn.XLOOKUP(I70,#REF!,#REF!, "No")</f>
        <v>#REF!</v>
      </c>
      <c r="N70" s="5" t="str">
        <f t="shared" ref="N70:N133" si="22">IF(AZ70 = 1, "Yes", "No")</f>
        <v>No</v>
      </c>
      <c r="O70" s="5" t="str">
        <f t="shared" ref="O70:O133" si="23">IF(OR(BM70&lt;&gt;"",BH70&lt;&gt;"",BJ70&lt;&gt;"",BL70&lt;&gt;""),"Yes","No")</f>
        <v>Yes</v>
      </c>
      <c r="P70" s="5" t="str">
        <f t="shared" ref="P70:P133" si="24">IF(BM70 = 1, "Yes", "No")</f>
        <v>Yes</v>
      </c>
      <c r="Q70" s="5" t="str">
        <f t="shared" ref="Q70:Q133" si="25">IF(OR(BH70 = 1, BJ70 = 1, BL70 = 1), "Yes", "No")</f>
        <v>Yes</v>
      </c>
      <c r="R70" s="5" t="str">
        <f t="shared" ref="R70:R133" si="26">IF(OR(CQ70 = 1, CQ70 = 2, CQ70 = 3, CQ70 = 4, CQ70 = 5), "Yes", "No")</f>
        <v>Yes</v>
      </c>
      <c r="S70" s="5" t="str">
        <f t="shared" ref="S70:S133" si="27">IF(OR(CR70 = 1, CR70 = 2, CR70 = 3, CR70 = 4, CR70 = 5), "Yes", "No")</f>
        <v>Yes</v>
      </c>
      <c r="T70" s="5" t="str">
        <f t="shared" ref="T70:T133" si="28">IF(OR(CQ70 = 3, CQ70 = 4, CQ70 = 5), "Yes", "No")</f>
        <v>Yes</v>
      </c>
      <c r="U70" s="5" t="str">
        <f t="shared" ref="U70:U133" si="29">IF(OR(CR70 = 3, CR70 = 4, CR70 = 5), "Yes", "No")</f>
        <v>Yes</v>
      </c>
      <c r="V70" s="5" t="str" cm="1">
        <f t="array" ref="V70">IF(OR(DB70:DG70 =1), "Yes", "No")</f>
        <v>No</v>
      </c>
      <c r="W70" s="5" t="str">
        <f t="shared" ref="W70:W133" si="30">IF(JL70 =1, "Yes", "No")</f>
        <v>No</v>
      </c>
      <c r="X70" s="5" t="str">
        <f t="shared" ref="X70:X133" si="31">IF(DL70 =1, "Yes", "No")</f>
        <v>No</v>
      </c>
      <c r="Y70" s="5" t="str">
        <f t="shared" ref="Y70:Y133" si="32">IF(DN70 = 1, "Yes", "No")</f>
        <v>No</v>
      </c>
      <c r="Z70">
        <v>3</v>
      </c>
      <c r="AB70">
        <v>0</v>
      </c>
      <c r="AC70">
        <v>0</v>
      </c>
      <c r="AD70">
        <v>1</v>
      </c>
      <c r="AE70">
        <v>0</v>
      </c>
      <c r="AF70">
        <v>0</v>
      </c>
      <c r="AG70">
        <v>0</v>
      </c>
      <c r="AH70">
        <v>0</v>
      </c>
      <c r="AI70">
        <v>0</v>
      </c>
      <c r="AJ70">
        <v>0</v>
      </c>
      <c r="AK70">
        <v>1</v>
      </c>
      <c r="AM70">
        <v>0</v>
      </c>
      <c r="AN70">
        <v>1</v>
      </c>
      <c r="AO70">
        <v>1</v>
      </c>
      <c r="AQ70">
        <v>13</v>
      </c>
      <c r="AR70">
        <v>1</v>
      </c>
      <c r="AT70">
        <v>13</v>
      </c>
      <c r="AU70">
        <v>1</v>
      </c>
      <c r="AV70">
        <v>1</v>
      </c>
      <c r="AW70">
        <v>0</v>
      </c>
      <c r="AX70">
        <v>0</v>
      </c>
      <c r="AY70">
        <v>1</v>
      </c>
      <c r="AZ70">
        <v>0</v>
      </c>
      <c r="BA70">
        <v>0</v>
      </c>
      <c r="BC70">
        <v>1</v>
      </c>
      <c r="BE70">
        <v>1</v>
      </c>
      <c r="BG70">
        <v>1</v>
      </c>
      <c r="BH70">
        <v>1</v>
      </c>
      <c r="BI70">
        <v>2</v>
      </c>
      <c r="BJ70">
        <v>1</v>
      </c>
      <c r="BK70">
        <v>6</v>
      </c>
      <c r="BL70">
        <v>2</v>
      </c>
      <c r="BM70">
        <v>1</v>
      </c>
      <c r="BN70">
        <v>2</v>
      </c>
      <c r="BV70">
        <v>0</v>
      </c>
      <c r="BW70">
        <v>0</v>
      </c>
      <c r="BX70">
        <v>1</v>
      </c>
      <c r="BY70">
        <v>1</v>
      </c>
      <c r="BZ70">
        <v>1</v>
      </c>
      <c r="CA70">
        <v>0</v>
      </c>
      <c r="CB70">
        <v>0</v>
      </c>
      <c r="CC70">
        <v>0</v>
      </c>
      <c r="CD70">
        <v>1</v>
      </c>
      <c r="CE70">
        <v>0</v>
      </c>
      <c r="CF70">
        <v>1</v>
      </c>
      <c r="CG70">
        <v>1</v>
      </c>
      <c r="CH70">
        <v>0</v>
      </c>
      <c r="CI70">
        <v>1</v>
      </c>
      <c r="CJ70">
        <v>0</v>
      </c>
      <c r="CK70">
        <v>1</v>
      </c>
      <c r="CL70">
        <v>0</v>
      </c>
      <c r="CN70">
        <v>16</v>
      </c>
      <c r="CO70">
        <v>4</v>
      </c>
      <c r="CQ70">
        <v>4</v>
      </c>
      <c r="CR70">
        <v>4</v>
      </c>
      <c r="EB70">
        <v>1</v>
      </c>
      <c r="EC70">
        <v>0</v>
      </c>
      <c r="ED70">
        <v>1</v>
      </c>
      <c r="EE70">
        <v>0</v>
      </c>
      <c r="EF70">
        <v>1</v>
      </c>
      <c r="EG70">
        <v>1</v>
      </c>
      <c r="EH70">
        <v>0</v>
      </c>
      <c r="EI70">
        <v>0</v>
      </c>
      <c r="EJ70">
        <v>0</v>
      </c>
      <c r="EK70">
        <v>0</v>
      </c>
      <c r="JM70" cm="1">
        <f t="array" ref="JM70">IF(OR(JN70:JQ70 &lt;&gt; ""), 1, 0)</f>
        <v>0</v>
      </c>
    </row>
    <row r="71" spans="1:278" x14ac:dyDescent="0.35">
      <c r="A71">
        <v>393322</v>
      </c>
      <c r="C71">
        <v>1</v>
      </c>
      <c r="D71" t="s">
        <v>597</v>
      </c>
      <c r="E71" t="str">
        <f>_xlfn.XLOOKUP(I71, [1]SchoolDistrictStudyWODuplicates!$K:$K, [1]SchoolDistrictStudyWODuplicates!$E:$E, "")</f>
        <v>Bowling Green Independent Schools</v>
      </c>
      <c r="G71" t="s">
        <v>598</v>
      </c>
      <c r="H71" s="5" t="e">
        <f>_xlfn.XLOOKUP(A71,#REF!,#REF!, "No")</f>
        <v>#REF!</v>
      </c>
      <c r="I71" s="7">
        <v>2100570</v>
      </c>
      <c r="J71" s="5" t="e">
        <f>_xlfn.XLOOKUP(I71,#REF!,#REF!,"Not Determined")</f>
        <v>#REF!</v>
      </c>
      <c r="K71" s="5" t="s">
        <v>599</v>
      </c>
      <c r="L71" t="s">
        <v>599</v>
      </c>
      <c r="M71" s="13" t="e">
        <f>_xlfn.XLOOKUP(I71,#REF!,#REF!, "No")</f>
        <v>#REF!</v>
      </c>
      <c r="N71" s="5" t="str">
        <f t="shared" si="22"/>
        <v>Yes</v>
      </c>
      <c r="O71" s="5" t="str">
        <f t="shared" si="23"/>
        <v>Yes</v>
      </c>
      <c r="P71" s="5" t="str">
        <f t="shared" si="24"/>
        <v>Yes</v>
      </c>
      <c r="Q71" s="5" t="str">
        <f t="shared" si="25"/>
        <v>Yes</v>
      </c>
      <c r="R71" s="5" t="str">
        <f t="shared" si="26"/>
        <v>Yes</v>
      </c>
      <c r="S71" s="5" t="str">
        <f t="shared" si="27"/>
        <v>Yes</v>
      </c>
      <c r="T71" s="5" t="str">
        <f t="shared" si="28"/>
        <v>Yes</v>
      </c>
      <c r="U71" s="5" t="str">
        <f t="shared" si="29"/>
        <v>Yes</v>
      </c>
      <c r="V71" s="5" t="str" cm="1">
        <f t="array" ref="V71">IF(OR(DB71:DG71 =1), "Yes", "No")</f>
        <v>Yes</v>
      </c>
      <c r="W71" s="5" t="str">
        <f t="shared" si="30"/>
        <v>No</v>
      </c>
      <c r="X71" s="5" t="str">
        <f t="shared" si="31"/>
        <v>Yes</v>
      </c>
      <c r="Y71" s="5" t="str">
        <f t="shared" si="32"/>
        <v>Yes</v>
      </c>
      <c r="Z71">
        <v>4</v>
      </c>
      <c r="AB71">
        <v>1</v>
      </c>
      <c r="AC71">
        <v>0</v>
      </c>
      <c r="AD71">
        <v>1</v>
      </c>
      <c r="AE71">
        <v>1</v>
      </c>
      <c r="AF71">
        <v>0</v>
      </c>
      <c r="AG71">
        <v>0</v>
      </c>
      <c r="AH71">
        <v>0</v>
      </c>
      <c r="AI71">
        <v>1</v>
      </c>
      <c r="AJ71">
        <v>0</v>
      </c>
      <c r="AK71">
        <v>1</v>
      </c>
      <c r="AM71">
        <v>1</v>
      </c>
      <c r="AN71">
        <v>1</v>
      </c>
      <c r="AO71">
        <v>1</v>
      </c>
      <c r="AP71">
        <v>3</v>
      </c>
      <c r="AQ71">
        <v>38</v>
      </c>
      <c r="AR71">
        <v>5</v>
      </c>
      <c r="AS71">
        <v>3</v>
      </c>
      <c r="AT71">
        <v>38</v>
      </c>
      <c r="AU71">
        <v>5</v>
      </c>
      <c r="AV71">
        <v>1</v>
      </c>
      <c r="AW71">
        <v>0</v>
      </c>
      <c r="AX71">
        <v>0</v>
      </c>
      <c r="AY71">
        <v>1</v>
      </c>
      <c r="AZ71">
        <v>1</v>
      </c>
      <c r="BA71">
        <v>0</v>
      </c>
      <c r="BC71">
        <v>4</v>
      </c>
      <c r="BE71">
        <v>1</v>
      </c>
      <c r="BG71">
        <v>1</v>
      </c>
      <c r="BH71">
        <v>1</v>
      </c>
      <c r="BI71">
        <v>2</v>
      </c>
      <c r="BJ71">
        <v>1</v>
      </c>
      <c r="BK71">
        <v>1</v>
      </c>
      <c r="BL71">
        <v>2</v>
      </c>
      <c r="BM71">
        <v>1</v>
      </c>
      <c r="CQ71">
        <v>5</v>
      </c>
      <c r="CR71">
        <v>5</v>
      </c>
      <c r="CS71">
        <v>0</v>
      </c>
      <c r="CT71">
        <v>1</v>
      </c>
      <c r="CU71">
        <v>0</v>
      </c>
      <c r="CV71">
        <v>0</v>
      </c>
      <c r="CW71">
        <v>0</v>
      </c>
      <c r="CX71">
        <v>1</v>
      </c>
      <c r="CY71">
        <v>0</v>
      </c>
      <c r="CZ71">
        <v>0</v>
      </c>
      <c r="DA71">
        <v>0</v>
      </c>
      <c r="DB71">
        <v>0</v>
      </c>
      <c r="DC71">
        <v>0</v>
      </c>
      <c r="DD71">
        <v>1</v>
      </c>
      <c r="DE71">
        <v>0</v>
      </c>
      <c r="DF71">
        <v>0</v>
      </c>
      <c r="DG71">
        <v>0</v>
      </c>
      <c r="DH71">
        <v>0</v>
      </c>
      <c r="DJ71" t="s">
        <v>600</v>
      </c>
      <c r="DK71">
        <v>1</v>
      </c>
      <c r="DL71">
        <v>1</v>
      </c>
      <c r="DN71">
        <v>1</v>
      </c>
      <c r="DP71">
        <v>1</v>
      </c>
      <c r="DR71" t="s">
        <v>601</v>
      </c>
      <c r="DS71">
        <v>1</v>
      </c>
      <c r="DU71">
        <v>11</v>
      </c>
      <c r="DW71" t="s">
        <v>602</v>
      </c>
      <c r="DX71">
        <v>3</v>
      </c>
      <c r="JM71" cm="1">
        <f t="array" ref="JM71">IF(OR(JN71:JQ71 &lt;&gt; ""), 1, 0)</f>
        <v>0</v>
      </c>
    </row>
    <row r="72" spans="1:278" x14ac:dyDescent="0.35">
      <c r="A72">
        <v>397126</v>
      </c>
      <c r="C72">
        <v>1</v>
      </c>
      <c r="D72" t="s">
        <v>578</v>
      </c>
      <c r="E72" t="str">
        <f>_xlfn.XLOOKUP(I72, [1]SchoolDistrictStudyWODuplicates!$K:$K, [1]SchoolDistrictStudyWODuplicates!$E:$E, "")</f>
        <v/>
      </c>
      <c r="G72" t="s">
        <v>579</v>
      </c>
      <c r="H72" s="5" t="e">
        <f>_xlfn.XLOOKUP(A72,#REF!,#REF!, "No")</f>
        <v>#REF!</v>
      </c>
      <c r="I72" s="7">
        <v>2003900</v>
      </c>
      <c r="J72" s="5" t="e">
        <f>_xlfn.XLOOKUP(I72,#REF!,#REF!,"Not Determined")</f>
        <v>#REF!</v>
      </c>
      <c r="K72" s="5" t="s">
        <v>596</v>
      </c>
      <c r="L72" t="s">
        <v>580</v>
      </c>
      <c r="M72" s="13" t="e">
        <f>_xlfn.XLOOKUP(I72,#REF!,#REF!, "No")</f>
        <v>#REF!</v>
      </c>
      <c r="N72" s="5" t="str">
        <f t="shared" si="22"/>
        <v>No</v>
      </c>
      <c r="O72" s="5" t="str">
        <f t="shared" si="23"/>
        <v>Yes</v>
      </c>
      <c r="P72" s="5" t="str">
        <f t="shared" si="24"/>
        <v>Yes</v>
      </c>
      <c r="Q72" s="5" t="str">
        <f t="shared" si="25"/>
        <v>Yes</v>
      </c>
      <c r="R72" s="5" t="str">
        <f t="shared" si="26"/>
        <v>Yes</v>
      </c>
      <c r="S72" s="5" t="str">
        <f t="shared" si="27"/>
        <v>Yes</v>
      </c>
      <c r="T72" s="5" t="str">
        <f t="shared" si="28"/>
        <v>Yes</v>
      </c>
      <c r="U72" s="5" t="str">
        <f t="shared" si="29"/>
        <v>Yes</v>
      </c>
      <c r="V72" s="5" t="str" cm="1">
        <f t="array" ref="V72">IF(OR(DB72:DG72 =1), "Yes", "No")</f>
        <v>No</v>
      </c>
      <c r="W72" s="5" t="str">
        <f t="shared" si="30"/>
        <v>No</v>
      </c>
      <c r="X72" s="5" t="str">
        <f t="shared" si="31"/>
        <v>No</v>
      </c>
      <c r="Y72" s="5" t="str">
        <f t="shared" si="32"/>
        <v>No</v>
      </c>
      <c r="Z72">
        <v>3</v>
      </c>
      <c r="AB72">
        <v>1</v>
      </c>
      <c r="AC72">
        <v>0</v>
      </c>
      <c r="AD72">
        <v>1</v>
      </c>
      <c r="AE72">
        <v>0</v>
      </c>
      <c r="AF72">
        <v>0</v>
      </c>
      <c r="AG72">
        <v>0</v>
      </c>
      <c r="AH72">
        <v>0</v>
      </c>
      <c r="AI72">
        <v>1</v>
      </c>
      <c r="AJ72">
        <v>0</v>
      </c>
      <c r="AK72">
        <v>1</v>
      </c>
      <c r="AM72">
        <v>0</v>
      </c>
      <c r="AN72">
        <v>0</v>
      </c>
      <c r="AO72">
        <v>1</v>
      </c>
      <c r="AR72">
        <v>66</v>
      </c>
      <c r="AU72">
        <v>66</v>
      </c>
      <c r="AV72">
        <v>1</v>
      </c>
      <c r="AW72">
        <v>0</v>
      </c>
      <c r="AX72">
        <v>0</v>
      </c>
      <c r="AY72">
        <v>0</v>
      </c>
      <c r="AZ72">
        <v>0</v>
      </c>
      <c r="BA72">
        <v>0</v>
      </c>
      <c r="BC72">
        <v>1</v>
      </c>
      <c r="BE72">
        <v>1</v>
      </c>
      <c r="BG72">
        <v>1</v>
      </c>
      <c r="BH72">
        <v>1</v>
      </c>
      <c r="BI72">
        <v>4</v>
      </c>
      <c r="BJ72">
        <v>1</v>
      </c>
      <c r="BK72">
        <v>4</v>
      </c>
      <c r="BL72">
        <v>2</v>
      </c>
      <c r="BM72">
        <v>1</v>
      </c>
      <c r="BN72">
        <v>2</v>
      </c>
      <c r="BV72">
        <v>0</v>
      </c>
      <c r="BW72">
        <v>0</v>
      </c>
      <c r="BX72">
        <v>1</v>
      </c>
      <c r="BY72">
        <v>1</v>
      </c>
      <c r="BZ72">
        <v>1</v>
      </c>
      <c r="CA72">
        <v>0</v>
      </c>
      <c r="CB72">
        <v>0</v>
      </c>
      <c r="CC72">
        <v>0</v>
      </c>
      <c r="CD72">
        <v>0</v>
      </c>
      <c r="CE72">
        <v>0</v>
      </c>
      <c r="CF72">
        <v>0</v>
      </c>
      <c r="CG72">
        <v>0</v>
      </c>
      <c r="CH72">
        <v>0</v>
      </c>
      <c r="CI72">
        <v>1</v>
      </c>
      <c r="CJ72">
        <v>0</v>
      </c>
      <c r="CK72">
        <v>1</v>
      </c>
      <c r="CL72">
        <v>0</v>
      </c>
      <c r="CN72">
        <v>16</v>
      </c>
      <c r="CO72">
        <v>4</v>
      </c>
      <c r="CQ72">
        <v>4</v>
      </c>
      <c r="CR72">
        <v>5</v>
      </c>
      <c r="EB72">
        <v>0</v>
      </c>
      <c r="EC72">
        <v>0</v>
      </c>
      <c r="ED72">
        <v>0</v>
      </c>
      <c r="EE72">
        <v>0</v>
      </c>
      <c r="EF72">
        <v>1</v>
      </c>
      <c r="EG72">
        <v>1</v>
      </c>
      <c r="EH72">
        <v>0</v>
      </c>
      <c r="EI72">
        <v>0</v>
      </c>
      <c r="EJ72">
        <v>0</v>
      </c>
      <c r="EK72">
        <v>0</v>
      </c>
      <c r="EM72">
        <v>0</v>
      </c>
      <c r="EN72">
        <v>0</v>
      </c>
      <c r="EO72">
        <v>0</v>
      </c>
      <c r="EP72">
        <v>0</v>
      </c>
      <c r="EQ72">
        <v>0</v>
      </c>
      <c r="ER72">
        <v>0</v>
      </c>
      <c r="ES72">
        <v>0</v>
      </c>
      <c r="ET72">
        <v>0</v>
      </c>
      <c r="EU72">
        <v>0</v>
      </c>
      <c r="EV72">
        <v>0</v>
      </c>
      <c r="EW72">
        <v>1</v>
      </c>
      <c r="EX72">
        <v>0</v>
      </c>
      <c r="EY72">
        <v>0</v>
      </c>
      <c r="IZ72">
        <v>1</v>
      </c>
      <c r="JA72">
        <v>1</v>
      </c>
      <c r="JB72">
        <v>0</v>
      </c>
      <c r="JC72">
        <v>1</v>
      </c>
      <c r="JD72">
        <v>0</v>
      </c>
      <c r="JE72">
        <v>0</v>
      </c>
      <c r="JF72">
        <v>0</v>
      </c>
      <c r="JG72">
        <v>0</v>
      </c>
      <c r="JH72">
        <v>0</v>
      </c>
      <c r="JI72">
        <v>0</v>
      </c>
      <c r="JJ72">
        <v>0</v>
      </c>
      <c r="JL72">
        <v>2</v>
      </c>
      <c r="JM72" cm="1">
        <f t="array" ref="JM72">IF(OR(JN72:JQ72 &lt;&gt; ""), 1, 0)</f>
        <v>0</v>
      </c>
    </row>
    <row r="73" spans="1:278" x14ac:dyDescent="0.35">
      <c r="A73">
        <v>370682</v>
      </c>
      <c r="C73">
        <v>1</v>
      </c>
      <c r="D73" t="s">
        <v>581</v>
      </c>
      <c r="E73" t="str">
        <f>_xlfn.XLOOKUP(I73, [1]SchoolDistrictStudyWODuplicates!$K:$K, [1]SchoolDistrictStudyWODuplicates!$E:$E, "")</f>
        <v/>
      </c>
      <c r="G73" t="s">
        <v>582</v>
      </c>
      <c r="H73" s="7">
        <v>2008970</v>
      </c>
      <c r="I73" s="7">
        <v>2008970</v>
      </c>
      <c r="J73" s="5" t="e">
        <f>_xlfn.XLOOKUP(I73,#REF!,#REF!,"Not Determined")</f>
        <v>#REF!</v>
      </c>
      <c r="K73" s="5" t="s">
        <v>596</v>
      </c>
      <c r="L73" t="s">
        <v>583</v>
      </c>
      <c r="M73" s="13" t="e">
        <f>_xlfn.XLOOKUP(I73,#REF!,#REF!, "No")</f>
        <v>#REF!</v>
      </c>
      <c r="N73" s="5" t="str">
        <f t="shared" si="22"/>
        <v>No</v>
      </c>
      <c r="O73" s="5" t="str">
        <f t="shared" si="23"/>
        <v>Yes</v>
      </c>
      <c r="P73" s="5" t="str">
        <f t="shared" si="24"/>
        <v>Yes</v>
      </c>
      <c r="Q73" s="5" t="str">
        <f t="shared" si="25"/>
        <v>Yes</v>
      </c>
      <c r="R73" s="5" t="str">
        <f t="shared" si="26"/>
        <v>Yes</v>
      </c>
      <c r="S73" s="5" t="str">
        <f t="shared" si="27"/>
        <v>Yes</v>
      </c>
      <c r="T73" s="5" t="str">
        <f t="shared" si="28"/>
        <v>Yes</v>
      </c>
      <c r="U73" s="5" t="str">
        <f t="shared" si="29"/>
        <v>Yes</v>
      </c>
      <c r="V73" s="5" t="str" cm="1">
        <f t="array" ref="V73">IF(OR(DB73:DG73 =1), "Yes", "No")</f>
        <v>No</v>
      </c>
      <c r="W73" s="5" t="str">
        <f t="shared" si="30"/>
        <v>Yes</v>
      </c>
      <c r="X73" s="5" t="str">
        <f t="shared" si="31"/>
        <v>No</v>
      </c>
      <c r="Y73" s="5" t="str">
        <f t="shared" si="32"/>
        <v>No</v>
      </c>
      <c r="Z73">
        <v>3</v>
      </c>
      <c r="AB73">
        <v>0</v>
      </c>
      <c r="AC73">
        <v>0</v>
      </c>
      <c r="AD73">
        <v>0</v>
      </c>
      <c r="AE73">
        <v>0</v>
      </c>
      <c r="AF73">
        <v>0</v>
      </c>
      <c r="AG73">
        <v>0</v>
      </c>
      <c r="AH73">
        <v>0</v>
      </c>
      <c r="AI73">
        <v>1</v>
      </c>
      <c r="AJ73">
        <v>0</v>
      </c>
      <c r="AK73">
        <v>1</v>
      </c>
      <c r="AM73">
        <v>1</v>
      </c>
      <c r="AN73">
        <v>1</v>
      </c>
      <c r="AO73">
        <v>1</v>
      </c>
      <c r="AP73">
        <v>4</v>
      </c>
      <c r="AQ73">
        <v>15</v>
      </c>
      <c r="AR73">
        <v>2</v>
      </c>
      <c r="AS73">
        <v>4</v>
      </c>
      <c r="AT73">
        <v>15</v>
      </c>
      <c r="AU73">
        <v>2</v>
      </c>
      <c r="AV73">
        <v>1</v>
      </c>
      <c r="AW73">
        <v>1</v>
      </c>
      <c r="AX73">
        <v>0</v>
      </c>
      <c r="AY73">
        <v>0</v>
      </c>
      <c r="AZ73">
        <v>0</v>
      </c>
      <c r="BA73">
        <v>0</v>
      </c>
      <c r="BC73">
        <v>1</v>
      </c>
      <c r="BE73">
        <v>1</v>
      </c>
      <c r="BG73">
        <v>1</v>
      </c>
      <c r="BH73">
        <v>1</v>
      </c>
      <c r="BI73">
        <v>4</v>
      </c>
      <c r="BJ73">
        <v>1</v>
      </c>
      <c r="BK73">
        <v>4</v>
      </c>
      <c r="BL73">
        <v>2</v>
      </c>
      <c r="BM73">
        <v>1</v>
      </c>
      <c r="BN73">
        <v>1</v>
      </c>
      <c r="BO73">
        <v>1</v>
      </c>
      <c r="BP73">
        <v>0</v>
      </c>
      <c r="BQ73">
        <v>0</v>
      </c>
      <c r="BR73">
        <v>0</v>
      </c>
      <c r="BS73">
        <v>0</v>
      </c>
      <c r="BT73">
        <v>0</v>
      </c>
      <c r="BV73">
        <v>0</v>
      </c>
      <c r="BW73">
        <v>0</v>
      </c>
      <c r="BX73">
        <v>1</v>
      </c>
      <c r="BY73">
        <v>1</v>
      </c>
      <c r="BZ73">
        <v>1</v>
      </c>
      <c r="CA73">
        <v>0</v>
      </c>
      <c r="CB73">
        <v>0</v>
      </c>
      <c r="CC73">
        <v>1</v>
      </c>
      <c r="CD73">
        <v>0</v>
      </c>
      <c r="CE73">
        <v>0</v>
      </c>
      <c r="CF73">
        <v>0</v>
      </c>
      <c r="CG73">
        <v>0</v>
      </c>
      <c r="CH73">
        <v>0</v>
      </c>
      <c r="CI73">
        <v>0</v>
      </c>
      <c r="CJ73">
        <v>0</v>
      </c>
      <c r="CK73">
        <v>1</v>
      </c>
      <c r="CL73">
        <v>0</v>
      </c>
      <c r="CN73">
        <v>6</v>
      </c>
      <c r="CO73">
        <v>4</v>
      </c>
      <c r="CQ73">
        <v>3</v>
      </c>
      <c r="CR73">
        <v>4</v>
      </c>
      <c r="EB73">
        <v>0</v>
      </c>
      <c r="EC73">
        <v>0</v>
      </c>
      <c r="ED73">
        <v>1</v>
      </c>
      <c r="EE73">
        <v>0</v>
      </c>
      <c r="EF73">
        <v>0</v>
      </c>
      <c r="EG73">
        <v>0</v>
      </c>
      <c r="EH73">
        <v>0</v>
      </c>
      <c r="EI73">
        <v>0</v>
      </c>
      <c r="EJ73">
        <v>1</v>
      </c>
      <c r="EK73">
        <v>0</v>
      </c>
      <c r="EL73" t="s">
        <v>584</v>
      </c>
      <c r="EM73">
        <v>0</v>
      </c>
      <c r="EN73">
        <v>1</v>
      </c>
      <c r="EO73">
        <v>0</v>
      </c>
      <c r="EP73">
        <v>0</v>
      </c>
      <c r="EQ73">
        <v>1</v>
      </c>
      <c r="ER73">
        <v>0</v>
      </c>
      <c r="ES73">
        <v>0</v>
      </c>
      <c r="ET73">
        <v>0</v>
      </c>
      <c r="EU73">
        <v>0</v>
      </c>
      <c r="EV73">
        <v>1</v>
      </c>
      <c r="EW73">
        <v>1</v>
      </c>
      <c r="EX73">
        <v>0</v>
      </c>
      <c r="EY73">
        <v>0</v>
      </c>
      <c r="FB73" t="s">
        <v>585</v>
      </c>
      <c r="FC73">
        <v>1</v>
      </c>
      <c r="FD73">
        <v>1</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HC73" t="s">
        <v>586</v>
      </c>
      <c r="HD73">
        <v>1</v>
      </c>
      <c r="HE73">
        <v>0</v>
      </c>
      <c r="HF73">
        <v>0</v>
      </c>
      <c r="HG73">
        <v>0</v>
      </c>
      <c r="HH73">
        <v>0</v>
      </c>
      <c r="HI73">
        <v>0</v>
      </c>
      <c r="HJ73">
        <v>0</v>
      </c>
      <c r="HK73">
        <v>0</v>
      </c>
      <c r="HL73">
        <v>0</v>
      </c>
      <c r="HM73">
        <v>0</v>
      </c>
      <c r="HN73">
        <v>0</v>
      </c>
      <c r="HO73">
        <v>0</v>
      </c>
      <c r="HP73">
        <v>1</v>
      </c>
      <c r="HQ73">
        <v>0</v>
      </c>
      <c r="HR73">
        <v>0</v>
      </c>
      <c r="HS73">
        <v>0</v>
      </c>
      <c r="HT73">
        <v>0</v>
      </c>
      <c r="HU73">
        <v>0</v>
      </c>
      <c r="HV73">
        <v>1</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Z73">
        <v>1</v>
      </c>
      <c r="JA73">
        <v>0</v>
      </c>
      <c r="JB73">
        <v>1</v>
      </c>
      <c r="JC73">
        <v>0</v>
      </c>
      <c r="JD73">
        <v>0</v>
      </c>
      <c r="JE73">
        <v>0</v>
      </c>
      <c r="JF73">
        <v>0</v>
      </c>
      <c r="JG73">
        <v>0</v>
      </c>
      <c r="JH73">
        <v>0</v>
      </c>
      <c r="JI73">
        <v>0</v>
      </c>
      <c r="JJ73">
        <v>0</v>
      </c>
      <c r="JL73">
        <v>1</v>
      </c>
      <c r="JM73" cm="1">
        <f t="array" ref="JM73">IF(OR(JN73:JQ73 &lt;&gt; ""), 1, 0)</f>
        <v>1</v>
      </c>
      <c r="JN73">
        <v>0</v>
      </c>
      <c r="JO73">
        <v>0</v>
      </c>
      <c r="JP73">
        <v>0</v>
      </c>
      <c r="JQ73">
        <v>1</v>
      </c>
      <c r="JR73" t="s">
        <v>587</v>
      </c>
    </row>
    <row r="74" spans="1:278" x14ac:dyDescent="0.35">
      <c r="A74">
        <v>375561</v>
      </c>
      <c r="C74">
        <v>1</v>
      </c>
      <c r="D74" t="s">
        <v>588</v>
      </c>
      <c r="E74" t="str">
        <f>_xlfn.XLOOKUP(I74, [1]SchoolDistrictStudyWODuplicates!$K:$K, [1]SchoolDistrictStudyWODuplicates!$E:$E, "")</f>
        <v>HENDERSON COUNTY BOARD OF ED.</v>
      </c>
      <c r="G74" t="s">
        <v>589</v>
      </c>
      <c r="H74" s="7">
        <v>2102710</v>
      </c>
      <c r="I74" s="7">
        <v>2102710</v>
      </c>
      <c r="J74" s="5" t="e">
        <f>_xlfn.XLOOKUP(I74,#REF!,#REF!,"Not Determined")</f>
        <v>#REF!</v>
      </c>
      <c r="K74" s="5" t="s">
        <v>599</v>
      </c>
      <c r="L74" t="s">
        <v>590</v>
      </c>
      <c r="M74" s="13" t="e">
        <f>_xlfn.XLOOKUP(I74,#REF!,#REF!, "No")</f>
        <v>#REF!</v>
      </c>
      <c r="N74" s="5" t="str">
        <f t="shared" si="22"/>
        <v>No</v>
      </c>
      <c r="O74" s="5" t="str">
        <f t="shared" si="23"/>
        <v>Yes</v>
      </c>
      <c r="P74" s="5" t="str">
        <f t="shared" si="24"/>
        <v>No</v>
      </c>
      <c r="Q74" s="5" t="str">
        <f t="shared" si="25"/>
        <v>Yes</v>
      </c>
      <c r="R74" s="5" t="str">
        <f t="shared" si="26"/>
        <v>No</v>
      </c>
      <c r="S74" s="5" t="str">
        <f t="shared" si="27"/>
        <v>No</v>
      </c>
      <c r="T74" s="5" t="str">
        <f t="shared" si="28"/>
        <v>No</v>
      </c>
      <c r="U74" s="5" t="str">
        <f t="shared" si="29"/>
        <v>No</v>
      </c>
      <c r="V74" s="5" t="str" cm="1">
        <f t="array" ref="V74">IF(OR(DB74:DG74 =1), "Yes", "No")</f>
        <v>No</v>
      </c>
      <c r="W74" s="5" t="str">
        <f t="shared" si="30"/>
        <v>No</v>
      </c>
      <c r="X74" s="5" t="str">
        <f t="shared" si="31"/>
        <v>No</v>
      </c>
      <c r="Y74" s="5" t="str">
        <f t="shared" si="32"/>
        <v>No</v>
      </c>
      <c r="Z74">
        <v>6</v>
      </c>
      <c r="AB74">
        <v>1</v>
      </c>
      <c r="AC74">
        <v>0</v>
      </c>
      <c r="AD74">
        <v>1</v>
      </c>
      <c r="AE74">
        <v>0</v>
      </c>
      <c r="AF74">
        <v>1</v>
      </c>
      <c r="AG74">
        <v>0</v>
      </c>
      <c r="AH74">
        <v>0</v>
      </c>
      <c r="AI74">
        <v>0</v>
      </c>
      <c r="AJ74">
        <v>0</v>
      </c>
      <c r="AK74">
        <v>1</v>
      </c>
      <c r="AM74">
        <v>0</v>
      </c>
      <c r="AN74">
        <v>1</v>
      </c>
      <c r="AO74">
        <v>0</v>
      </c>
      <c r="AQ74">
        <v>77</v>
      </c>
      <c r="AT74">
        <v>77</v>
      </c>
      <c r="AV74">
        <v>1</v>
      </c>
      <c r="AW74">
        <v>0</v>
      </c>
      <c r="AX74">
        <v>0</v>
      </c>
      <c r="AY74">
        <v>0</v>
      </c>
      <c r="AZ74">
        <v>0</v>
      </c>
      <c r="BA74">
        <v>0</v>
      </c>
      <c r="BC74">
        <v>1</v>
      </c>
      <c r="BE74">
        <v>1</v>
      </c>
      <c r="BG74">
        <v>1</v>
      </c>
      <c r="BH74">
        <v>1</v>
      </c>
      <c r="BI74">
        <v>4</v>
      </c>
      <c r="BJ74">
        <v>1</v>
      </c>
      <c r="BK74">
        <v>6</v>
      </c>
      <c r="BL74">
        <v>2</v>
      </c>
      <c r="BM74">
        <v>3</v>
      </c>
      <c r="BN74">
        <v>1</v>
      </c>
      <c r="BO74">
        <v>1</v>
      </c>
      <c r="BP74">
        <v>0</v>
      </c>
      <c r="BQ74">
        <v>0</v>
      </c>
      <c r="BR74">
        <v>0</v>
      </c>
      <c r="BS74">
        <v>0</v>
      </c>
      <c r="BT74">
        <v>0</v>
      </c>
      <c r="BV74">
        <v>1</v>
      </c>
      <c r="BW74">
        <v>0</v>
      </c>
      <c r="BX74">
        <v>1</v>
      </c>
      <c r="BY74">
        <v>0</v>
      </c>
      <c r="BZ74">
        <v>1</v>
      </c>
      <c r="CA74">
        <v>0</v>
      </c>
      <c r="CB74">
        <v>0</v>
      </c>
      <c r="CC74">
        <v>0</v>
      </c>
      <c r="CD74">
        <v>1</v>
      </c>
      <c r="CE74">
        <v>0</v>
      </c>
      <c r="CF74">
        <v>0</v>
      </c>
      <c r="CG74">
        <v>1</v>
      </c>
      <c r="CH74">
        <v>0</v>
      </c>
      <c r="CI74">
        <v>1</v>
      </c>
      <c r="CJ74">
        <v>0</v>
      </c>
      <c r="CK74">
        <v>0</v>
      </c>
      <c r="CL74">
        <v>0</v>
      </c>
      <c r="CN74">
        <v>1</v>
      </c>
      <c r="CO74">
        <v>4</v>
      </c>
      <c r="JM74" cm="1">
        <f t="array" ref="JM74">IF(OR(JN74:JQ74 &lt;&gt; ""), 1, 0)</f>
        <v>0</v>
      </c>
    </row>
    <row r="75" spans="1:278" x14ac:dyDescent="0.35">
      <c r="A75">
        <v>405476</v>
      </c>
      <c r="C75">
        <v>1</v>
      </c>
      <c r="D75" t="s">
        <v>591</v>
      </c>
      <c r="E75" t="str">
        <f>_xlfn.XLOOKUP(I75, [1]SchoolDistrictStudyWODuplicates!$K:$K, [1]SchoolDistrictStudyWODuplicates!$E:$E, "")</f>
        <v/>
      </c>
      <c r="G75" t="s">
        <v>554</v>
      </c>
      <c r="H75" s="7">
        <v>2105320</v>
      </c>
      <c r="I75" s="7">
        <v>2105320</v>
      </c>
      <c r="J75" s="5" t="e">
        <f>_xlfn.XLOOKUP(I75,#REF!,#REF!,"Not Determined")</f>
        <v>#REF!</v>
      </c>
      <c r="K75" s="5" t="s">
        <v>599</v>
      </c>
      <c r="L75" t="s">
        <v>592</v>
      </c>
      <c r="M75" s="13" t="e">
        <f>_xlfn.XLOOKUP(I75,#REF!,#REF!, "No")</f>
        <v>#REF!</v>
      </c>
      <c r="N75" s="5" t="str">
        <f t="shared" si="22"/>
        <v>No</v>
      </c>
      <c r="O75" s="5" t="str">
        <f t="shared" si="23"/>
        <v>Yes</v>
      </c>
      <c r="P75" s="5" t="str">
        <f t="shared" si="24"/>
        <v>Yes</v>
      </c>
      <c r="Q75" s="5" t="str">
        <f t="shared" si="25"/>
        <v>Yes</v>
      </c>
      <c r="R75" s="5" t="str">
        <f t="shared" si="26"/>
        <v>Yes</v>
      </c>
      <c r="S75" s="5" t="str">
        <f t="shared" si="27"/>
        <v>Yes</v>
      </c>
      <c r="T75" s="5" t="str">
        <f t="shared" si="28"/>
        <v>Yes</v>
      </c>
      <c r="U75" s="5" t="str">
        <f t="shared" si="29"/>
        <v>Yes</v>
      </c>
      <c r="V75" s="5" t="str" cm="1">
        <f t="array" ref="V75">IF(OR(DB75:DG75 =1), "Yes", "No")</f>
        <v>No</v>
      </c>
      <c r="W75" s="5" t="str">
        <f t="shared" si="30"/>
        <v>No</v>
      </c>
      <c r="X75" s="5" t="str">
        <f t="shared" si="31"/>
        <v>No</v>
      </c>
      <c r="Y75" s="5" t="str">
        <f t="shared" si="32"/>
        <v>No</v>
      </c>
      <c r="Z75">
        <v>3</v>
      </c>
      <c r="AB75">
        <v>1</v>
      </c>
      <c r="AC75">
        <v>0</v>
      </c>
      <c r="AD75">
        <v>0</v>
      </c>
      <c r="AE75">
        <v>0</v>
      </c>
      <c r="AF75">
        <v>0</v>
      </c>
      <c r="AG75">
        <v>0</v>
      </c>
      <c r="AH75">
        <v>0</v>
      </c>
      <c r="AI75">
        <v>0</v>
      </c>
      <c r="AJ75">
        <v>0</v>
      </c>
      <c r="AK75">
        <v>1</v>
      </c>
      <c r="AM75">
        <v>0</v>
      </c>
      <c r="AN75">
        <v>1</v>
      </c>
      <c r="AO75">
        <v>0</v>
      </c>
      <c r="AQ75">
        <v>100</v>
      </c>
      <c r="AT75">
        <v>100</v>
      </c>
      <c r="AV75">
        <v>1</v>
      </c>
      <c r="AW75">
        <v>0</v>
      </c>
      <c r="AX75">
        <v>0</v>
      </c>
      <c r="AY75">
        <v>0</v>
      </c>
      <c r="AZ75">
        <v>0</v>
      </c>
      <c r="BA75">
        <v>0</v>
      </c>
      <c r="BC75">
        <v>1</v>
      </c>
      <c r="BE75">
        <v>1</v>
      </c>
      <c r="BG75">
        <v>1</v>
      </c>
      <c r="BH75">
        <v>1</v>
      </c>
      <c r="BI75">
        <v>4</v>
      </c>
      <c r="BJ75">
        <v>2</v>
      </c>
      <c r="BL75">
        <v>2</v>
      </c>
      <c r="BM75">
        <v>1</v>
      </c>
      <c r="BN75">
        <v>2</v>
      </c>
      <c r="BV75">
        <v>1</v>
      </c>
      <c r="BW75">
        <v>0</v>
      </c>
      <c r="BX75">
        <v>0</v>
      </c>
      <c r="BY75">
        <v>0</v>
      </c>
      <c r="BZ75">
        <v>0</v>
      </c>
      <c r="CA75">
        <v>0</v>
      </c>
      <c r="CB75">
        <v>0</v>
      </c>
      <c r="CC75">
        <v>0</v>
      </c>
      <c r="CD75">
        <v>1</v>
      </c>
      <c r="CE75">
        <v>0</v>
      </c>
      <c r="CF75">
        <v>0</v>
      </c>
      <c r="CG75">
        <v>1</v>
      </c>
      <c r="CH75">
        <v>0</v>
      </c>
      <c r="CI75">
        <v>1</v>
      </c>
      <c r="CJ75">
        <v>0</v>
      </c>
      <c r="CK75">
        <v>0</v>
      </c>
      <c r="CL75">
        <v>0</v>
      </c>
      <c r="CN75">
        <v>9</v>
      </c>
      <c r="CO75">
        <v>4</v>
      </c>
      <c r="CQ75">
        <v>5</v>
      </c>
      <c r="CR75">
        <v>5</v>
      </c>
      <c r="EB75">
        <v>1</v>
      </c>
      <c r="EC75">
        <v>1</v>
      </c>
      <c r="ED75">
        <v>1</v>
      </c>
      <c r="EE75">
        <v>1</v>
      </c>
      <c r="EF75">
        <v>1</v>
      </c>
      <c r="EG75">
        <v>1</v>
      </c>
      <c r="EH75">
        <v>0</v>
      </c>
      <c r="EI75">
        <v>0</v>
      </c>
      <c r="EJ75">
        <v>0</v>
      </c>
      <c r="EK75">
        <v>0</v>
      </c>
      <c r="EM75">
        <v>1</v>
      </c>
      <c r="EN75">
        <v>1</v>
      </c>
      <c r="EO75">
        <v>1</v>
      </c>
      <c r="EP75">
        <v>0</v>
      </c>
      <c r="EQ75">
        <v>0</v>
      </c>
      <c r="ER75">
        <v>0</v>
      </c>
      <c r="ES75">
        <v>0</v>
      </c>
      <c r="ET75">
        <v>0</v>
      </c>
      <c r="EU75">
        <v>0</v>
      </c>
      <c r="EV75">
        <v>0</v>
      </c>
      <c r="EW75">
        <v>0</v>
      </c>
      <c r="EX75">
        <v>0</v>
      </c>
      <c r="EY75">
        <v>0</v>
      </c>
      <c r="EZ75" t="s">
        <v>593</v>
      </c>
      <c r="FA75">
        <v>4</v>
      </c>
      <c r="FB75" t="s">
        <v>274</v>
      </c>
      <c r="FC75">
        <v>1</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t="s">
        <v>274</v>
      </c>
      <c r="FZ75">
        <v>0</v>
      </c>
      <c r="GA75">
        <v>0</v>
      </c>
      <c r="GB75">
        <v>0</v>
      </c>
      <c r="GC75">
        <v>0</v>
      </c>
      <c r="GD75">
        <v>0</v>
      </c>
      <c r="GE75">
        <v>0</v>
      </c>
      <c r="GF75">
        <v>0</v>
      </c>
      <c r="GG75">
        <v>0</v>
      </c>
      <c r="GH75">
        <v>0</v>
      </c>
      <c r="GI75">
        <v>1</v>
      </c>
      <c r="GJ75">
        <v>0</v>
      </c>
      <c r="GK75">
        <v>0</v>
      </c>
      <c r="GL75">
        <v>0</v>
      </c>
      <c r="GM75">
        <v>0</v>
      </c>
      <c r="GN75">
        <v>0</v>
      </c>
      <c r="GO75">
        <v>0</v>
      </c>
      <c r="GP75">
        <v>0</v>
      </c>
      <c r="GQ75">
        <v>0</v>
      </c>
      <c r="GR75">
        <v>0</v>
      </c>
      <c r="IZ75">
        <v>1</v>
      </c>
      <c r="JA75">
        <v>0</v>
      </c>
      <c r="JB75">
        <v>0</v>
      </c>
      <c r="JC75">
        <v>1</v>
      </c>
      <c r="JD75">
        <v>0</v>
      </c>
      <c r="JE75">
        <v>0</v>
      </c>
      <c r="JF75">
        <v>0</v>
      </c>
      <c r="JG75">
        <v>0</v>
      </c>
      <c r="JH75">
        <v>0</v>
      </c>
      <c r="JI75">
        <v>0</v>
      </c>
      <c r="JJ75">
        <v>0</v>
      </c>
      <c r="JL75">
        <v>2</v>
      </c>
      <c r="JM75" cm="1">
        <f t="array" ref="JM75">IF(OR(JN75:JQ75 &lt;&gt; ""), 1, 0)</f>
        <v>0</v>
      </c>
    </row>
    <row r="76" spans="1:278" x14ac:dyDescent="0.35">
      <c r="A76">
        <v>405516</v>
      </c>
      <c r="C76">
        <v>1</v>
      </c>
      <c r="D76" t="s">
        <v>594</v>
      </c>
      <c r="E76" t="str">
        <f>_xlfn.XLOOKUP(I76, [1]SchoolDistrictStudyWODuplicates!$K:$K, [1]SchoolDistrictStudyWODuplicates!$E:$E, "")</f>
        <v/>
      </c>
      <c r="G76" t="s">
        <v>595</v>
      </c>
      <c r="H76" s="5" t="e">
        <f>_xlfn.XLOOKUP(A76,#REF!,#REF!, "No")</f>
        <v>#REF!</v>
      </c>
      <c r="I76" s="7">
        <v>2004650</v>
      </c>
      <c r="J76" s="5" t="e">
        <f>_xlfn.XLOOKUP(I76,#REF!,#REF!,"Not Determined")</f>
        <v>#REF!</v>
      </c>
      <c r="K76" s="5" t="s">
        <v>596</v>
      </c>
      <c r="L76" t="s">
        <v>596</v>
      </c>
      <c r="M76" s="13" t="e">
        <f>_xlfn.XLOOKUP(I76,#REF!,#REF!, "No")</f>
        <v>#REF!</v>
      </c>
      <c r="N76" s="5" t="str">
        <f t="shared" si="22"/>
        <v>No</v>
      </c>
      <c r="O76" s="5" t="str">
        <f t="shared" si="23"/>
        <v>Yes</v>
      </c>
      <c r="P76" s="5" t="str">
        <f t="shared" si="24"/>
        <v>Yes</v>
      </c>
      <c r="Q76" s="5" t="str">
        <f t="shared" si="25"/>
        <v>Yes</v>
      </c>
      <c r="R76" s="5" t="str">
        <f t="shared" si="26"/>
        <v>No</v>
      </c>
      <c r="S76" s="5" t="str">
        <f t="shared" si="27"/>
        <v>No</v>
      </c>
      <c r="T76" s="5" t="str">
        <f t="shared" si="28"/>
        <v>No</v>
      </c>
      <c r="U76" s="5" t="str">
        <f t="shared" si="29"/>
        <v>No</v>
      </c>
      <c r="V76" s="5" t="str" cm="1">
        <f t="array" ref="V76">IF(OR(DB76:DG76 =1), "Yes", "No")</f>
        <v>No</v>
      </c>
      <c r="W76" s="5" t="str">
        <f t="shared" si="30"/>
        <v>No</v>
      </c>
      <c r="X76" s="5" t="str">
        <f t="shared" si="31"/>
        <v>No</v>
      </c>
      <c r="Y76" s="5" t="str">
        <f t="shared" si="32"/>
        <v>No</v>
      </c>
      <c r="Z76">
        <v>3</v>
      </c>
      <c r="AB76">
        <v>0</v>
      </c>
      <c r="AC76">
        <v>0</v>
      </c>
      <c r="AD76">
        <v>1</v>
      </c>
      <c r="AE76">
        <v>0</v>
      </c>
      <c r="AF76">
        <v>0</v>
      </c>
      <c r="AG76">
        <v>0</v>
      </c>
      <c r="AH76">
        <v>0</v>
      </c>
      <c r="AI76">
        <v>0</v>
      </c>
      <c r="AJ76">
        <v>0</v>
      </c>
      <c r="AK76">
        <v>1</v>
      </c>
      <c r="AM76">
        <v>0</v>
      </c>
      <c r="AN76">
        <v>1</v>
      </c>
      <c r="AO76">
        <v>0</v>
      </c>
      <c r="AQ76">
        <v>4</v>
      </c>
      <c r="AT76">
        <v>4</v>
      </c>
      <c r="AV76">
        <v>1</v>
      </c>
      <c r="AW76">
        <v>0</v>
      </c>
      <c r="AX76">
        <v>0</v>
      </c>
      <c r="AY76">
        <v>0</v>
      </c>
      <c r="AZ76">
        <v>0</v>
      </c>
      <c r="BA76">
        <v>0</v>
      </c>
      <c r="BC76">
        <v>1</v>
      </c>
      <c r="BE76">
        <v>1</v>
      </c>
      <c r="BG76">
        <v>1</v>
      </c>
      <c r="BH76">
        <v>1</v>
      </c>
      <c r="BI76">
        <v>4</v>
      </c>
      <c r="BJ76">
        <v>2</v>
      </c>
      <c r="BL76">
        <v>2</v>
      </c>
      <c r="BM76">
        <v>1</v>
      </c>
      <c r="BN76">
        <v>2</v>
      </c>
      <c r="BV76">
        <v>0</v>
      </c>
      <c r="BW76">
        <v>0</v>
      </c>
      <c r="BX76">
        <v>0</v>
      </c>
      <c r="BY76">
        <v>0</v>
      </c>
      <c r="BZ76">
        <v>1</v>
      </c>
      <c r="CA76">
        <v>0</v>
      </c>
      <c r="CB76">
        <v>0</v>
      </c>
      <c r="CC76">
        <v>0</v>
      </c>
      <c r="CD76">
        <v>0</v>
      </c>
      <c r="CE76">
        <v>0</v>
      </c>
      <c r="CF76">
        <v>0</v>
      </c>
      <c r="CG76">
        <v>1</v>
      </c>
      <c r="CH76">
        <v>0</v>
      </c>
      <c r="CI76">
        <v>1</v>
      </c>
      <c r="CJ76">
        <v>0</v>
      </c>
      <c r="CK76">
        <v>1</v>
      </c>
      <c r="CL76">
        <v>0</v>
      </c>
      <c r="CN76">
        <v>16</v>
      </c>
      <c r="CO76">
        <v>4</v>
      </c>
      <c r="CQ76">
        <v>6</v>
      </c>
      <c r="CR76">
        <v>6</v>
      </c>
      <c r="EB76">
        <v>1</v>
      </c>
      <c r="EC76">
        <v>1</v>
      </c>
      <c r="ED76">
        <v>0</v>
      </c>
      <c r="EE76">
        <v>0</v>
      </c>
      <c r="EF76">
        <v>1</v>
      </c>
      <c r="EG76">
        <v>0</v>
      </c>
      <c r="EH76">
        <v>0</v>
      </c>
      <c r="EI76">
        <v>0</v>
      </c>
      <c r="EJ76">
        <v>0</v>
      </c>
      <c r="EK76">
        <v>0</v>
      </c>
      <c r="EM76">
        <v>0</v>
      </c>
      <c r="EN76">
        <v>0</v>
      </c>
      <c r="EO76">
        <v>0</v>
      </c>
      <c r="EP76">
        <v>0</v>
      </c>
      <c r="EQ76">
        <v>1</v>
      </c>
      <c r="ER76">
        <v>0</v>
      </c>
      <c r="ES76">
        <v>0</v>
      </c>
      <c r="ET76">
        <v>0</v>
      </c>
      <c r="EU76">
        <v>0</v>
      </c>
      <c r="EV76">
        <v>0</v>
      </c>
      <c r="EW76">
        <v>1</v>
      </c>
      <c r="EX76">
        <v>0</v>
      </c>
      <c r="EY76">
        <v>0</v>
      </c>
      <c r="IZ76">
        <v>1</v>
      </c>
      <c r="JA76">
        <v>0</v>
      </c>
      <c r="JB76">
        <v>1</v>
      </c>
      <c r="JC76">
        <v>0</v>
      </c>
      <c r="JD76">
        <v>0</v>
      </c>
      <c r="JE76">
        <v>0</v>
      </c>
      <c r="JF76">
        <v>0</v>
      </c>
      <c r="JG76">
        <v>0</v>
      </c>
      <c r="JH76">
        <v>0</v>
      </c>
      <c r="JI76">
        <v>0</v>
      </c>
      <c r="JJ76">
        <v>0</v>
      </c>
      <c r="JL76">
        <v>2</v>
      </c>
      <c r="JM76" cm="1">
        <f t="array" ref="JM76">IF(OR(JN76:JQ76 &lt;&gt; ""), 1, 0)</f>
        <v>0</v>
      </c>
    </row>
    <row r="77" spans="1:278" x14ac:dyDescent="0.35">
      <c r="A77">
        <v>405438</v>
      </c>
      <c r="C77">
        <v>1</v>
      </c>
      <c r="D77" t="s">
        <v>663</v>
      </c>
      <c r="E77" t="str">
        <f>_xlfn.XLOOKUP(I77, [1]SchoolDistrictStudyWODuplicates!$K:$K, [1]SchoolDistrictStudyWODuplicates!$E:$E, "")</f>
        <v/>
      </c>
      <c r="G77" t="s">
        <v>664</v>
      </c>
      <c r="H77" s="5" t="e">
        <f>_xlfn.XLOOKUP(A77,#REF!,#REF!, "No")</f>
        <v>#REF!</v>
      </c>
      <c r="I77" s="7">
        <v>2400510</v>
      </c>
      <c r="J77" s="5" t="e">
        <f>_xlfn.XLOOKUP(I77,#REF!,#REF!,"Not Determined")</f>
        <v>#REF!</v>
      </c>
      <c r="K77" s="5" t="s">
        <v>665</v>
      </c>
      <c r="L77" t="s">
        <v>665</v>
      </c>
      <c r="M77" s="13" t="e">
        <f>_xlfn.XLOOKUP(I77,#REF!,#REF!, "No")</f>
        <v>#REF!</v>
      </c>
      <c r="N77" s="5" t="str">
        <f t="shared" si="22"/>
        <v>Yes</v>
      </c>
      <c r="O77" s="5" t="str">
        <f t="shared" si="23"/>
        <v>Yes</v>
      </c>
      <c r="P77" s="5" t="str">
        <f t="shared" si="24"/>
        <v>No</v>
      </c>
      <c r="Q77" s="5" t="str">
        <f t="shared" si="25"/>
        <v>Yes</v>
      </c>
      <c r="R77" s="5" t="str">
        <f t="shared" si="26"/>
        <v>No</v>
      </c>
      <c r="S77" s="5" t="str">
        <f t="shared" si="27"/>
        <v>No</v>
      </c>
      <c r="T77" s="5" t="str">
        <f t="shared" si="28"/>
        <v>No</v>
      </c>
      <c r="U77" s="5" t="str">
        <f t="shared" si="29"/>
        <v>No</v>
      </c>
      <c r="V77" s="5" t="str" cm="1">
        <f t="array" ref="V77">IF(OR(DB77:DG77 =1), "Yes", "No")</f>
        <v>No</v>
      </c>
      <c r="W77" s="5" t="str">
        <f t="shared" si="30"/>
        <v>No</v>
      </c>
      <c r="X77" s="5" t="str">
        <f t="shared" si="31"/>
        <v>No</v>
      </c>
      <c r="Y77" s="5" t="str">
        <f t="shared" si="32"/>
        <v>No</v>
      </c>
      <c r="Z77">
        <v>10</v>
      </c>
      <c r="AB77">
        <v>0</v>
      </c>
      <c r="AC77">
        <v>0</v>
      </c>
      <c r="AD77">
        <v>1</v>
      </c>
      <c r="AE77">
        <v>0</v>
      </c>
      <c r="AF77">
        <v>0</v>
      </c>
      <c r="AG77">
        <v>0</v>
      </c>
      <c r="AH77">
        <v>0</v>
      </c>
      <c r="AI77">
        <v>0</v>
      </c>
      <c r="AJ77">
        <v>0</v>
      </c>
      <c r="AK77">
        <v>1</v>
      </c>
      <c r="AM77">
        <v>0</v>
      </c>
      <c r="AN77">
        <v>1</v>
      </c>
      <c r="AO77">
        <v>0</v>
      </c>
      <c r="AQ77">
        <v>1200</v>
      </c>
      <c r="AT77">
        <v>1200</v>
      </c>
      <c r="AV77">
        <v>1</v>
      </c>
      <c r="AW77">
        <v>0</v>
      </c>
      <c r="AX77">
        <v>0</v>
      </c>
      <c r="AY77">
        <v>0</v>
      </c>
      <c r="AZ77">
        <v>1</v>
      </c>
      <c r="BA77">
        <v>0</v>
      </c>
      <c r="BC77">
        <v>1</v>
      </c>
      <c r="BE77">
        <v>1</v>
      </c>
      <c r="BG77">
        <v>1</v>
      </c>
      <c r="BH77">
        <v>1</v>
      </c>
      <c r="BI77">
        <v>5</v>
      </c>
      <c r="BJ77">
        <v>2</v>
      </c>
      <c r="BL77">
        <v>1</v>
      </c>
      <c r="BM77">
        <v>2</v>
      </c>
      <c r="CQ77">
        <v>6</v>
      </c>
      <c r="CR77">
        <v>6</v>
      </c>
      <c r="JM77" cm="1">
        <f t="array" ref="JM77">IF(OR(JN77:JQ77 &lt;&gt; ""), 1, 0)</f>
        <v>0</v>
      </c>
    </row>
    <row r="78" spans="1:278" x14ac:dyDescent="0.35">
      <c r="A78">
        <v>396956</v>
      </c>
      <c r="C78">
        <v>1</v>
      </c>
      <c r="D78" t="s">
        <v>603</v>
      </c>
      <c r="E78" t="str">
        <f>_xlfn.XLOOKUP(I78, [1]SchoolDistrictStudyWODuplicates!$K:$K, [1]SchoolDistrictStudyWODuplicates!$E:$E, "")</f>
        <v/>
      </c>
      <c r="G78" t="s">
        <v>604</v>
      </c>
      <c r="H78" s="5" t="e">
        <f>_xlfn.XLOOKUP(A78,#REF!,#REF!, "No")</f>
        <v>#REF!</v>
      </c>
      <c r="I78" s="7">
        <v>2100750</v>
      </c>
      <c r="J78" s="5" t="e">
        <f>_xlfn.XLOOKUP(I78,#REF!,#REF!,"Not Determined")</f>
        <v>#REF!</v>
      </c>
      <c r="K78" s="5" t="s">
        <v>599</v>
      </c>
      <c r="L78" t="s">
        <v>599</v>
      </c>
      <c r="M78" s="13" t="e">
        <f>_xlfn.XLOOKUP(I78,#REF!,#REF!, "No")</f>
        <v>#REF!</v>
      </c>
      <c r="N78" s="5" t="str">
        <f t="shared" si="22"/>
        <v>No</v>
      </c>
      <c r="O78" s="5" t="str">
        <f t="shared" si="23"/>
        <v>Yes</v>
      </c>
      <c r="P78" s="5" t="str">
        <f t="shared" si="24"/>
        <v>Yes</v>
      </c>
      <c r="Q78" s="5" t="str">
        <f t="shared" si="25"/>
        <v>Yes</v>
      </c>
      <c r="R78" s="5" t="str">
        <f t="shared" si="26"/>
        <v>Yes</v>
      </c>
      <c r="S78" s="5" t="str">
        <f t="shared" si="27"/>
        <v>Yes</v>
      </c>
      <c r="T78" s="5" t="str">
        <f t="shared" si="28"/>
        <v>Yes</v>
      </c>
      <c r="U78" s="5" t="str">
        <f t="shared" si="29"/>
        <v>Yes</v>
      </c>
      <c r="V78" s="5" t="str" cm="1">
        <f t="array" ref="V78">IF(OR(DB78:DG78 =1), "Yes", "No")</f>
        <v>No</v>
      </c>
      <c r="W78" s="5" t="str">
        <f t="shared" si="30"/>
        <v>No</v>
      </c>
      <c r="X78" s="5" t="str">
        <f t="shared" si="31"/>
        <v>No</v>
      </c>
      <c r="Y78" s="5" t="str">
        <f t="shared" si="32"/>
        <v>No</v>
      </c>
      <c r="Z78">
        <v>3</v>
      </c>
      <c r="AB78">
        <v>0</v>
      </c>
      <c r="AC78">
        <v>0</v>
      </c>
      <c r="AD78">
        <v>1</v>
      </c>
      <c r="AE78">
        <v>0</v>
      </c>
      <c r="AF78">
        <v>0</v>
      </c>
      <c r="AG78">
        <v>0</v>
      </c>
      <c r="AH78">
        <v>0</v>
      </c>
      <c r="AI78">
        <v>0</v>
      </c>
      <c r="AJ78">
        <v>0</v>
      </c>
      <c r="AK78">
        <v>1</v>
      </c>
      <c r="AM78">
        <v>0</v>
      </c>
      <c r="AN78">
        <v>1</v>
      </c>
      <c r="AO78">
        <v>0</v>
      </c>
      <c r="AQ78">
        <v>101</v>
      </c>
      <c r="AT78">
        <v>101</v>
      </c>
      <c r="AV78">
        <v>1</v>
      </c>
      <c r="AW78">
        <v>0</v>
      </c>
      <c r="AX78">
        <v>0</v>
      </c>
      <c r="AY78">
        <v>1</v>
      </c>
      <c r="AZ78">
        <v>0</v>
      </c>
      <c r="BA78">
        <v>0</v>
      </c>
      <c r="BC78">
        <v>1</v>
      </c>
      <c r="BE78">
        <v>1</v>
      </c>
      <c r="BG78">
        <v>1</v>
      </c>
      <c r="BH78">
        <v>1</v>
      </c>
      <c r="BI78">
        <v>2</v>
      </c>
      <c r="BJ78">
        <v>1</v>
      </c>
      <c r="BK78">
        <v>6</v>
      </c>
      <c r="BL78">
        <v>1</v>
      </c>
      <c r="BM78">
        <v>1</v>
      </c>
      <c r="BN78">
        <v>1</v>
      </c>
      <c r="BO78">
        <v>1</v>
      </c>
      <c r="BP78">
        <v>1</v>
      </c>
      <c r="BQ78">
        <v>1</v>
      </c>
      <c r="BR78">
        <v>0</v>
      </c>
      <c r="BS78">
        <v>0</v>
      </c>
      <c r="BT78">
        <v>0</v>
      </c>
      <c r="BV78">
        <v>0</v>
      </c>
      <c r="BW78">
        <v>0</v>
      </c>
      <c r="BX78">
        <v>1</v>
      </c>
      <c r="BY78">
        <v>0</v>
      </c>
      <c r="BZ78">
        <v>1</v>
      </c>
      <c r="CA78">
        <v>0</v>
      </c>
      <c r="CB78">
        <v>0</v>
      </c>
      <c r="CC78">
        <v>0</v>
      </c>
      <c r="CD78">
        <v>1</v>
      </c>
      <c r="CE78">
        <v>0</v>
      </c>
      <c r="CF78">
        <v>0</v>
      </c>
      <c r="CG78">
        <v>1</v>
      </c>
      <c r="CH78">
        <v>0</v>
      </c>
      <c r="CI78">
        <v>1</v>
      </c>
      <c r="CJ78">
        <v>0</v>
      </c>
      <c r="CK78">
        <v>0</v>
      </c>
      <c r="CL78">
        <v>0</v>
      </c>
      <c r="CN78">
        <v>14</v>
      </c>
      <c r="CO78">
        <v>4</v>
      </c>
      <c r="CQ78">
        <v>3</v>
      </c>
      <c r="CR78">
        <v>3</v>
      </c>
      <c r="EB78">
        <v>1</v>
      </c>
      <c r="EC78">
        <v>0</v>
      </c>
      <c r="ED78">
        <v>1</v>
      </c>
      <c r="EE78">
        <v>0</v>
      </c>
      <c r="EF78">
        <v>1</v>
      </c>
      <c r="EG78">
        <v>0</v>
      </c>
      <c r="EH78">
        <v>0</v>
      </c>
      <c r="EI78">
        <v>0</v>
      </c>
      <c r="EJ78">
        <v>1</v>
      </c>
      <c r="EK78">
        <v>0</v>
      </c>
      <c r="EL78" t="s">
        <v>605</v>
      </c>
      <c r="EM78">
        <v>0</v>
      </c>
      <c r="EN78">
        <v>1</v>
      </c>
      <c r="EO78">
        <v>0</v>
      </c>
      <c r="EP78">
        <v>0</v>
      </c>
      <c r="EQ78">
        <v>1</v>
      </c>
      <c r="ER78">
        <v>0</v>
      </c>
      <c r="ES78">
        <v>0</v>
      </c>
      <c r="ET78">
        <v>0</v>
      </c>
      <c r="EU78">
        <v>0</v>
      </c>
      <c r="EV78">
        <v>1</v>
      </c>
      <c r="EW78">
        <v>1</v>
      </c>
      <c r="EX78">
        <v>0</v>
      </c>
      <c r="EY78">
        <v>0</v>
      </c>
      <c r="FB78" t="s">
        <v>430</v>
      </c>
      <c r="FC78">
        <v>1</v>
      </c>
      <c r="FD78">
        <v>1</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HC78" t="s">
        <v>606</v>
      </c>
      <c r="HD78">
        <v>0</v>
      </c>
      <c r="HE78">
        <v>0</v>
      </c>
      <c r="HF78">
        <v>0</v>
      </c>
      <c r="HG78">
        <v>0</v>
      </c>
      <c r="HH78">
        <v>0</v>
      </c>
      <c r="HI78">
        <v>0</v>
      </c>
      <c r="HJ78">
        <v>0</v>
      </c>
      <c r="HK78">
        <v>0</v>
      </c>
      <c r="HL78">
        <v>0</v>
      </c>
      <c r="HM78">
        <v>0</v>
      </c>
      <c r="HN78">
        <v>0</v>
      </c>
      <c r="HO78">
        <v>0</v>
      </c>
      <c r="HP78">
        <v>0</v>
      </c>
      <c r="HQ78">
        <v>1</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1</v>
      </c>
      <c r="IM78">
        <v>0</v>
      </c>
      <c r="IN78">
        <v>0</v>
      </c>
      <c r="IO78">
        <v>0</v>
      </c>
      <c r="IP78">
        <v>0</v>
      </c>
      <c r="IQ78">
        <v>1</v>
      </c>
      <c r="IR78">
        <v>0</v>
      </c>
      <c r="IS78">
        <v>0</v>
      </c>
      <c r="IT78">
        <v>0</v>
      </c>
      <c r="IU78">
        <v>0</v>
      </c>
      <c r="IV78">
        <v>0</v>
      </c>
      <c r="IW78">
        <v>0</v>
      </c>
      <c r="IZ78">
        <v>1</v>
      </c>
      <c r="JA78">
        <v>1</v>
      </c>
      <c r="JB78">
        <v>0</v>
      </c>
      <c r="JC78">
        <v>0</v>
      </c>
      <c r="JD78">
        <v>0</v>
      </c>
      <c r="JE78">
        <v>0</v>
      </c>
      <c r="JF78">
        <v>0</v>
      </c>
      <c r="JG78">
        <v>0</v>
      </c>
      <c r="JH78">
        <v>1</v>
      </c>
      <c r="JI78">
        <v>0</v>
      </c>
      <c r="JJ78">
        <v>0</v>
      </c>
      <c r="JL78">
        <v>2</v>
      </c>
      <c r="JM78" cm="1">
        <f t="array" ref="JM78">IF(OR(JN78:JQ78 &lt;&gt; ""), 1, 0)</f>
        <v>0</v>
      </c>
    </row>
    <row r="79" spans="1:278" x14ac:dyDescent="0.35">
      <c r="A79">
        <v>405447</v>
      </c>
      <c r="C79">
        <v>1</v>
      </c>
      <c r="D79" t="s">
        <v>1021</v>
      </c>
      <c r="E79" t="str">
        <f>_xlfn.XLOOKUP(I79, [1]SchoolDistrictStudyWODuplicates!$K:$K, [1]SchoolDistrictStudyWODuplicates!$E:$E, "")</f>
        <v/>
      </c>
      <c r="G79" t="s">
        <v>1022</v>
      </c>
      <c r="H79" s="5" t="e">
        <f>_xlfn.XLOOKUP(A79,#REF!,#REF!, "No")</f>
        <v>#REF!</v>
      </c>
      <c r="I79" s="7">
        <v>4203570</v>
      </c>
      <c r="J79" s="5" t="e">
        <f>_xlfn.XLOOKUP(I79,#REF!,#REF!,"Not Determined")</f>
        <v>#REF!</v>
      </c>
      <c r="K79" s="5" t="s">
        <v>1023</v>
      </c>
      <c r="L79" t="s">
        <v>1023</v>
      </c>
      <c r="M79" s="13" t="e">
        <f>_xlfn.XLOOKUP(I79,#REF!,#REF!, "No")</f>
        <v>#REF!</v>
      </c>
      <c r="N79" s="5" t="str">
        <f t="shared" si="22"/>
        <v>Yes</v>
      </c>
      <c r="O79" s="5" t="str">
        <f t="shared" si="23"/>
        <v>Yes</v>
      </c>
      <c r="P79" s="5" t="str">
        <f t="shared" si="24"/>
        <v>Yes</v>
      </c>
      <c r="Q79" s="5" t="str">
        <f t="shared" si="25"/>
        <v>Yes</v>
      </c>
      <c r="R79" s="5" t="str">
        <f t="shared" si="26"/>
        <v>Yes</v>
      </c>
      <c r="S79" s="5" t="str">
        <f t="shared" si="27"/>
        <v>Yes</v>
      </c>
      <c r="T79" s="5" t="str">
        <f t="shared" si="28"/>
        <v>Yes</v>
      </c>
      <c r="U79" s="5" t="str">
        <f t="shared" si="29"/>
        <v>Yes</v>
      </c>
      <c r="V79" s="5" t="str" cm="1">
        <f t="array" ref="V79">IF(OR(DB79:DG79 =1), "Yes", "No")</f>
        <v>Yes</v>
      </c>
      <c r="W79" s="5" t="str">
        <f t="shared" si="30"/>
        <v>No</v>
      </c>
      <c r="X79" s="5" t="str">
        <f t="shared" si="31"/>
        <v>Yes</v>
      </c>
      <c r="Y79" s="5" t="str">
        <f t="shared" si="32"/>
        <v>Yes</v>
      </c>
      <c r="Z79">
        <v>8</v>
      </c>
      <c r="AB79">
        <v>1</v>
      </c>
      <c r="AC79">
        <v>1</v>
      </c>
      <c r="AD79">
        <v>1</v>
      </c>
      <c r="AE79">
        <v>1</v>
      </c>
      <c r="AF79">
        <v>1</v>
      </c>
      <c r="AG79">
        <v>1</v>
      </c>
      <c r="AH79">
        <v>1</v>
      </c>
      <c r="AI79">
        <v>1</v>
      </c>
      <c r="AJ79">
        <v>0</v>
      </c>
      <c r="AK79">
        <v>1</v>
      </c>
      <c r="AM79">
        <v>1</v>
      </c>
      <c r="AN79">
        <v>1</v>
      </c>
      <c r="AO79">
        <v>0</v>
      </c>
      <c r="AP79">
        <v>24</v>
      </c>
      <c r="AQ79">
        <v>100</v>
      </c>
      <c r="AS79">
        <v>24</v>
      </c>
      <c r="AT79">
        <v>100</v>
      </c>
      <c r="AV79">
        <v>1</v>
      </c>
      <c r="AW79">
        <v>1</v>
      </c>
      <c r="AX79">
        <v>0</v>
      </c>
      <c r="AY79">
        <v>0</v>
      </c>
      <c r="AZ79">
        <v>1</v>
      </c>
      <c r="BA79">
        <v>0</v>
      </c>
      <c r="BC79">
        <v>1</v>
      </c>
      <c r="BE79">
        <v>1</v>
      </c>
      <c r="BG79">
        <v>1</v>
      </c>
      <c r="BH79">
        <v>1</v>
      </c>
      <c r="BI79">
        <v>2</v>
      </c>
      <c r="BJ79">
        <v>1</v>
      </c>
      <c r="BK79">
        <v>6</v>
      </c>
      <c r="BL79">
        <v>1</v>
      </c>
      <c r="BM79">
        <v>1</v>
      </c>
      <c r="CQ79">
        <v>4</v>
      </c>
      <c r="CR79">
        <v>4</v>
      </c>
      <c r="CS79">
        <v>0</v>
      </c>
      <c r="CT79">
        <v>1</v>
      </c>
      <c r="CU79">
        <v>1</v>
      </c>
      <c r="CV79">
        <v>0</v>
      </c>
      <c r="CW79">
        <v>0</v>
      </c>
      <c r="CX79">
        <v>1</v>
      </c>
      <c r="CY79">
        <v>1</v>
      </c>
      <c r="CZ79">
        <v>0</v>
      </c>
      <c r="DA79">
        <v>0</v>
      </c>
      <c r="DB79">
        <v>1</v>
      </c>
      <c r="DC79">
        <v>0</v>
      </c>
      <c r="DD79">
        <v>1</v>
      </c>
      <c r="DE79">
        <v>1</v>
      </c>
      <c r="DF79">
        <v>0</v>
      </c>
      <c r="DG79">
        <v>0</v>
      </c>
      <c r="DH79">
        <v>0</v>
      </c>
      <c r="DJ79" t="s">
        <v>1024</v>
      </c>
      <c r="DK79">
        <v>2</v>
      </c>
      <c r="DL79">
        <v>1</v>
      </c>
      <c r="DN79">
        <v>1</v>
      </c>
      <c r="DP79">
        <v>1</v>
      </c>
      <c r="DR79" t="s">
        <v>1025</v>
      </c>
      <c r="DS79">
        <v>1</v>
      </c>
      <c r="DU79">
        <v>3</v>
      </c>
      <c r="DW79" t="s">
        <v>1026</v>
      </c>
      <c r="DX79">
        <v>2</v>
      </c>
      <c r="DZ79">
        <v>4</v>
      </c>
      <c r="EB79">
        <v>1</v>
      </c>
      <c r="EC79">
        <v>0</v>
      </c>
      <c r="ED79">
        <v>0</v>
      </c>
      <c r="EE79">
        <v>0</v>
      </c>
      <c r="EF79">
        <v>1</v>
      </c>
      <c r="EG79">
        <v>1</v>
      </c>
      <c r="EH79">
        <v>1</v>
      </c>
      <c r="EI79">
        <v>1</v>
      </c>
      <c r="EJ79">
        <v>0</v>
      </c>
      <c r="EK79">
        <v>0</v>
      </c>
      <c r="EM79">
        <v>0</v>
      </c>
      <c r="EN79">
        <v>1</v>
      </c>
      <c r="EO79">
        <v>0</v>
      </c>
      <c r="EP79">
        <v>0</v>
      </c>
      <c r="EQ79">
        <v>0</v>
      </c>
      <c r="ER79">
        <v>0</v>
      </c>
      <c r="ES79">
        <v>1</v>
      </c>
      <c r="ET79">
        <v>0</v>
      </c>
      <c r="EU79">
        <v>0</v>
      </c>
      <c r="EV79">
        <v>1</v>
      </c>
      <c r="EW79">
        <v>0</v>
      </c>
      <c r="EX79">
        <v>0</v>
      </c>
      <c r="EY79">
        <v>0</v>
      </c>
      <c r="FB79" t="s">
        <v>285</v>
      </c>
      <c r="FC79">
        <v>0</v>
      </c>
      <c r="FD79">
        <v>1</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GS79" t="s">
        <v>285</v>
      </c>
      <c r="GT79">
        <v>0</v>
      </c>
      <c r="GU79">
        <v>1</v>
      </c>
      <c r="GV79">
        <v>0</v>
      </c>
      <c r="GW79">
        <v>0</v>
      </c>
      <c r="GX79">
        <v>0</v>
      </c>
      <c r="GY79">
        <v>0</v>
      </c>
      <c r="GZ79">
        <v>0</v>
      </c>
      <c r="HA79">
        <v>0</v>
      </c>
      <c r="HB79">
        <v>0</v>
      </c>
      <c r="HC79" t="s">
        <v>285</v>
      </c>
      <c r="HD79">
        <v>1</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Z79">
        <v>0</v>
      </c>
      <c r="JA79">
        <v>0</v>
      </c>
      <c r="JB79">
        <v>1</v>
      </c>
      <c r="JC79">
        <v>0</v>
      </c>
      <c r="JD79">
        <v>0</v>
      </c>
      <c r="JE79">
        <v>0</v>
      </c>
      <c r="JF79">
        <v>0</v>
      </c>
      <c r="JG79">
        <v>0</v>
      </c>
      <c r="JH79">
        <v>0</v>
      </c>
      <c r="JI79">
        <v>0</v>
      </c>
      <c r="JJ79">
        <v>0</v>
      </c>
      <c r="JL79">
        <v>2</v>
      </c>
      <c r="JM79" cm="1">
        <f t="array" ref="JM79">IF(OR(JN79:JQ79 &lt;&gt; ""), 1, 0)</f>
        <v>0</v>
      </c>
    </row>
    <row r="80" spans="1:278" x14ac:dyDescent="0.35">
      <c r="A80">
        <v>393362</v>
      </c>
      <c r="C80">
        <v>1</v>
      </c>
      <c r="D80" t="s">
        <v>616</v>
      </c>
      <c r="E80" t="str">
        <f>_xlfn.XLOOKUP(I80, [1]SchoolDistrictStudyWODuplicates!$K:$K, [1]SchoolDistrictStudyWODuplicates!$E:$E, "")</f>
        <v/>
      </c>
      <c r="G80" t="s">
        <v>617</v>
      </c>
      <c r="H80" s="7">
        <v>2102010</v>
      </c>
      <c r="I80" s="7">
        <v>2102010</v>
      </c>
      <c r="J80" s="5" t="e">
        <f>_xlfn.XLOOKUP(I80,#REF!,#REF!,"Not Determined")</f>
        <v>#REF!</v>
      </c>
      <c r="K80" s="5" t="s">
        <v>599</v>
      </c>
      <c r="L80" t="s">
        <v>599</v>
      </c>
      <c r="M80" s="13" t="e">
        <f>_xlfn.XLOOKUP(I80,#REF!,#REF!, "No")</f>
        <v>#REF!</v>
      </c>
      <c r="N80" s="5" t="str">
        <f t="shared" si="22"/>
        <v>No</v>
      </c>
      <c r="O80" s="5" t="str">
        <f t="shared" si="23"/>
        <v>Yes</v>
      </c>
      <c r="P80" s="5" t="str">
        <f t="shared" si="24"/>
        <v>Yes</v>
      </c>
      <c r="Q80" s="5" t="str">
        <f t="shared" si="25"/>
        <v>Yes</v>
      </c>
      <c r="R80" s="5" t="str">
        <f t="shared" si="26"/>
        <v>No</v>
      </c>
      <c r="S80" s="5" t="str">
        <f t="shared" si="27"/>
        <v>No</v>
      </c>
      <c r="T80" s="5" t="str">
        <f t="shared" si="28"/>
        <v>No</v>
      </c>
      <c r="U80" s="5" t="str">
        <f t="shared" si="29"/>
        <v>No</v>
      </c>
      <c r="V80" s="5" t="str" cm="1">
        <f t="array" ref="V80">IF(OR(DB80:DG80 =1), "Yes", "No")</f>
        <v>No</v>
      </c>
      <c r="W80" s="5" t="str">
        <f t="shared" si="30"/>
        <v>No</v>
      </c>
      <c r="X80" s="5" t="str">
        <f t="shared" si="31"/>
        <v>No</v>
      </c>
      <c r="Y80" s="5" t="str">
        <f t="shared" si="32"/>
        <v>No</v>
      </c>
      <c r="Z80">
        <v>3</v>
      </c>
      <c r="AB80">
        <v>1</v>
      </c>
      <c r="AC80">
        <v>0</v>
      </c>
      <c r="AD80">
        <v>1</v>
      </c>
      <c r="AE80">
        <v>0</v>
      </c>
      <c r="AF80">
        <v>1</v>
      </c>
      <c r="AG80">
        <v>0</v>
      </c>
      <c r="AH80">
        <v>0</v>
      </c>
      <c r="AI80">
        <v>1</v>
      </c>
      <c r="AJ80">
        <v>0</v>
      </c>
      <c r="AK80">
        <v>1</v>
      </c>
      <c r="AM80">
        <v>0</v>
      </c>
      <c r="AN80">
        <v>1</v>
      </c>
      <c r="AO80">
        <v>1</v>
      </c>
      <c r="AQ80">
        <v>55</v>
      </c>
      <c r="AR80">
        <v>20</v>
      </c>
      <c r="AT80">
        <v>55</v>
      </c>
      <c r="AU80">
        <v>20</v>
      </c>
      <c r="AV80">
        <v>1</v>
      </c>
      <c r="AW80">
        <v>0</v>
      </c>
      <c r="AX80">
        <v>0</v>
      </c>
      <c r="AY80">
        <v>1</v>
      </c>
      <c r="AZ80">
        <v>0</v>
      </c>
      <c r="BA80">
        <v>0</v>
      </c>
      <c r="BC80">
        <v>4</v>
      </c>
      <c r="BE80">
        <v>1</v>
      </c>
      <c r="BG80">
        <v>1</v>
      </c>
      <c r="BH80">
        <v>1</v>
      </c>
      <c r="BI80">
        <v>2</v>
      </c>
      <c r="BJ80">
        <v>1</v>
      </c>
      <c r="BK80">
        <v>6</v>
      </c>
      <c r="BL80">
        <v>1</v>
      </c>
      <c r="BM80">
        <v>1</v>
      </c>
      <c r="BN80">
        <v>1</v>
      </c>
      <c r="BO80">
        <v>1</v>
      </c>
      <c r="BP80">
        <v>0</v>
      </c>
      <c r="BQ80">
        <v>0</v>
      </c>
      <c r="BR80">
        <v>1</v>
      </c>
      <c r="BS80">
        <v>0</v>
      </c>
      <c r="BT80">
        <v>0</v>
      </c>
      <c r="JM80" cm="1">
        <f t="array" ref="JM80">IF(OR(JN80:JQ80 &lt;&gt; ""), 1, 0)</f>
        <v>0</v>
      </c>
    </row>
    <row r="81" spans="1:278" x14ac:dyDescent="0.35">
      <c r="A81">
        <v>405253</v>
      </c>
      <c r="C81">
        <v>1</v>
      </c>
      <c r="D81" t="s">
        <v>618</v>
      </c>
      <c r="E81" t="str">
        <f>_xlfn.XLOOKUP(I81, [1]SchoolDistrictStudyWODuplicates!$K:$K, [1]SchoolDistrictStudyWODuplicates!$E:$E, "")</f>
        <v/>
      </c>
      <c r="G81" t="s">
        <v>619</v>
      </c>
      <c r="H81" s="7">
        <v>2102990</v>
      </c>
      <c r="I81" s="7">
        <v>2102990</v>
      </c>
      <c r="J81" s="5" t="e">
        <f>_xlfn.XLOOKUP(I81,#REF!,#REF!,"Not Determined")</f>
        <v>#REF!</v>
      </c>
      <c r="K81" s="5" t="s">
        <v>599</v>
      </c>
      <c r="L81" t="s">
        <v>599</v>
      </c>
      <c r="M81" s="13" t="e">
        <f>_xlfn.XLOOKUP(I81,#REF!,#REF!, "No")</f>
        <v>#REF!</v>
      </c>
      <c r="N81" s="5" t="str">
        <f t="shared" si="22"/>
        <v>No</v>
      </c>
      <c r="O81" s="5" t="str">
        <f t="shared" si="23"/>
        <v>Yes</v>
      </c>
      <c r="P81" s="5" t="str">
        <f t="shared" si="24"/>
        <v>Yes</v>
      </c>
      <c r="Q81" s="5" t="str">
        <f t="shared" si="25"/>
        <v>Yes</v>
      </c>
      <c r="R81" s="5" t="str">
        <f t="shared" si="26"/>
        <v>Yes</v>
      </c>
      <c r="S81" s="5" t="str">
        <f t="shared" si="27"/>
        <v>Yes</v>
      </c>
      <c r="T81" s="5" t="str">
        <f t="shared" si="28"/>
        <v>Yes</v>
      </c>
      <c r="U81" s="5" t="str">
        <f t="shared" si="29"/>
        <v>Yes</v>
      </c>
      <c r="V81" s="5" t="str" cm="1">
        <f t="array" ref="V81">IF(OR(DB81:DG81 =1), "Yes", "No")</f>
        <v>No</v>
      </c>
      <c r="W81" s="5" t="str">
        <f t="shared" si="30"/>
        <v>No</v>
      </c>
      <c r="X81" s="5" t="str">
        <f t="shared" si="31"/>
        <v>No</v>
      </c>
      <c r="Y81" s="5" t="str">
        <f t="shared" si="32"/>
        <v>No</v>
      </c>
      <c r="Z81">
        <v>3</v>
      </c>
      <c r="AB81">
        <v>1</v>
      </c>
      <c r="AC81">
        <v>1</v>
      </c>
      <c r="AD81">
        <v>1</v>
      </c>
      <c r="AE81">
        <v>0</v>
      </c>
      <c r="AF81">
        <v>0</v>
      </c>
      <c r="AG81">
        <v>0</v>
      </c>
      <c r="AH81">
        <v>0</v>
      </c>
      <c r="AI81">
        <v>0</v>
      </c>
      <c r="AJ81">
        <v>0</v>
      </c>
      <c r="AK81">
        <v>1</v>
      </c>
      <c r="AM81">
        <v>0</v>
      </c>
      <c r="AN81">
        <v>1</v>
      </c>
      <c r="AO81">
        <v>1</v>
      </c>
      <c r="AQ81">
        <v>816</v>
      </c>
      <c r="AR81">
        <v>34</v>
      </c>
      <c r="AT81">
        <v>816</v>
      </c>
      <c r="AU81">
        <v>34</v>
      </c>
      <c r="AV81">
        <v>1</v>
      </c>
      <c r="AW81">
        <v>0</v>
      </c>
      <c r="AX81">
        <v>0</v>
      </c>
      <c r="AY81">
        <v>0</v>
      </c>
      <c r="AZ81">
        <v>0</v>
      </c>
      <c r="BA81">
        <v>0</v>
      </c>
      <c r="BC81">
        <v>1</v>
      </c>
      <c r="BE81">
        <v>1</v>
      </c>
      <c r="BG81">
        <v>1</v>
      </c>
      <c r="BH81">
        <v>1</v>
      </c>
      <c r="BI81">
        <v>4</v>
      </c>
      <c r="BJ81">
        <v>1</v>
      </c>
      <c r="BK81">
        <v>6</v>
      </c>
      <c r="BL81">
        <v>1</v>
      </c>
      <c r="BM81">
        <v>1</v>
      </c>
      <c r="BN81">
        <v>1</v>
      </c>
      <c r="BO81">
        <v>1</v>
      </c>
      <c r="BP81">
        <v>1</v>
      </c>
      <c r="BQ81">
        <v>0</v>
      </c>
      <c r="BR81">
        <v>0</v>
      </c>
      <c r="BS81">
        <v>0</v>
      </c>
      <c r="BT81">
        <v>0</v>
      </c>
      <c r="BV81">
        <v>0</v>
      </c>
      <c r="BW81">
        <v>0</v>
      </c>
      <c r="BX81">
        <v>0</v>
      </c>
      <c r="BY81">
        <v>0</v>
      </c>
      <c r="BZ81">
        <v>0</v>
      </c>
      <c r="CA81">
        <v>0</v>
      </c>
      <c r="CB81">
        <v>0</v>
      </c>
      <c r="CC81">
        <v>0</v>
      </c>
      <c r="CD81">
        <v>1</v>
      </c>
      <c r="CE81">
        <v>0</v>
      </c>
      <c r="CF81">
        <v>0</v>
      </c>
      <c r="CG81">
        <v>1</v>
      </c>
      <c r="CH81">
        <v>0</v>
      </c>
      <c r="CI81">
        <v>0</v>
      </c>
      <c r="CJ81">
        <v>0</v>
      </c>
      <c r="CK81">
        <v>0</v>
      </c>
      <c r="CL81">
        <v>0</v>
      </c>
      <c r="CN81">
        <v>16</v>
      </c>
      <c r="CO81">
        <v>4</v>
      </c>
      <c r="CQ81">
        <v>5</v>
      </c>
      <c r="CR81">
        <v>4</v>
      </c>
      <c r="EB81">
        <v>1</v>
      </c>
      <c r="EC81">
        <v>0</v>
      </c>
      <c r="ED81">
        <v>1</v>
      </c>
      <c r="EE81">
        <v>0</v>
      </c>
      <c r="EF81">
        <v>1</v>
      </c>
      <c r="EG81">
        <v>1</v>
      </c>
      <c r="EH81">
        <v>0</v>
      </c>
      <c r="EI81">
        <v>0</v>
      </c>
      <c r="EJ81">
        <v>0</v>
      </c>
      <c r="EK81">
        <v>0</v>
      </c>
      <c r="EM81">
        <v>0</v>
      </c>
      <c r="EN81">
        <v>1</v>
      </c>
      <c r="EO81">
        <v>0</v>
      </c>
      <c r="EP81">
        <v>1</v>
      </c>
      <c r="EQ81">
        <v>0</v>
      </c>
      <c r="ER81">
        <v>0</v>
      </c>
      <c r="ES81">
        <v>0</v>
      </c>
      <c r="ET81">
        <v>0</v>
      </c>
      <c r="EU81">
        <v>0</v>
      </c>
      <c r="EV81">
        <v>0</v>
      </c>
      <c r="EW81">
        <v>1</v>
      </c>
      <c r="EX81">
        <v>0</v>
      </c>
      <c r="EY81">
        <v>0</v>
      </c>
      <c r="FB81" t="s">
        <v>620</v>
      </c>
      <c r="FC81">
        <v>1</v>
      </c>
      <c r="FD81">
        <v>1</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IZ81">
        <v>0</v>
      </c>
      <c r="JA81">
        <v>0</v>
      </c>
      <c r="JB81">
        <v>0</v>
      </c>
      <c r="JC81">
        <v>0</v>
      </c>
      <c r="JD81">
        <v>0</v>
      </c>
      <c r="JE81">
        <v>0</v>
      </c>
      <c r="JF81">
        <v>0</v>
      </c>
      <c r="JG81">
        <v>0</v>
      </c>
      <c r="JH81">
        <v>0</v>
      </c>
      <c r="JI81">
        <v>0</v>
      </c>
      <c r="JJ81">
        <v>1</v>
      </c>
      <c r="JL81">
        <v>2</v>
      </c>
      <c r="JM81" cm="1">
        <f t="array" ref="JM81">IF(OR(JN81:JQ81 &lt;&gt; ""), 1, 0)</f>
        <v>0</v>
      </c>
    </row>
    <row r="82" spans="1:278" x14ac:dyDescent="0.35">
      <c r="A82">
        <v>405530</v>
      </c>
      <c r="C82">
        <v>1</v>
      </c>
      <c r="D82" t="s">
        <v>621</v>
      </c>
      <c r="E82" t="str">
        <f>_xlfn.XLOOKUP(I82, [1]SchoolDistrictStudyWODuplicates!$K:$K, [1]SchoolDistrictStudyWODuplicates!$E:$E, "")</f>
        <v/>
      </c>
      <c r="G82" t="s">
        <v>622</v>
      </c>
      <c r="H82" s="5" t="e">
        <f>_xlfn.XLOOKUP(A82,#REF!,#REF!, "No")</f>
        <v>#REF!</v>
      </c>
      <c r="I82" s="7">
        <v>2105940</v>
      </c>
      <c r="J82" s="5" t="e">
        <f>_xlfn.XLOOKUP(I82,#REF!,#REF!,"Not Determined")</f>
        <v>#REF!</v>
      </c>
      <c r="K82" s="5" t="s">
        <v>599</v>
      </c>
      <c r="L82" t="s">
        <v>599</v>
      </c>
      <c r="M82" s="13" t="e">
        <f>_xlfn.XLOOKUP(I82,#REF!,#REF!, "No")</f>
        <v>#REF!</v>
      </c>
      <c r="N82" s="5" t="str">
        <f t="shared" si="22"/>
        <v>No</v>
      </c>
      <c r="O82" s="5" t="str">
        <f t="shared" si="23"/>
        <v>Yes</v>
      </c>
      <c r="P82" s="5" t="str">
        <f t="shared" si="24"/>
        <v>Yes</v>
      </c>
      <c r="Q82" s="5" t="str">
        <f t="shared" si="25"/>
        <v>Yes</v>
      </c>
      <c r="R82" s="5" t="str">
        <f t="shared" si="26"/>
        <v>Yes</v>
      </c>
      <c r="S82" s="5" t="str">
        <f t="shared" si="27"/>
        <v>Yes</v>
      </c>
      <c r="T82" s="5" t="str">
        <f t="shared" si="28"/>
        <v>Yes</v>
      </c>
      <c r="U82" s="5" t="str">
        <f t="shared" si="29"/>
        <v>Yes</v>
      </c>
      <c r="V82" s="5" t="str" cm="1">
        <f t="array" ref="V82">IF(OR(DB82:DG82 =1), "Yes", "No")</f>
        <v>No</v>
      </c>
      <c r="W82" s="5" t="str">
        <f t="shared" si="30"/>
        <v>No</v>
      </c>
      <c r="X82" s="5" t="str">
        <f t="shared" si="31"/>
        <v>No</v>
      </c>
      <c r="Y82" s="5" t="str">
        <f t="shared" si="32"/>
        <v>No</v>
      </c>
      <c r="Z82">
        <v>4</v>
      </c>
      <c r="AB82">
        <v>1</v>
      </c>
      <c r="AC82">
        <v>0</v>
      </c>
      <c r="AD82">
        <v>0</v>
      </c>
      <c r="AE82">
        <v>1</v>
      </c>
      <c r="AF82">
        <v>0</v>
      </c>
      <c r="AG82">
        <v>0</v>
      </c>
      <c r="AH82">
        <v>0</v>
      </c>
      <c r="AI82">
        <v>1</v>
      </c>
      <c r="AJ82">
        <v>0</v>
      </c>
      <c r="AK82">
        <v>1</v>
      </c>
      <c r="AM82">
        <v>0</v>
      </c>
      <c r="AN82">
        <v>1</v>
      </c>
      <c r="AO82">
        <v>0</v>
      </c>
      <c r="AQ82">
        <v>14</v>
      </c>
      <c r="AT82">
        <v>14</v>
      </c>
      <c r="AV82">
        <v>1</v>
      </c>
      <c r="AW82">
        <v>0</v>
      </c>
      <c r="AX82">
        <v>0</v>
      </c>
      <c r="AY82">
        <v>0</v>
      </c>
      <c r="AZ82">
        <v>0</v>
      </c>
      <c r="BA82">
        <v>0</v>
      </c>
      <c r="BC82">
        <v>1</v>
      </c>
      <c r="BE82">
        <v>1</v>
      </c>
      <c r="BG82">
        <v>1</v>
      </c>
      <c r="BH82">
        <v>1</v>
      </c>
      <c r="BI82">
        <v>3</v>
      </c>
      <c r="BJ82">
        <v>2</v>
      </c>
      <c r="BL82">
        <v>2</v>
      </c>
      <c r="BM82">
        <v>1</v>
      </c>
      <c r="BN82">
        <v>1</v>
      </c>
      <c r="BO82">
        <v>0</v>
      </c>
      <c r="BP82">
        <v>0</v>
      </c>
      <c r="BQ82">
        <v>0</v>
      </c>
      <c r="BR82">
        <v>0</v>
      </c>
      <c r="BS82">
        <v>1</v>
      </c>
      <c r="BT82">
        <v>0</v>
      </c>
      <c r="BV82">
        <v>1</v>
      </c>
      <c r="BW82">
        <v>0</v>
      </c>
      <c r="BX82">
        <v>1</v>
      </c>
      <c r="BY82">
        <v>0</v>
      </c>
      <c r="BZ82">
        <v>0</v>
      </c>
      <c r="CA82">
        <v>1</v>
      </c>
      <c r="CB82">
        <v>0</v>
      </c>
      <c r="CC82">
        <v>0</v>
      </c>
      <c r="CD82">
        <v>1</v>
      </c>
      <c r="CE82">
        <v>0</v>
      </c>
      <c r="CF82">
        <v>0</v>
      </c>
      <c r="CG82">
        <v>1</v>
      </c>
      <c r="CH82">
        <v>0</v>
      </c>
      <c r="CI82">
        <v>1</v>
      </c>
      <c r="CJ82">
        <v>0</v>
      </c>
      <c r="CK82">
        <v>0</v>
      </c>
      <c r="CL82">
        <v>0</v>
      </c>
      <c r="CN82">
        <v>12</v>
      </c>
      <c r="CO82">
        <v>4</v>
      </c>
      <c r="CQ82">
        <v>4</v>
      </c>
      <c r="CR82">
        <v>4</v>
      </c>
      <c r="EB82">
        <v>0</v>
      </c>
      <c r="EC82">
        <v>0</v>
      </c>
      <c r="ED82">
        <v>1</v>
      </c>
      <c r="EE82">
        <v>1</v>
      </c>
      <c r="EF82">
        <v>0</v>
      </c>
      <c r="EG82">
        <v>1</v>
      </c>
      <c r="EH82">
        <v>0</v>
      </c>
      <c r="EI82">
        <v>0</v>
      </c>
      <c r="EJ82">
        <v>0</v>
      </c>
      <c r="EK82">
        <v>0</v>
      </c>
      <c r="EM82">
        <v>0</v>
      </c>
      <c r="EN82">
        <v>0</v>
      </c>
      <c r="EO82">
        <v>1</v>
      </c>
      <c r="EP82">
        <v>1</v>
      </c>
      <c r="EQ82">
        <v>1</v>
      </c>
      <c r="ER82">
        <v>0</v>
      </c>
      <c r="ES82">
        <v>0</v>
      </c>
      <c r="ET82">
        <v>1</v>
      </c>
      <c r="EU82">
        <v>0</v>
      </c>
      <c r="EV82">
        <v>0</v>
      </c>
      <c r="EW82">
        <v>1</v>
      </c>
      <c r="EX82">
        <v>0</v>
      </c>
      <c r="EY82">
        <v>0</v>
      </c>
      <c r="FY82" t="s">
        <v>623</v>
      </c>
      <c r="FZ82">
        <v>1</v>
      </c>
      <c r="GA82">
        <v>0</v>
      </c>
      <c r="GB82">
        <v>0</v>
      </c>
      <c r="GC82">
        <v>1</v>
      </c>
      <c r="GD82">
        <v>0</v>
      </c>
      <c r="GE82">
        <v>0</v>
      </c>
      <c r="GF82">
        <v>0</v>
      </c>
      <c r="GG82">
        <v>0</v>
      </c>
      <c r="GH82">
        <v>0</v>
      </c>
      <c r="GI82">
        <v>0</v>
      </c>
      <c r="GJ82">
        <v>0</v>
      </c>
      <c r="GK82">
        <v>0</v>
      </c>
      <c r="GL82">
        <v>0</v>
      </c>
      <c r="GM82">
        <v>0</v>
      </c>
      <c r="GN82">
        <v>0</v>
      </c>
      <c r="GO82">
        <v>0</v>
      </c>
      <c r="GP82">
        <v>0</v>
      </c>
      <c r="GQ82">
        <v>0</v>
      </c>
      <c r="GR82">
        <v>0</v>
      </c>
      <c r="IZ82">
        <v>1</v>
      </c>
      <c r="JA82">
        <v>0</v>
      </c>
      <c r="JB82">
        <v>0</v>
      </c>
      <c r="JC82">
        <v>1</v>
      </c>
      <c r="JD82">
        <v>0</v>
      </c>
      <c r="JE82">
        <v>0</v>
      </c>
      <c r="JF82">
        <v>1</v>
      </c>
      <c r="JG82">
        <v>0</v>
      </c>
      <c r="JH82">
        <v>0</v>
      </c>
      <c r="JI82">
        <v>0</v>
      </c>
      <c r="JJ82">
        <v>0</v>
      </c>
      <c r="JL82">
        <v>2</v>
      </c>
      <c r="JM82" cm="1">
        <f t="array" ref="JM82">IF(OR(JN82:JQ82 &lt;&gt; ""), 1, 0)</f>
        <v>0</v>
      </c>
    </row>
    <row r="83" spans="1:278" x14ac:dyDescent="0.35">
      <c r="A83">
        <v>362826</v>
      </c>
      <c r="C83">
        <v>1</v>
      </c>
      <c r="D83" t="s">
        <v>624</v>
      </c>
      <c r="E83" t="str">
        <f>_xlfn.XLOOKUP(I83, [1]SchoolDistrictStudyWODuplicates!$K:$K, [1]SchoolDistrictStudyWODuplicates!$E:$E, "")</f>
        <v/>
      </c>
      <c r="G83" t="s">
        <v>625</v>
      </c>
      <c r="H83" s="5" t="e">
        <f>_xlfn.XLOOKUP(A83,#REF!,#REF!, "No")</f>
        <v>#REF!</v>
      </c>
      <c r="I83" s="7">
        <v>2200275</v>
      </c>
      <c r="J83" s="5" t="e">
        <f>_xlfn.XLOOKUP(I83,#REF!,#REF!,"Not Determined")</f>
        <v>#REF!</v>
      </c>
      <c r="K83" s="5" t="s">
        <v>1355</v>
      </c>
      <c r="L83" t="s">
        <v>626</v>
      </c>
      <c r="M83" s="13" t="e">
        <f>_xlfn.XLOOKUP(I83,#REF!,#REF!, "No")</f>
        <v>#REF!</v>
      </c>
      <c r="N83" s="5" t="str">
        <f t="shared" si="22"/>
        <v>No</v>
      </c>
      <c r="O83" s="5" t="str">
        <f t="shared" si="23"/>
        <v>Yes</v>
      </c>
      <c r="P83" s="5" t="str">
        <f t="shared" si="24"/>
        <v>Yes</v>
      </c>
      <c r="Q83" s="5" t="str">
        <f t="shared" si="25"/>
        <v>Yes</v>
      </c>
      <c r="R83" s="5" t="str">
        <f t="shared" si="26"/>
        <v>Yes</v>
      </c>
      <c r="S83" s="5" t="str">
        <f t="shared" si="27"/>
        <v>Yes</v>
      </c>
      <c r="T83" s="5" t="str">
        <f t="shared" si="28"/>
        <v>Yes</v>
      </c>
      <c r="U83" s="5" t="str">
        <f t="shared" si="29"/>
        <v>Yes</v>
      </c>
      <c r="V83" s="5" t="str" cm="1">
        <f t="array" ref="V83">IF(OR(DB83:DG83 =1), "Yes", "No")</f>
        <v>No</v>
      </c>
      <c r="W83" s="5" t="str">
        <f t="shared" si="30"/>
        <v>No</v>
      </c>
      <c r="X83" s="5" t="str">
        <f t="shared" si="31"/>
        <v>No</v>
      </c>
      <c r="Y83" s="5" t="str">
        <f t="shared" si="32"/>
        <v>No</v>
      </c>
      <c r="Z83">
        <v>3</v>
      </c>
      <c r="AB83">
        <v>0</v>
      </c>
      <c r="AC83">
        <v>0</v>
      </c>
      <c r="AD83">
        <v>1</v>
      </c>
      <c r="AE83">
        <v>0</v>
      </c>
      <c r="AF83">
        <v>0</v>
      </c>
      <c r="AG83">
        <v>0</v>
      </c>
      <c r="AH83">
        <v>0</v>
      </c>
      <c r="AI83">
        <v>0</v>
      </c>
      <c r="AJ83">
        <v>0</v>
      </c>
      <c r="AK83">
        <v>1</v>
      </c>
      <c r="AM83">
        <v>0</v>
      </c>
      <c r="AN83">
        <v>1</v>
      </c>
      <c r="AO83">
        <v>0</v>
      </c>
      <c r="AQ83">
        <v>77</v>
      </c>
      <c r="AT83">
        <v>77</v>
      </c>
      <c r="AV83">
        <v>0</v>
      </c>
      <c r="AW83">
        <v>1</v>
      </c>
      <c r="AX83">
        <v>0</v>
      </c>
      <c r="AY83">
        <v>0</v>
      </c>
      <c r="AZ83">
        <v>0</v>
      </c>
      <c r="BA83">
        <v>0</v>
      </c>
      <c r="BC83">
        <v>2</v>
      </c>
      <c r="BE83">
        <v>3</v>
      </c>
      <c r="BG83">
        <v>1</v>
      </c>
      <c r="BH83">
        <v>1</v>
      </c>
      <c r="BI83">
        <v>3</v>
      </c>
      <c r="BJ83">
        <v>1</v>
      </c>
      <c r="BK83">
        <v>6</v>
      </c>
      <c r="BL83">
        <v>2</v>
      </c>
      <c r="BM83">
        <v>1</v>
      </c>
      <c r="BN83">
        <v>2</v>
      </c>
      <c r="BV83">
        <v>0</v>
      </c>
      <c r="BW83">
        <v>0</v>
      </c>
      <c r="BX83">
        <v>0</v>
      </c>
      <c r="BY83">
        <v>0</v>
      </c>
      <c r="BZ83">
        <v>0</v>
      </c>
      <c r="CA83">
        <v>0</v>
      </c>
      <c r="CB83">
        <v>0</v>
      </c>
      <c r="CC83">
        <v>0</v>
      </c>
      <c r="CD83">
        <v>0</v>
      </c>
      <c r="CE83">
        <v>0</v>
      </c>
      <c r="CF83">
        <v>0</v>
      </c>
      <c r="CG83">
        <v>1</v>
      </c>
      <c r="CH83">
        <v>0</v>
      </c>
      <c r="CI83">
        <v>0</v>
      </c>
      <c r="CJ83">
        <v>0</v>
      </c>
      <c r="CK83">
        <v>0</v>
      </c>
      <c r="CL83">
        <v>0</v>
      </c>
      <c r="CN83">
        <v>12</v>
      </c>
      <c r="CO83">
        <v>4</v>
      </c>
      <c r="CQ83">
        <v>5</v>
      </c>
      <c r="CR83">
        <v>5</v>
      </c>
      <c r="EB83">
        <v>0</v>
      </c>
      <c r="EC83">
        <v>0</v>
      </c>
      <c r="ED83">
        <v>0</v>
      </c>
      <c r="EE83">
        <v>0</v>
      </c>
      <c r="EF83">
        <v>0</v>
      </c>
      <c r="EG83">
        <v>1</v>
      </c>
      <c r="EH83">
        <v>0</v>
      </c>
      <c r="EI83">
        <v>0</v>
      </c>
      <c r="EJ83">
        <v>0</v>
      </c>
      <c r="EK83">
        <v>0</v>
      </c>
      <c r="EM83">
        <v>0</v>
      </c>
      <c r="EN83">
        <v>1</v>
      </c>
      <c r="EO83">
        <v>0</v>
      </c>
      <c r="EP83">
        <v>0</v>
      </c>
      <c r="EQ83">
        <v>0</v>
      </c>
      <c r="ER83">
        <v>0</v>
      </c>
      <c r="ES83">
        <v>0</v>
      </c>
      <c r="ET83">
        <v>0</v>
      </c>
      <c r="EU83">
        <v>0</v>
      </c>
      <c r="EV83">
        <v>0</v>
      </c>
      <c r="EW83">
        <v>0</v>
      </c>
      <c r="EX83">
        <v>0</v>
      </c>
      <c r="EY83">
        <v>0</v>
      </c>
      <c r="FB83" t="s">
        <v>627</v>
      </c>
      <c r="FC83">
        <v>1</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IZ83">
        <v>0</v>
      </c>
      <c r="JA83">
        <v>0</v>
      </c>
      <c r="JB83">
        <v>0</v>
      </c>
      <c r="JC83">
        <v>0</v>
      </c>
      <c r="JD83">
        <v>0</v>
      </c>
      <c r="JE83">
        <v>0</v>
      </c>
      <c r="JF83">
        <v>0</v>
      </c>
      <c r="JG83">
        <v>0</v>
      </c>
      <c r="JH83">
        <v>0</v>
      </c>
      <c r="JI83">
        <v>0</v>
      </c>
      <c r="JJ83">
        <v>1</v>
      </c>
      <c r="JL83">
        <v>2</v>
      </c>
      <c r="JM83" cm="1">
        <f t="array" ref="JM83">IF(OR(JN83:JQ83 &lt;&gt; ""), 1, 0)</f>
        <v>0</v>
      </c>
    </row>
    <row r="84" spans="1:278" x14ac:dyDescent="0.35">
      <c r="A84">
        <v>405440</v>
      </c>
      <c r="C84">
        <v>1</v>
      </c>
      <c r="D84" t="s">
        <v>628</v>
      </c>
      <c r="E84" t="str">
        <f>_xlfn.XLOOKUP(I84, [1]SchoolDistrictStudyWODuplicates!$K:$K, [1]SchoolDistrictStudyWODuplicates!$E:$E, "")</f>
        <v/>
      </c>
      <c r="G84" t="s">
        <v>629</v>
      </c>
      <c r="H84" s="5" t="e">
        <f>_xlfn.XLOOKUP(A84,#REF!,#REF!, "No")</f>
        <v>#REF!</v>
      </c>
      <c r="I84" s="7">
        <v>2201650</v>
      </c>
      <c r="J84" s="5" t="e">
        <f>_xlfn.XLOOKUP(I84,#REF!,#REF!,"Not Determined")</f>
        <v>#REF!</v>
      </c>
      <c r="K84" s="5" t="s">
        <v>1355</v>
      </c>
      <c r="L84" t="s">
        <v>626</v>
      </c>
      <c r="M84" s="13" t="e">
        <f>_xlfn.XLOOKUP(I84,#REF!,#REF!, "No")</f>
        <v>#REF!</v>
      </c>
      <c r="N84" s="5" t="str">
        <f t="shared" si="22"/>
        <v>No</v>
      </c>
      <c r="O84" s="5" t="str">
        <f t="shared" si="23"/>
        <v>Yes</v>
      </c>
      <c r="P84" s="5" t="str">
        <f t="shared" si="24"/>
        <v>Yes</v>
      </c>
      <c r="Q84" s="5" t="str">
        <f t="shared" si="25"/>
        <v>Yes</v>
      </c>
      <c r="R84" s="5" t="str">
        <f t="shared" si="26"/>
        <v>Yes</v>
      </c>
      <c r="S84" s="5" t="str">
        <f t="shared" si="27"/>
        <v>Yes</v>
      </c>
      <c r="T84" s="5" t="str">
        <f t="shared" si="28"/>
        <v>Yes</v>
      </c>
      <c r="U84" s="5" t="str">
        <f t="shared" si="29"/>
        <v>Yes</v>
      </c>
      <c r="V84" s="5" t="str" cm="1">
        <f t="array" ref="V84">IF(OR(DB84:DG84 =1), "Yes", "No")</f>
        <v>No</v>
      </c>
      <c r="W84" s="5" t="str">
        <f t="shared" si="30"/>
        <v>No</v>
      </c>
      <c r="X84" s="5" t="str">
        <f t="shared" si="31"/>
        <v>No</v>
      </c>
      <c r="Y84" s="5" t="str">
        <f t="shared" si="32"/>
        <v>No</v>
      </c>
      <c r="Z84">
        <v>3</v>
      </c>
      <c r="AB84">
        <v>0</v>
      </c>
      <c r="AC84">
        <v>0</v>
      </c>
      <c r="AD84">
        <v>1</v>
      </c>
      <c r="AE84">
        <v>0</v>
      </c>
      <c r="AF84">
        <v>0</v>
      </c>
      <c r="AG84">
        <v>0</v>
      </c>
      <c r="AH84">
        <v>0</v>
      </c>
      <c r="AI84">
        <v>0</v>
      </c>
      <c r="AJ84">
        <v>0</v>
      </c>
      <c r="AK84">
        <v>1</v>
      </c>
      <c r="AM84">
        <v>1</v>
      </c>
      <c r="AN84">
        <v>1</v>
      </c>
      <c r="AO84">
        <v>0</v>
      </c>
      <c r="AP84">
        <v>120</v>
      </c>
      <c r="AQ84">
        <v>250</v>
      </c>
      <c r="AS84">
        <v>120</v>
      </c>
      <c r="AT84">
        <v>250</v>
      </c>
      <c r="AV84">
        <v>1</v>
      </c>
      <c r="AW84">
        <v>0</v>
      </c>
      <c r="AX84">
        <v>0</v>
      </c>
      <c r="AY84">
        <v>0</v>
      </c>
      <c r="AZ84">
        <v>0</v>
      </c>
      <c r="BA84">
        <v>0</v>
      </c>
      <c r="BC84">
        <v>1</v>
      </c>
      <c r="BE84">
        <v>4</v>
      </c>
      <c r="BG84">
        <v>1</v>
      </c>
      <c r="BH84">
        <v>1</v>
      </c>
      <c r="BI84">
        <v>4</v>
      </c>
      <c r="BJ84">
        <v>2</v>
      </c>
      <c r="BL84">
        <v>2</v>
      </c>
      <c r="BM84">
        <v>1</v>
      </c>
      <c r="BN84">
        <v>1</v>
      </c>
      <c r="BO84">
        <v>1</v>
      </c>
      <c r="BP84">
        <v>0</v>
      </c>
      <c r="BQ84">
        <v>0</v>
      </c>
      <c r="BR84">
        <v>0</v>
      </c>
      <c r="BS84">
        <v>0</v>
      </c>
      <c r="BT84">
        <v>0</v>
      </c>
      <c r="BV84">
        <v>1</v>
      </c>
      <c r="BW84">
        <v>0</v>
      </c>
      <c r="BX84">
        <v>0</v>
      </c>
      <c r="BY84">
        <v>0</v>
      </c>
      <c r="BZ84">
        <v>1</v>
      </c>
      <c r="CA84">
        <v>1</v>
      </c>
      <c r="CB84">
        <v>0</v>
      </c>
      <c r="CC84">
        <v>0</v>
      </c>
      <c r="CD84">
        <v>1</v>
      </c>
      <c r="CE84">
        <v>0</v>
      </c>
      <c r="CF84">
        <v>0</v>
      </c>
      <c r="CG84">
        <v>1</v>
      </c>
      <c r="CH84">
        <v>0</v>
      </c>
      <c r="CI84">
        <v>1</v>
      </c>
      <c r="CJ84">
        <v>0</v>
      </c>
      <c r="CK84">
        <v>0</v>
      </c>
      <c r="CL84">
        <v>0</v>
      </c>
      <c r="CN84">
        <v>9</v>
      </c>
      <c r="CO84">
        <v>3</v>
      </c>
      <c r="CP84" t="s">
        <v>630</v>
      </c>
      <c r="CQ84">
        <v>3</v>
      </c>
      <c r="CR84">
        <v>3</v>
      </c>
      <c r="EB84">
        <v>1</v>
      </c>
      <c r="EC84">
        <v>0</v>
      </c>
      <c r="ED84">
        <v>0</v>
      </c>
      <c r="EE84">
        <v>0</v>
      </c>
      <c r="EF84">
        <v>0</v>
      </c>
      <c r="EG84">
        <v>0</v>
      </c>
      <c r="EH84">
        <v>0</v>
      </c>
      <c r="EI84">
        <v>0</v>
      </c>
      <c r="EJ84">
        <v>0</v>
      </c>
      <c r="EK84">
        <v>0</v>
      </c>
      <c r="EM84">
        <v>0</v>
      </c>
      <c r="EN84">
        <v>1</v>
      </c>
      <c r="EO84">
        <v>0</v>
      </c>
      <c r="EP84">
        <v>0</v>
      </c>
      <c r="EQ84">
        <v>0</v>
      </c>
      <c r="ER84">
        <v>0</v>
      </c>
      <c r="ES84">
        <v>0</v>
      </c>
      <c r="ET84">
        <v>0</v>
      </c>
      <c r="EU84">
        <v>0</v>
      </c>
      <c r="EV84">
        <v>0</v>
      </c>
      <c r="EW84">
        <v>0</v>
      </c>
      <c r="EX84">
        <v>0</v>
      </c>
      <c r="EY84">
        <v>0</v>
      </c>
      <c r="FB84" t="s">
        <v>274</v>
      </c>
      <c r="FC84">
        <v>1</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IZ84">
        <v>0</v>
      </c>
      <c r="JA84">
        <v>0</v>
      </c>
      <c r="JB84">
        <v>0</v>
      </c>
      <c r="JC84">
        <v>0</v>
      </c>
      <c r="JD84">
        <v>0</v>
      </c>
      <c r="JE84">
        <v>0</v>
      </c>
      <c r="JF84">
        <v>0</v>
      </c>
      <c r="JG84">
        <v>0</v>
      </c>
      <c r="JH84">
        <v>0</v>
      </c>
      <c r="JI84">
        <v>0</v>
      </c>
      <c r="JJ84">
        <v>1</v>
      </c>
      <c r="JL84">
        <v>2</v>
      </c>
      <c r="JM84" cm="1">
        <f t="array" ref="JM84">IF(OR(JN84:JQ84 &lt;&gt; ""), 1, 0)</f>
        <v>0</v>
      </c>
    </row>
    <row r="85" spans="1:278" x14ac:dyDescent="0.35">
      <c r="A85">
        <v>405523</v>
      </c>
      <c r="C85">
        <v>1</v>
      </c>
      <c r="D85" t="s">
        <v>631</v>
      </c>
      <c r="E85" t="str">
        <f>_xlfn.XLOOKUP(I85, [1]SchoolDistrictStudyWODuplicates!$K:$K, [1]SchoolDistrictStudyWODuplicates!$E:$E, "")</f>
        <v/>
      </c>
      <c r="G85" t="s">
        <v>632</v>
      </c>
      <c r="H85" s="5" t="e">
        <f>_xlfn.XLOOKUP(A85,#REF!,#REF!, "No")</f>
        <v>#REF!</v>
      </c>
      <c r="I85" s="7">
        <v>2201950</v>
      </c>
      <c r="J85" s="5" t="e">
        <f>_xlfn.XLOOKUP(I85,#REF!,#REF!,"Not Determined")</f>
        <v>#REF!</v>
      </c>
      <c r="K85" s="5" t="s">
        <v>1355</v>
      </c>
      <c r="L85" t="s">
        <v>626</v>
      </c>
      <c r="M85" s="13" t="e">
        <f>_xlfn.XLOOKUP(I85,#REF!,#REF!, "No")</f>
        <v>#REF!</v>
      </c>
      <c r="N85" s="5" t="str">
        <f t="shared" si="22"/>
        <v>No</v>
      </c>
      <c r="O85" s="5" t="str">
        <f t="shared" si="23"/>
        <v>Yes</v>
      </c>
      <c r="P85" s="5" t="str">
        <f t="shared" si="24"/>
        <v>Yes</v>
      </c>
      <c r="Q85" s="5" t="str">
        <f t="shared" si="25"/>
        <v>Yes</v>
      </c>
      <c r="R85" s="5" t="str">
        <f t="shared" si="26"/>
        <v>Yes</v>
      </c>
      <c r="S85" s="5" t="str">
        <f t="shared" si="27"/>
        <v>Yes</v>
      </c>
      <c r="T85" s="5" t="str">
        <f t="shared" si="28"/>
        <v>Yes</v>
      </c>
      <c r="U85" s="5" t="str">
        <f t="shared" si="29"/>
        <v>Yes</v>
      </c>
      <c r="V85" s="5" t="str" cm="1">
        <f t="array" ref="V85">IF(OR(DB85:DG85 =1), "Yes", "No")</f>
        <v>No</v>
      </c>
      <c r="W85" s="5" t="str">
        <f t="shared" si="30"/>
        <v>Yes</v>
      </c>
      <c r="X85" s="5" t="str">
        <f t="shared" si="31"/>
        <v>No</v>
      </c>
      <c r="Y85" s="5" t="str">
        <f t="shared" si="32"/>
        <v>No</v>
      </c>
      <c r="Z85">
        <v>3</v>
      </c>
      <c r="AB85">
        <v>0</v>
      </c>
      <c r="AC85">
        <v>0</v>
      </c>
      <c r="AD85">
        <v>1</v>
      </c>
      <c r="AE85">
        <v>0</v>
      </c>
      <c r="AF85">
        <v>0</v>
      </c>
      <c r="AG85">
        <v>0</v>
      </c>
      <c r="AH85">
        <v>0</v>
      </c>
      <c r="AI85">
        <v>0</v>
      </c>
      <c r="AJ85">
        <v>0</v>
      </c>
      <c r="AK85">
        <v>1</v>
      </c>
      <c r="AM85">
        <v>1</v>
      </c>
      <c r="AN85">
        <v>1</v>
      </c>
      <c r="AO85">
        <v>0</v>
      </c>
      <c r="AP85">
        <v>2</v>
      </c>
      <c r="AQ85">
        <v>24</v>
      </c>
      <c r="AS85">
        <v>2</v>
      </c>
      <c r="AT85">
        <v>24</v>
      </c>
      <c r="AV85">
        <v>1</v>
      </c>
      <c r="AW85">
        <v>1</v>
      </c>
      <c r="AX85">
        <v>0</v>
      </c>
      <c r="AY85">
        <v>0</v>
      </c>
      <c r="AZ85">
        <v>0</v>
      </c>
      <c r="BA85">
        <v>0</v>
      </c>
      <c r="BC85">
        <v>4</v>
      </c>
      <c r="BE85">
        <v>1</v>
      </c>
      <c r="BG85">
        <v>1</v>
      </c>
      <c r="BH85">
        <v>1</v>
      </c>
      <c r="BI85">
        <v>4</v>
      </c>
      <c r="BJ85">
        <v>2</v>
      </c>
      <c r="BL85">
        <v>2</v>
      </c>
      <c r="BM85">
        <v>1</v>
      </c>
      <c r="BN85">
        <v>1</v>
      </c>
      <c r="BO85">
        <v>1</v>
      </c>
      <c r="BP85">
        <v>0</v>
      </c>
      <c r="BQ85">
        <v>0</v>
      </c>
      <c r="BR85">
        <v>0</v>
      </c>
      <c r="BS85">
        <v>0</v>
      </c>
      <c r="BT85">
        <v>0</v>
      </c>
      <c r="BV85">
        <v>0</v>
      </c>
      <c r="BW85">
        <v>0</v>
      </c>
      <c r="BX85">
        <v>1</v>
      </c>
      <c r="BY85">
        <v>1</v>
      </c>
      <c r="BZ85">
        <v>1</v>
      </c>
      <c r="CA85">
        <v>0</v>
      </c>
      <c r="CB85">
        <v>0</v>
      </c>
      <c r="CC85">
        <v>0</v>
      </c>
      <c r="CD85">
        <v>1</v>
      </c>
      <c r="CE85">
        <v>1</v>
      </c>
      <c r="CF85">
        <v>0</v>
      </c>
      <c r="CG85">
        <v>1</v>
      </c>
      <c r="CH85">
        <v>0</v>
      </c>
      <c r="CI85">
        <v>1</v>
      </c>
      <c r="CJ85">
        <v>0</v>
      </c>
      <c r="CK85">
        <v>1</v>
      </c>
      <c r="CL85">
        <v>0</v>
      </c>
      <c r="CN85">
        <v>14</v>
      </c>
      <c r="CO85">
        <v>4</v>
      </c>
      <c r="CQ85">
        <v>5</v>
      </c>
      <c r="CR85">
        <v>5</v>
      </c>
      <c r="EB85">
        <v>0</v>
      </c>
      <c r="EC85">
        <v>0</v>
      </c>
      <c r="ED85">
        <v>0</v>
      </c>
      <c r="EE85">
        <v>0</v>
      </c>
      <c r="EF85">
        <v>1</v>
      </c>
      <c r="EG85">
        <v>0</v>
      </c>
      <c r="EH85">
        <v>0</v>
      </c>
      <c r="EI85">
        <v>0</v>
      </c>
      <c r="EJ85">
        <v>1</v>
      </c>
      <c r="EK85">
        <v>0</v>
      </c>
      <c r="EL85" t="s">
        <v>633</v>
      </c>
      <c r="EM85">
        <v>0</v>
      </c>
      <c r="EN85">
        <v>0</v>
      </c>
      <c r="EO85">
        <v>0</v>
      </c>
      <c r="EP85">
        <v>1</v>
      </c>
      <c r="EQ85">
        <v>1</v>
      </c>
      <c r="ER85">
        <v>0</v>
      </c>
      <c r="ES85">
        <v>0</v>
      </c>
      <c r="ET85">
        <v>0</v>
      </c>
      <c r="EU85">
        <v>0</v>
      </c>
      <c r="EV85">
        <v>0</v>
      </c>
      <c r="EW85">
        <v>1</v>
      </c>
      <c r="EX85">
        <v>0</v>
      </c>
      <c r="EY85">
        <v>0</v>
      </c>
      <c r="IZ85">
        <v>1</v>
      </c>
      <c r="JA85">
        <v>0</v>
      </c>
      <c r="JB85">
        <v>1</v>
      </c>
      <c r="JC85">
        <v>0</v>
      </c>
      <c r="JD85">
        <v>0</v>
      </c>
      <c r="JE85">
        <v>0</v>
      </c>
      <c r="JF85">
        <v>0</v>
      </c>
      <c r="JG85">
        <v>0</v>
      </c>
      <c r="JH85">
        <v>0</v>
      </c>
      <c r="JI85">
        <v>0</v>
      </c>
      <c r="JJ85">
        <v>0</v>
      </c>
      <c r="JL85">
        <v>1</v>
      </c>
      <c r="JM85" cm="1">
        <f t="array" ref="JM85">IF(OR(JN85:JQ85 &lt;&gt; ""), 1, 0)</f>
        <v>1</v>
      </c>
      <c r="JN85">
        <v>0</v>
      </c>
      <c r="JO85">
        <v>0</v>
      </c>
      <c r="JP85">
        <v>0</v>
      </c>
      <c r="JQ85">
        <v>1</v>
      </c>
      <c r="JR85" t="s">
        <v>634</v>
      </c>
    </row>
    <row r="86" spans="1:278" x14ac:dyDescent="0.35">
      <c r="A86">
        <v>370287</v>
      </c>
      <c r="C86">
        <v>1</v>
      </c>
      <c r="D86" t="s">
        <v>635</v>
      </c>
      <c r="E86" t="str">
        <f>_xlfn.XLOOKUP(I86, [1]SchoolDistrictStudyWODuplicates!$K:$K, [1]SchoolDistrictStudyWODuplicates!$E:$E, "")</f>
        <v>Barnstable Public school transportation</v>
      </c>
      <c r="G86" t="s">
        <v>636</v>
      </c>
      <c r="H86" s="5" t="e">
        <f>_xlfn.XLOOKUP(A86,#REF!,#REF!, "No")</f>
        <v>#REF!</v>
      </c>
      <c r="I86" s="7">
        <v>2502310</v>
      </c>
      <c r="J86" s="5" t="e">
        <f>_xlfn.XLOOKUP(I86,#REF!,#REF!,"Not Determined")</f>
        <v>#REF!</v>
      </c>
      <c r="K86" s="5" t="s">
        <v>637</v>
      </c>
      <c r="L86" t="s">
        <v>637</v>
      </c>
      <c r="M86" s="13" t="e">
        <f>_xlfn.XLOOKUP(I86,#REF!,#REF!, "No")</f>
        <v>#REF!</v>
      </c>
      <c r="N86" s="5" t="str">
        <f t="shared" si="22"/>
        <v>No</v>
      </c>
      <c r="O86" s="5" t="str">
        <f t="shared" si="23"/>
        <v>Yes</v>
      </c>
      <c r="P86" s="5" t="str">
        <f t="shared" si="24"/>
        <v>Yes</v>
      </c>
      <c r="Q86" s="5" t="str">
        <f t="shared" si="25"/>
        <v>Yes</v>
      </c>
      <c r="R86" s="5" t="str">
        <f t="shared" si="26"/>
        <v>Yes</v>
      </c>
      <c r="S86" s="5" t="str">
        <f t="shared" si="27"/>
        <v>Yes</v>
      </c>
      <c r="T86" s="5" t="str">
        <f t="shared" si="28"/>
        <v>No</v>
      </c>
      <c r="U86" s="5" t="str">
        <f t="shared" si="29"/>
        <v>Yes</v>
      </c>
      <c r="V86" s="5" t="str" cm="1">
        <f t="array" ref="V86">IF(OR(DB86:DG86 =1), "Yes", "No")</f>
        <v>No</v>
      </c>
      <c r="W86" s="5" t="str">
        <f t="shared" si="30"/>
        <v>Yes</v>
      </c>
      <c r="X86" s="5" t="str">
        <f t="shared" si="31"/>
        <v>No</v>
      </c>
      <c r="Y86" s="5" t="str">
        <f t="shared" si="32"/>
        <v>No</v>
      </c>
      <c r="Z86">
        <v>3</v>
      </c>
      <c r="AB86">
        <v>0</v>
      </c>
      <c r="AC86">
        <v>0</v>
      </c>
      <c r="AD86">
        <v>1</v>
      </c>
      <c r="AE86">
        <v>0</v>
      </c>
      <c r="AF86">
        <v>0</v>
      </c>
      <c r="AG86">
        <v>0</v>
      </c>
      <c r="AH86">
        <v>0</v>
      </c>
      <c r="AI86">
        <v>0</v>
      </c>
      <c r="AJ86">
        <v>0</v>
      </c>
      <c r="AK86">
        <v>1</v>
      </c>
      <c r="AM86">
        <v>1</v>
      </c>
      <c r="AN86">
        <v>1</v>
      </c>
      <c r="AO86">
        <v>0</v>
      </c>
      <c r="AP86">
        <v>13</v>
      </c>
      <c r="AQ86">
        <v>45</v>
      </c>
      <c r="AS86">
        <v>13</v>
      </c>
      <c r="AT86">
        <v>45</v>
      </c>
      <c r="AV86">
        <v>1</v>
      </c>
      <c r="AW86">
        <v>1</v>
      </c>
      <c r="AX86">
        <v>0</v>
      </c>
      <c r="AY86">
        <v>0</v>
      </c>
      <c r="AZ86">
        <v>0</v>
      </c>
      <c r="BA86">
        <v>0</v>
      </c>
      <c r="BC86">
        <v>1</v>
      </c>
      <c r="BE86">
        <v>4</v>
      </c>
      <c r="BG86">
        <v>1</v>
      </c>
      <c r="BH86">
        <v>1</v>
      </c>
      <c r="BI86">
        <v>5</v>
      </c>
      <c r="BJ86">
        <v>1</v>
      </c>
      <c r="BK86">
        <v>4</v>
      </c>
      <c r="BL86">
        <v>1</v>
      </c>
      <c r="BM86">
        <v>1</v>
      </c>
      <c r="BN86">
        <v>1</v>
      </c>
      <c r="BO86">
        <v>1</v>
      </c>
      <c r="BP86">
        <v>1</v>
      </c>
      <c r="BQ86">
        <v>1</v>
      </c>
      <c r="BR86">
        <v>0</v>
      </c>
      <c r="BS86">
        <v>0</v>
      </c>
      <c r="BT86">
        <v>0</v>
      </c>
      <c r="BV86">
        <v>0</v>
      </c>
      <c r="BW86">
        <v>0</v>
      </c>
      <c r="BX86">
        <v>1</v>
      </c>
      <c r="BY86">
        <v>1</v>
      </c>
      <c r="BZ86">
        <v>1</v>
      </c>
      <c r="CA86">
        <v>0</v>
      </c>
      <c r="CB86">
        <v>0</v>
      </c>
      <c r="CC86">
        <v>0</v>
      </c>
      <c r="CD86">
        <v>1</v>
      </c>
      <c r="CE86">
        <v>0</v>
      </c>
      <c r="CF86">
        <v>1</v>
      </c>
      <c r="CG86">
        <v>1</v>
      </c>
      <c r="CH86">
        <v>0</v>
      </c>
      <c r="CI86">
        <v>1</v>
      </c>
      <c r="CJ86">
        <v>0</v>
      </c>
      <c r="CK86">
        <v>0</v>
      </c>
      <c r="CL86">
        <v>0</v>
      </c>
      <c r="CN86">
        <v>3</v>
      </c>
      <c r="CO86">
        <v>3</v>
      </c>
      <c r="CP86" t="s">
        <v>638</v>
      </c>
      <c r="CQ86">
        <v>2</v>
      </c>
      <c r="CR86">
        <v>3</v>
      </c>
      <c r="EB86">
        <v>0</v>
      </c>
      <c r="EC86">
        <v>0</v>
      </c>
      <c r="ED86">
        <v>1</v>
      </c>
      <c r="EE86">
        <v>0</v>
      </c>
      <c r="EF86">
        <v>0</v>
      </c>
      <c r="EG86">
        <v>0</v>
      </c>
      <c r="EH86">
        <v>0</v>
      </c>
      <c r="EI86">
        <v>0</v>
      </c>
      <c r="EJ86">
        <v>1</v>
      </c>
      <c r="EK86">
        <v>0</v>
      </c>
      <c r="EL86" t="s">
        <v>639</v>
      </c>
      <c r="EM86">
        <v>0</v>
      </c>
      <c r="EN86">
        <v>1</v>
      </c>
      <c r="EO86">
        <v>0</v>
      </c>
      <c r="EP86">
        <v>0</v>
      </c>
      <c r="EQ86">
        <v>1</v>
      </c>
      <c r="ER86">
        <v>0</v>
      </c>
      <c r="ES86">
        <v>0</v>
      </c>
      <c r="ET86">
        <v>0</v>
      </c>
      <c r="EU86">
        <v>1</v>
      </c>
      <c r="EV86">
        <v>1</v>
      </c>
      <c r="EW86">
        <v>1</v>
      </c>
      <c r="EX86">
        <v>0</v>
      </c>
      <c r="EY86">
        <v>0</v>
      </c>
      <c r="FB86" t="s">
        <v>640</v>
      </c>
      <c r="FC86">
        <v>0</v>
      </c>
      <c r="FD86">
        <v>0</v>
      </c>
      <c r="FE86">
        <v>0</v>
      </c>
      <c r="FF86">
        <v>0</v>
      </c>
      <c r="FG86">
        <v>0</v>
      </c>
      <c r="FH86">
        <v>0</v>
      </c>
      <c r="FI86">
        <v>0</v>
      </c>
      <c r="FJ86">
        <v>0</v>
      </c>
      <c r="FK86">
        <v>0</v>
      </c>
      <c r="FL86">
        <v>0</v>
      </c>
      <c r="FM86">
        <v>0</v>
      </c>
      <c r="FN86">
        <v>0</v>
      </c>
      <c r="FO86">
        <v>0</v>
      </c>
      <c r="FP86">
        <v>0</v>
      </c>
      <c r="FQ86">
        <v>0</v>
      </c>
      <c r="FR86">
        <v>1</v>
      </c>
      <c r="FS86">
        <v>0</v>
      </c>
      <c r="FT86">
        <v>0</v>
      </c>
      <c r="FU86">
        <v>0</v>
      </c>
      <c r="FV86">
        <v>0</v>
      </c>
      <c r="FW86">
        <v>0</v>
      </c>
      <c r="FX86">
        <v>0</v>
      </c>
      <c r="HC86" t="s">
        <v>641</v>
      </c>
      <c r="HD86">
        <v>0</v>
      </c>
      <c r="HE86">
        <v>0</v>
      </c>
      <c r="HF86">
        <v>0</v>
      </c>
      <c r="HG86">
        <v>0</v>
      </c>
      <c r="HH86">
        <v>0</v>
      </c>
      <c r="HI86">
        <v>0</v>
      </c>
      <c r="HJ86">
        <v>0</v>
      </c>
      <c r="HK86">
        <v>0</v>
      </c>
      <c r="HL86">
        <v>0</v>
      </c>
      <c r="HM86">
        <v>0</v>
      </c>
      <c r="HN86">
        <v>0</v>
      </c>
      <c r="HO86">
        <v>0</v>
      </c>
      <c r="HP86">
        <v>0</v>
      </c>
      <c r="HQ86">
        <v>0</v>
      </c>
      <c r="HR86">
        <v>1</v>
      </c>
      <c r="HS86">
        <v>0</v>
      </c>
      <c r="HT86">
        <v>0</v>
      </c>
      <c r="HU86">
        <v>0</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0</v>
      </c>
      <c r="IQ86">
        <v>0</v>
      </c>
      <c r="IR86">
        <v>0</v>
      </c>
      <c r="IS86">
        <v>0</v>
      </c>
      <c r="IT86">
        <v>0</v>
      </c>
      <c r="IU86">
        <v>0</v>
      </c>
      <c r="IV86">
        <v>0</v>
      </c>
      <c r="IW86">
        <v>0</v>
      </c>
      <c r="IZ86">
        <v>1</v>
      </c>
      <c r="JA86">
        <v>0</v>
      </c>
      <c r="JB86">
        <v>1</v>
      </c>
      <c r="JC86">
        <v>0</v>
      </c>
      <c r="JD86">
        <v>0</v>
      </c>
      <c r="JE86">
        <v>0</v>
      </c>
      <c r="JF86">
        <v>1</v>
      </c>
      <c r="JG86">
        <v>0</v>
      </c>
      <c r="JH86">
        <v>0</v>
      </c>
      <c r="JI86">
        <v>0</v>
      </c>
      <c r="JJ86">
        <v>0</v>
      </c>
      <c r="JL86">
        <v>1</v>
      </c>
      <c r="JM86" cm="1">
        <f t="array" ref="JM86">IF(OR(JN86:JQ86 &lt;&gt; ""), 1, 0)</f>
        <v>1</v>
      </c>
      <c r="JN86">
        <v>1</v>
      </c>
      <c r="JO86">
        <v>1</v>
      </c>
      <c r="JP86">
        <v>0</v>
      </c>
      <c r="JQ86">
        <v>1</v>
      </c>
      <c r="JR86" t="s">
        <v>642</v>
      </c>
    </row>
    <row r="87" spans="1:278" x14ac:dyDescent="0.35">
      <c r="A87">
        <v>405486</v>
      </c>
      <c r="C87">
        <v>1</v>
      </c>
      <c r="D87" t="s">
        <v>643</v>
      </c>
      <c r="E87" t="str">
        <f>_xlfn.XLOOKUP(I87, [1]SchoolDistrictStudyWODuplicates!$K:$K, [1]SchoolDistrictStudyWODuplicates!$E:$E, "")</f>
        <v/>
      </c>
      <c r="G87" t="s">
        <v>644</v>
      </c>
      <c r="H87" s="5" t="e">
        <f>_xlfn.XLOOKUP(A87,#REF!,#REF!, "No")</f>
        <v>#REF!</v>
      </c>
      <c r="I87" s="7">
        <v>2508730</v>
      </c>
      <c r="J87" s="5" t="e">
        <f>_xlfn.XLOOKUP(I87,#REF!,#REF!,"Not Determined")</f>
        <v>#REF!</v>
      </c>
      <c r="K87" s="5" t="s">
        <v>637</v>
      </c>
      <c r="L87" t="s">
        <v>637</v>
      </c>
      <c r="M87" s="13" t="e">
        <f>_xlfn.XLOOKUP(I87,#REF!,#REF!, "No")</f>
        <v>#REF!</v>
      </c>
      <c r="N87" s="5" t="str">
        <f t="shared" si="22"/>
        <v>No</v>
      </c>
      <c r="O87" s="5" t="str">
        <f t="shared" si="23"/>
        <v>Yes</v>
      </c>
      <c r="P87" s="5" t="str">
        <f t="shared" si="24"/>
        <v>Yes</v>
      </c>
      <c r="Q87" s="5" t="str">
        <f t="shared" si="25"/>
        <v>Yes</v>
      </c>
      <c r="R87" s="5" t="str">
        <f t="shared" si="26"/>
        <v>Yes</v>
      </c>
      <c r="S87" s="5" t="str">
        <f t="shared" si="27"/>
        <v>Yes</v>
      </c>
      <c r="T87" s="5" t="str">
        <f t="shared" si="28"/>
        <v>No</v>
      </c>
      <c r="U87" s="5" t="str">
        <f t="shared" si="29"/>
        <v>Yes</v>
      </c>
      <c r="V87" s="5" t="str" cm="1">
        <f t="array" ref="V87">IF(OR(DB87:DG87 =1), "Yes", "No")</f>
        <v>No</v>
      </c>
      <c r="W87" s="5" t="str">
        <f t="shared" si="30"/>
        <v>Yes</v>
      </c>
      <c r="X87" s="5" t="str">
        <f t="shared" si="31"/>
        <v>No</v>
      </c>
      <c r="Y87" s="5" t="str">
        <f t="shared" si="32"/>
        <v>No</v>
      </c>
      <c r="Z87">
        <v>3</v>
      </c>
      <c r="AB87">
        <v>0</v>
      </c>
      <c r="AC87">
        <v>0</v>
      </c>
      <c r="AD87">
        <v>0</v>
      </c>
      <c r="AE87">
        <v>0</v>
      </c>
      <c r="AF87">
        <v>0</v>
      </c>
      <c r="AG87">
        <v>1</v>
      </c>
      <c r="AH87">
        <v>0</v>
      </c>
      <c r="AI87">
        <v>0</v>
      </c>
      <c r="AJ87">
        <v>0</v>
      </c>
      <c r="AK87">
        <v>1</v>
      </c>
      <c r="AM87">
        <v>1</v>
      </c>
      <c r="AN87">
        <v>0</v>
      </c>
      <c r="AO87">
        <v>0</v>
      </c>
      <c r="AP87">
        <v>12</v>
      </c>
      <c r="AS87">
        <v>12</v>
      </c>
      <c r="AV87">
        <v>1</v>
      </c>
      <c r="AW87">
        <v>1</v>
      </c>
      <c r="AX87">
        <v>0</v>
      </c>
      <c r="AY87">
        <v>0</v>
      </c>
      <c r="AZ87">
        <v>0</v>
      </c>
      <c r="BA87">
        <v>0</v>
      </c>
      <c r="BC87">
        <v>2</v>
      </c>
      <c r="BE87">
        <v>4</v>
      </c>
      <c r="BG87">
        <v>1</v>
      </c>
      <c r="BH87">
        <v>1</v>
      </c>
      <c r="BI87">
        <v>3</v>
      </c>
      <c r="BJ87">
        <v>2</v>
      </c>
      <c r="BL87">
        <v>2</v>
      </c>
      <c r="BM87">
        <v>1</v>
      </c>
      <c r="BN87">
        <v>1</v>
      </c>
      <c r="BO87">
        <v>1</v>
      </c>
      <c r="BP87">
        <v>0</v>
      </c>
      <c r="BQ87">
        <v>1</v>
      </c>
      <c r="BR87">
        <v>1</v>
      </c>
      <c r="BS87">
        <v>0</v>
      </c>
      <c r="BT87">
        <v>0</v>
      </c>
      <c r="BV87">
        <v>1</v>
      </c>
      <c r="BW87">
        <v>0</v>
      </c>
      <c r="BX87">
        <v>0</v>
      </c>
      <c r="BY87">
        <v>0</v>
      </c>
      <c r="BZ87">
        <v>0</v>
      </c>
      <c r="CA87">
        <v>0</v>
      </c>
      <c r="CB87">
        <v>0</v>
      </c>
      <c r="CC87">
        <v>1</v>
      </c>
      <c r="CD87">
        <v>1</v>
      </c>
      <c r="CE87">
        <v>0</v>
      </c>
      <c r="CF87">
        <v>0</v>
      </c>
      <c r="CG87">
        <v>1</v>
      </c>
      <c r="CH87">
        <v>0</v>
      </c>
      <c r="CI87">
        <v>0</v>
      </c>
      <c r="CJ87">
        <v>0</v>
      </c>
      <c r="CK87">
        <v>0</v>
      </c>
      <c r="CL87">
        <v>0</v>
      </c>
      <c r="CN87">
        <v>2</v>
      </c>
      <c r="CO87">
        <v>3</v>
      </c>
      <c r="CP87" t="s">
        <v>645</v>
      </c>
      <c r="CQ87">
        <v>2</v>
      </c>
      <c r="CR87">
        <v>3</v>
      </c>
      <c r="EB87">
        <v>1</v>
      </c>
      <c r="EC87">
        <v>1</v>
      </c>
      <c r="ED87">
        <v>0</v>
      </c>
      <c r="EE87">
        <v>0</v>
      </c>
      <c r="EF87">
        <v>0</v>
      </c>
      <c r="EG87">
        <v>1</v>
      </c>
      <c r="EH87">
        <v>0</v>
      </c>
      <c r="EI87">
        <v>0</v>
      </c>
      <c r="EJ87">
        <v>0</v>
      </c>
      <c r="EK87">
        <v>0</v>
      </c>
      <c r="EM87">
        <v>0</v>
      </c>
      <c r="EN87">
        <v>0</v>
      </c>
      <c r="EO87">
        <v>0</v>
      </c>
      <c r="EP87">
        <v>1</v>
      </c>
      <c r="EQ87">
        <v>1</v>
      </c>
      <c r="ER87">
        <v>0</v>
      </c>
      <c r="ES87">
        <v>0</v>
      </c>
      <c r="ET87">
        <v>0</v>
      </c>
      <c r="EU87">
        <v>0</v>
      </c>
      <c r="EV87">
        <v>0</v>
      </c>
      <c r="EW87">
        <v>1</v>
      </c>
      <c r="EX87">
        <v>0</v>
      </c>
      <c r="EY87">
        <v>0</v>
      </c>
      <c r="IZ87">
        <v>0</v>
      </c>
      <c r="JA87">
        <v>0</v>
      </c>
      <c r="JB87">
        <v>1</v>
      </c>
      <c r="JC87">
        <v>0</v>
      </c>
      <c r="JD87">
        <v>0</v>
      </c>
      <c r="JE87">
        <v>0</v>
      </c>
      <c r="JF87">
        <v>0</v>
      </c>
      <c r="JG87">
        <v>0</v>
      </c>
      <c r="JH87">
        <v>1</v>
      </c>
      <c r="JI87">
        <v>0</v>
      </c>
      <c r="JJ87">
        <v>0</v>
      </c>
      <c r="JL87">
        <v>1</v>
      </c>
      <c r="JM87" cm="1">
        <f t="array" ref="JM87">IF(OR(JN87:JQ87 &lt;&gt; ""), 1, 0)</f>
        <v>1</v>
      </c>
      <c r="JN87">
        <v>1</v>
      </c>
      <c r="JO87">
        <v>0</v>
      </c>
      <c r="JP87">
        <v>0</v>
      </c>
      <c r="JQ87">
        <v>0</v>
      </c>
    </row>
    <row r="88" spans="1:278" x14ac:dyDescent="0.35">
      <c r="A88">
        <v>363320</v>
      </c>
      <c r="C88">
        <v>1</v>
      </c>
      <c r="D88" t="s">
        <v>646</v>
      </c>
      <c r="E88" t="str">
        <f>_xlfn.XLOOKUP(I88, [1]SchoolDistrictStudyWODuplicates!$K:$K, [1]SchoolDistrictStudyWODuplicates!$E:$E, "")</f>
        <v/>
      </c>
      <c r="G88" t="s">
        <v>647</v>
      </c>
      <c r="H88" s="7">
        <v>2311790</v>
      </c>
      <c r="I88" s="7">
        <v>2311790</v>
      </c>
      <c r="J88" s="5" t="e">
        <f>_xlfn.XLOOKUP(I88,#REF!,#REF!,"Not Determined")</f>
        <v>#REF!</v>
      </c>
      <c r="K88" s="5" t="s">
        <v>1356</v>
      </c>
      <c r="L88" t="s">
        <v>648</v>
      </c>
      <c r="M88" s="13" t="e">
        <f>_xlfn.XLOOKUP(I88,#REF!,#REF!, "No")</f>
        <v>#REF!</v>
      </c>
      <c r="N88" s="5" t="str">
        <f t="shared" si="22"/>
        <v>No</v>
      </c>
      <c r="O88" s="5" t="str">
        <f t="shared" si="23"/>
        <v>No</v>
      </c>
      <c r="P88" s="5" t="str">
        <f t="shared" si="24"/>
        <v>No</v>
      </c>
      <c r="Q88" s="5" t="str">
        <f t="shared" si="25"/>
        <v>No</v>
      </c>
      <c r="R88" s="5" t="str">
        <f t="shared" si="26"/>
        <v>No</v>
      </c>
      <c r="S88" s="5" t="str">
        <f t="shared" si="27"/>
        <v>No</v>
      </c>
      <c r="T88" s="5" t="str">
        <f t="shared" si="28"/>
        <v>No</v>
      </c>
      <c r="U88" s="5" t="str">
        <f t="shared" si="29"/>
        <v>No</v>
      </c>
      <c r="V88" s="5" t="str" cm="1">
        <f t="array" ref="V88">IF(OR(DB88:DG88 =1), "Yes", "No")</f>
        <v>No</v>
      </c>
      <c r="W88" s="5" t="str">
        <f t="shared" si="30"/>
        <v>No</v>
      </c>
      <c r="X88" s="5" t="str">
        <f t="shared" si="31"/>
        <v>No</v>
      </c>
      <c r="Y88" s="5" t="str">
        <f t="shared" si="32"/>
        <v>No</v>
      </c>
      <c r="Z88">
        <v>5</v>
      </c>
      <c r="AB88">
        <v>0</v>
      </c>
      <c r="AC88">
        <v>0</v>
      </c>
      <c r="AD88">
        <v>0</v>
      </c>
      <c r="AE88">
        <v>0</v>
      </c>
      <c r="AF88">
        <v>0</v>
      </c>
      <c r="AG88">
        <v>1</v>
      </c>
      <c r="AH88">
        <v>0</v>
      </c>
      <c r="AI88">
        <v>0</v>
      </c>
      <c r="AJ88">
        <v>0</v>
      </c>
      <c r="AK88">
        <v>1</v>
      </c>
      <c r="JM88" cm="1">
        <f t="array" ref="JM88">IF(OR(JN88:JQ88 &lt;&gt; ""), 1, 0)</f>
        <v>0</v>
      </c>
    </row>
    <row r="89" spans="1:278" x14ac:dyDescent="0.35">
      <c r="A89">
        <v>405239</v>
      </c>
      <c r="C89">
        <v>1</v>
      </c>
      <c r="D89" t="s">
        <v>649</v>
      </c>
      <c r="E89" t="str">
        <f>_xlfn.XLOOKUP(I89, [1]SchoolDistrictStudyWODuplicates!$K:$K, [1]SchoolDistrictStudyWODuplicates!$E:$E, "")</f>
        <v/>
      </c>
      <c r="G89" t="s">
        <v>650</v>
      </c>
      <c r="H89" s="7">
        <v>2314793</v>
      </c>
      <c r="I89" s="7">
        <v>2314793</v>
      </c>
      <c r="J89" s="5" t="e">
        <f>_xlfn.XLOOKUP(I89,#REF!,#REF!,"Not Determined")</f>
        <v>#REF!</v>
      </c>
      <c r="K89" s="5" t="s">
        <v>1356</v>
      </c>
      <c r="L89" t="s">
        <v>648</v>
      </c>
      <c r="M89" s="13" t="e">
        <f>_xlfn.XLOOKUP(I89,#REF!,#REF!, "No")</f>
        <v>#REF!</v>
      </c>
      <c r="N89" s="5" t="str">
        <f t="shared" si="22"/>
        <v>No</v>
      </c>
      <c r="O89" s="5" t="str">
        <f t="shared" si="23"/>
        <v>Yes</v>
      </c>
      <c r="P89" s="5" t="str">
        <f t="shared" si="24"/>
        <v>No</v>
      </c>
      <c r="Q89" s="5" t="str">
        <f t="shared" si="25"/>
        <v>Yes</v>
      </c>
      <c r="R89" s="5" t="str">
        <f t="shared" si="26"/>
        <v>Yes</v>
      </c>
      <c r="S89" s="5" t="str">
        <f t="shared" si="27"/>
        <v>Yes</v>
      </c>
      <c r="T89" s="5" t="str">
        <f t="shared" si="28"/>
        <v>Yes</v>
      </c>
      <c r="U89" s="5" t="str">
        <f t="shared" si="29"/>
        <v>Yes</v>
      </c>
      <c r="V89" s="5" t="str" cm="1">
        <f t="array" ref="V89">IF(OR(DB89:DG89 =1), "Yes", "No")</f>
        <v>No</v>
      </c>
      <c r="W89" s="5" t="str">
        <f t="shared" si="30"/>
        <v>Yes</v>
      </c>
      <c r="X89" s="5" t="str">
        <f t="shared" si="31"/>
        <v>No</v>
      </c>
      <c r="Y89" s="5" t="str">
        <f t="shared" si="32"/>
        <v>No</v>
      </c>
      <c r="Z89">
        <v>3</v>
      </c>
      <c r="AB89">
        <v>1</v>
      </c>
      <c r="AC89">
        <v>0</v>
      </c>
      <c r="AD89">
        <v>1</v>
      </c>
      <c r="AE89">
        <v>0</v>
      </c>
      <c r="AF89">
        <v>0</v>
      </c>
      <c r="AG89">
        <v>0</v>
      </c>
      <c r="AH89">
        <v>0</v>
      </c>
      <c r="AI89">
        <v>0</v>
      </c>
      <c r="AJ89">
        <v>0</v>
      </c>
      <c r="AK89">
        <v>1</v>
      </c>
      <c r="AM89">
        <v>1</v>
      </c>
      <c r="AN89">
        <v>1</v>
      </c>
      <c r="AO89">
        <v>0</v>
      </c>
      <c r="AP89">
        <v>1</v>
      </c>
      <c r="AQ89">
        <v>36</v>
      </c>
      <c r="AS89">
        <v>1</v>
      </c>
      <c r="AT89">
        <v>36</v>
      </c>
      <c r="AV89">
        <v>1</v>
      </c>
      <c r="AW89">
        <v>1</v>
      </c>
      <c r="AX89">
        <v>0</v>
      </c>
      <c r="AY89">
        <v>0</v>
      </c>
      <c r="AZ89">
        <v>0</v>
      </c>
      <c r="BA89">
        <v>0</v>
      </c>
      <c r="BC89">
        <v>4</v>
      </c>
      <c r="BE89">
        <v>1</v>
      </c>
      <c r="BG89">
        <v>1</v>
      </c>
      <c r="BH89">
        <v>1</v>
      </c>
      <c r="BI89">
        <v>4</v>
      </c>
      <c r="BJ89">
        <v>1</v>
      </c>
      <c r="BK89">
        <v>4</v>
      </c>
      <c r="BL89">
        <v>2</v>
      </c>
      <c r="BM89">
        <v>3</v>
      </c>
      <c r="BN89">
        <v>2</v>
      </c>
      <c r="BV89">
        <v>1</v>
      </c>
      <c r="BW89">
        <v>0</v>
      </c>
      <c r="BX89">
        <v>0</v>
      </c>
      <c r="BY89">
        <v>1</v>
      </c>
      <c r="BZ89">
        <v>0</v>
      </c>
      <c r="CA89">
        <v>1</v>
      </c>
      <c r="CB89">
        <v>0</v>
      </c>
      <c r="CC89">
        <v>1</v>
      </c>
      <c r="CD89">
        <v>1</v>
      </c>
      <c r="CE89">
        <v>0</v>
      </c>
      <c r="CF89">
        <v>1</v>
      </c>
      <c r="CG89">
        <v>1</v>
      </c>
      <c r="CH89">
        <v>0</v>
      </c>
      <c r="CI89">
        <v>1</v>
      </c>
      <c r="CJ89">
        <v>0</v>
      </c>
      <c r="CK89">
        <v>0</v>
      </c>
      <c r="CL89">
        <v>0</v>
      </c>
      <c r="CN89">
        <v>8</v>
      </c>
      <c r="CO89">
        <v>3</v>
      </c>
      <c r="CP89" t="s">
        <v>651</v>
      </c>
      <c r="CQ89">
        <v>3</v>
      </c>
      <c r="CR89">
        <v>3</v>
      </c>
      <c r="EB89">
        <v>0</v>
      </c>
      <c r="EC89">
        <v>0</v>
      </c>
      <c r="ED89">
        <v>0</v>
      </c>
      <c r="EE89">
        <v>0</v>
      </c>
      <c r="EF89">
        <v>1</v>
      </c>
      <c r="EG89">
        <v>0</v>
      </c>
      <c r="EH89">
        <v>1</v>
      </c>
      <c r="EI89">
        <v>1</v>
      </c>
      <c r="EJ89">
        <v>0</v>
      </c>
      <c r="EK89">
        <v>0</v>
      </c>
      <c r="EM89">
        <v>0</v>
      </c>
      <c r="EN89">
        <v>0</v>
      </c>
      <c r="EO89">
        <v>0</v>
      </c>
      <c r="EP89">
        <v>1</v>
      </c>
      <c r="EQ89">
        <v>1</v>
      </c>
      <c r="ER89">
        <v>0</v>
      </c>
      <c r="ES89">
        <v>0</v>
      </c>
      <c r="ET89">
        <v>1</v>
      </c>
      <c r="EU89">
        <v>1</v>
      </c>
      <c r="EV89">
        <v>1</v>
      </c>
      <c r="EW89">
        <v>1</v>
      </c>
      <c r="EX89">
        <v>0</v>
      </c>
      <c r="EY89">
        <v>0</v>
      </c>
      <c r="HC89" t="s">
        <v>652</v>
      </c>
      <c r="HD89">
        <v>0</v>
      </c>
      <c r="HE89">
        <v>0</v>
      </c>
      <c r="HF89">
        <v>0</v>
      </c>
      <c r="HG89">
        <v>0</v>
      </c>
      <c r="HH89">
        <v>0</v>
      </c>
      <c r="HI89">
        <v>0</v>
      </c>
      <c r="HJ89">
        <v>0</v>
      </c>
      <c r="HK89">
        <v>0</v>
      </c>
      <c r="HL89">
        <v>0</v>
      </c>
      <c r="HM89">
        <v>0</v>
      </c>
      <c r="HN89">
        <v>0</v>
      </c>
      <c r="HO89">
        <v>0</v>
      </c>
      <c r="HP89">
        <v>0</v>
      </c>
      <c r="HQ89">
        <v>0</v>
      </c>
      <c r="HR89">
        <v>0</v>
      </c>
      <c r="HS89">
        <v>0</v>
      </c>
      <c r="HT89">
        <v>0</v>
      </c>
      <c r="HU89">
        <v>0</v>
      </c>
      <c r="HV89">
        <v>1</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Z89">
        <v>1</v>
      </c>
      <c r="JA89">
        <v>1</v>
      </c>
      <c r="JB89">
        <v>0</v>
      </c>
      <c r="JC89">
        <v>0</v>
      </c>
      <c r="JD89">
        <v>0</v>
      </c>
      <c r="JE89">
        <v>0</v>
      </c>
      <c r="JF89">
        <v>1</v>
      </c>
      <c r="JG89">
        <v>0</v>
      </c>
      <c r="JH89">
        <v>0</v>
      </c>
      <c r="JI89">
        <v>0</v>
      </c>
      <c r="JJ89">
        <v>0</v>
      </c>
      <c r="JL89">
        <v>1</v>
      </c>
      <c r="JM89" cm="1">
        <f t="array" ref="JM89">IF(OR(JN89:JQ89 &lt;&gt; ""), 1, 0)</f>
        <v>1</v>
      </c>
      <c r="JN89">
        <v>0</v>
      </c>
      <c r="JO89">
        <v>1</v>
      </c>
      <c r="JP89">
        <v>0</v>
      </c>
      <c r="JQ89">
        <v>0</v>
      </c>
    </row>
    <row r="90" spans="1:278" x14ac:dyDescent="0.35">
      <c r="A90">
        <v>405345</v>
      </c>
      <c r="C90">
        <v>1</v>
      </c>
      <c r="D90" t="s">
        <v>653</v>
      </c>
      <c r="E90" t="str">
        <f>_xlfn.XLOOKUP(I90, [1]SchoolDistrictStudyWODuplicates!$K:$K, [1]SchoolDistrictStudyWODuplicates!$E:$E, "")</f>
        <v/>
      </c>
      <c r="G90" t="s">
        <v>654</v>
      </c>
      <c r="H90" s="5" t="e">
        <f>_xlfn.XLOOKUP(A90,#REF!,#REF!, "No")</f>
        <v>#REF!</v>
      </c>
      <c r="I90" s="7">
        <v>2400300</v>
      </c>
      <c r="J90" s="5" t="e">
        <f>_xlfn.XLOOKUP(I90,#REF!,#REF!,"Not Determined")</f>
        <v>#REF!</v>
      </c>
      <c r="K90" s="5" t="s">
        <v>665</v>
      </c>
      <c r="L90" t="s">
        <v>655</v>
      </c>
      <c r="M90" s="13" t="e">
        <f>_xlfn.XLOOKUP(I90,#REF!,#REF!, "No")</f>
        <v>#REF!</v>
      </c>
      <c r="N90" s="5" t="str">
        <f t="shared" si="22"/>
        <v>No</v>
      </c>
      <c r="O90" s="5" t="str">
        <f t="shared" si="23"/>
        <v>Yes</v>
      </c>
      <c r="P90" s="5" t="str">
        <f t="shared" si="24"/>
        <v>Yes</v>
      </c>
      <c r="Q90" s="5" t="str">
        <f t="shared" si="25"/>
        <v>Yes</v>
      </c>
      <c r="R90" s="5" t="str">
        <f t="shared" si="26"/>
        <v>Yes</v>
      </c>
      <c r="S90" s="5" t="str">
        <f t="shared" si="27"/>
        <v>Yes</v>
      </c>
      <c r="T90" s="5" t="str">
        <f t="shared" si="28"/>
        <v>Yes</v>
      </c>
      <c r="U90" s="5" t="str">
        <f t="shared" si="29"/>
        <v>Yes</v>
      </c>
      <c r="V90" s="5" t="str" cm="1">
        <f t="array" ref="V90">IF(OR(DB90:DG90 =1), "Yes", "No")</f>
        <v>No</v>
      </c>
      <c r="W90" s="5" t="str">
        <f t="shared" si="30"/>
        <v>Yes</v>
      </c>
      <c r="X90" s="5" t="str">
        <f t="shared" si="31"/>
        <v>No</v>
      </c>
      <c r="Y90" s="5" t="str">
        <f t="shared" si="32"/>
        <v>No</v>
      </c>
      <c r="Z90">
        <v>3</v>
      </c>
      <c r="AB90">
        <v>0</v>
      </c>
      <c r="AC90">
        <v>0</v>
      </c>
      <c r="AD90">
        <v>1</v>
      </c>
      <c r="AE90">
        <v>0</v>
      </c>
      <c r="AF90">
        <v>0</v>
      </c>
      <c r="AG90">
        <v>0</v>
      </c>
      <c r="AH90">
        <v>0</v>
      </c>
      <c r="AI90">
        <v>0</v>
      </c>
      <c r="AJ90">
        <v>0</v>
      </c>
      <c r="AK90">
        <v>1</v>
      </c>
      <c r="AM90">
        <v>1</v>
      </c>
      <c r="AN90">
        <v>1</v>
      </c>
      <c r="AO90">
        <v>1</v>
      </c>
      <c r="AP90">
        <v>1</v>
      </c>
      <c r="AQ90">
        <v>65</v>
      </c>
      <c r="AR90">
        <v>2</v>
      </c>
      <c r="AS90">
        <v>1</v>
      </c>
      <c r="AT90">
        <v>65</v>
      </c>
      <c r="AU90">
        <v>2</v>
      </c>
      <c r="AV90">
        <v>1</v>
      </c>
      <c r="AW90">
        <v>0</v>
      </c>
      <c r="AX90">
        <v>0</v>
      </c>
      <c r="AY90">
        <v>1</v>
      </c>
      <c r="AZ90">
        <v>0</v>
      </c>
      <c r="BA90">
        <v>0</v>
      </c>
      <c r="BC90">
        <v>1</v>
      </c>
      <c r="BE90">
        <v>4</v>
      </c>
      <c r="BG90">
        <v>1</v>
      </c>
      <c r="BH90">
        <v>1</v>
      </c>
      <c r="BI90">
        <v>4</v>
      </c>
      <c r="BJ90">
        <v>1</v>
      </c>
      <c r="BK90">
        <v>5</v>
      </c>
      <c r="BL90">
        <v>1</v>
      </c>
      <c r="BM90">
        <v>1</v>
      </c>
      <c r="BN90">
        <v>1</v>
      </c>
      <c r="BO90">
        <v>0</v>
      </c>
      <c r="BP90">
        <v>0</v>
      </c>
      <c r="BQ90">
        <v>0</v>
      </c>
      <c r="BR90">
        <v>0</v>
      </c>
      <c r="BS90">
        <v>1</v>
      </c>
      <c r="BT90">
        <v>0</v>
      </c>
      <c r="BV90">
        <v>0</v>
      </c>
      <c r="BW90">
        <v>0</v>
      </c>
      <c r="BX90">
        <v>1</v>
      </c>
      <c r="BY90">
        <v>0</v>
      </c>
      <c r="BZ90">
        <v>0</v>
      </c>
      <c r="CA90">
        <v>0</v>
      </c>
      <c r="CB90">
        <v>0</v>
      </c>
      <c r="CC90">
        <v>0</v>
      </c>
      <c r="CD90">
        <v>0</v>
      </c>
      <c r="CE90">
        <v>0</v>
      </c>
      <c r="CF90">
        <v>0</v>
      </c>
      <c r="CG90">
        <v>0</v>
      </c>
      <c r="CH90">
        <v>0</v>
      </c>
      <c r="CI90">
        <v>1</v>
      </c>
      <c r="CJ90">
        <v>0</v>
      </c>
      <c r="CK90">
        <v>0</v>
      </c>
      <c r="CL90">
        <v>0</v>
      </c>
      <c r="CN90">
        <v>1</v>
      </c>
      <c r="CO90">
        <v>4</v>
      </c>
      <c r="CQ90">
        <v>4</v>
      </c>
      <c r="CR90">
        <v>4</v>
      </c>
      <c r="EB90">
        <v>0</v>
      </c>
      <c r="EC90">
        <v>0</v>
      </c>
      <c r="ED90">
        <v>0</v>
      </c>
      <c r="EE90">
        <v>0</v>
      </c>
      <c r="EF90">
        <v>1</v>
      </c>
      <c r="EG90">
        <v>1</v>
      </c>
      <c r="EH90">
        <v>0</v>
      </c>
      <c r="EI90">
        <v>0</v>
      </c>
      <c r="EJ90">
        <v>0</v>
      </c>
      <c r="EK90">
        <v>0</v>
      </c>
      <c r="EM90">
        <v>0</v>
      </c>
      <c r="EN90">
        <v>1</v>
      </c>
      <c r="EO90">
        <v>0</v>
      </c>
      <c r="EP90">
        <v>0</v>
      </c>
      <c r="EQ90">
        <v>0</v>
      </c>
      <c r="ER90">
        <v>0</v>
      </c>
      <c r="ES90">
        <v>0</v>
      </c>
      <c r="ET90">
        <v>0</v>
      </c>
      <c r="EU90">
        <v>0</v>
      </c>
      <c r="EV90">
        <v>0</v>
      </c>
      <c r="EW90">
        <v>0</v>
      </c>
      <c r="EX90">
        <v>0</v>
      </c>
      <c r="EY90">
        <v>0</v>
      </c>
      <c r="FB90" t="s">
        <v>656</v>
      </c>
      <c r="FC90">
        <v>1</v>
      </c>
      <c r="FD90">
        <v>1</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IZ90">
        <v>0</v>
      </c>
      <c r="JA90">
        <v>0</v>
      </c>
      <c r="JB90">
        <v>0</v>
      </c>
      <c r="JC90">
        <v>0</v>
      </c>
      <c r="JD90">
        <v>0</v>
      </c>
      <c r="JE90">
        <v>0</v>
      </c>
      <c r="JF90">
        <v>0</v>
      </c>
      <c r="JG90">
        <v>0</v>
      </c>
      <c r="JH90">
        <v>0</v>
      </c>
      <c r="JI90">
        <v>0</v>
      </c>
      <c r="JJ90">
        <v>1</v>
      </c>
      <c r="JL90">
        <v>1</v>
      </c>
      <c r="JM90" cm="1">
        <f t="array" ref="JM90">IF(OR(JN90:JQ90 &lt;&gt; ""), 1, 0)</f>
        <v>1</v>
      </c>
      <c r="JN90">
        <v>0</v>
      </c>
      <c r="JO90">
        <v>1</v>
      </c>
      <c r="JP90">
        <v>0</v>
      </c>
      <c r="JQ90">
        <v>0</v>
      </c>
    </row>
    <row r="91" spans="1:278" x14ac:dyDescent="0.35">
      <c r="A91">
        <v>405536</v>
      </c>
      <c r="C91">
        <v>1</v>
      </c>
      <c r="D91" t="s">
        <v>657</v>
      </c>
      <c r="E91" t="str">
        <f>_xlfn.XLOOKUP(I91, [1]SchoolDistrictStudyWODuplicates!$K:$K, [1]SchoolDistrictStudyWODuplicates!$E:$E, "")</f>
        <v/>
      </c>
      <c r="G91" t="s">
        <v>658</v>
      </c>
      <c r="H91" s="7">
        <v>2511490</v>
      </c>
      <c r="I91" s="7">
        <v>2511490</v>
      </c>
      <c r="J91" s="5" t="e">
        <f>_xlfn.XLOOKUP(I91,#REF!,#REF!,"Not Determined")</f>
        <v>#REF!</v>
      </c>
      <c r="K91" s="5" t="s">
        <v>637</v>
      </c>
      <c r="L91" t="s">
        <v>659</v>
      </c>
      <c r="M91" s="13" t="e">
        <f>_xlfn.XLOOKUP(I91,#REF!,#REF!, "No")</f>
        <v>#REF!</v>
      </c>
      <c r="N91" s="5" t="str">
        <f t="shared" si="22"/>
        <v>No</v>
      </c>
      <c r="O91" s="5" t="str">
        <f t="shared" si="23"/>
        <v>Yes</v>
      </c>
      <c r="P91" s="5" t="str">
        <f t="shared" si="24"/>
        <v>Yes</v>
      </c>
      <c r="Q91" s="5" t="str">
        <f t="shared" si="25"/>
        <v>Yes</v>
      </c>
      <c r="R91" s="5" t="str">
        <f t="shared" si="26"/>
        <v>Yes</v>
      </c>
      <c r="S91" s="5" t="str">
        <f t="shared" si="27"/>
        <v>Yes</v>
      </c>
      <c r="T91" s="5" t="str">
        <f t="shared" si="28"/>
        <v>Yes</v>
      </c>
      <c r="U91" s="5" t="str">
        <f t="shared" si="29"/>
        <v>Yes</v>
      </c>
      <c r="V91" s="5" t="str" cm="1">
        <f t="array" ref="V91">IF(OR(DB91:DG91 =1), "Yes", "No")</f>
        <v>No</v>
      </c>
      <c r="W91" s="5" t="str">
        <f t="shared" si="30"/>
        <v>Yes</v>
      </c>
      <c r="X91" s="5" t="str">
        <f t="shared" si="31"/>
        <v>No</v>
      </c>
      <c r="Y91" s="5" t="str">
        <f t="shared" si="32"/>
        <v>No</v>
      </c>
      <c r="Z91">
        <v>4</v>
      </c>
      <c r="AB91">
        <v>0</v>
      </c>
      <c r="AC91">
        <v>0</v>
      </c>
      <c r="AD91">
        <v>0</v>
      </c>
      <c r="AE91">
        <v>1</v>
      </c>
      <c r="AF91">
        <v>0</v>
      </c>
      <c r="AG91">
        <v>0</v>
      </c>
      <c r="AH91">
        <v>0</v>
      </c>
      <c r="AI91">
        <v>0</v>
      </c>
      <c r="AJ91">
        <v>0</v>
      </c>
      <c r="AK91">
        <v>1</v>
      </c>
      <c r="AM91">
        <v>1</v>
      </c>
      <c r="AN91">
        <v>1</v>
      </c>
      <c r="AO91">
        <v>0</v>
      </c>
      <c r="AP91">
        <v>8</v>
      </c>
      <c r="AQ91">
        <v>20</v>
      </c>
      <c r="AS91">
        <v>8</v>
      </c>
      <c r="AT91">
        <v>20</v>
      </c>
      <c r="AV91">
        <v>1</v>
      </c>
      <c r="AW91">
        <v>1</v>
      </c>
      <c r="AX91">
        <v>0</v>
      </c>
      <c r="AY91">
        <v>0</v>
      </c>
      <c r="AZ91">
        <v>0</v>
      </c>
      <c r="BA91">
        <v>0</v>
      </c>
      <c r="BC91">
        <v>1</v>
      </c>
      <c r="BE91">
        <v>1</v>
      </c>
      <c r="BG91">
        <v>1</v>
      </c>
      <c r="BH91">
        <v>1</v>
      </c>
      <c r="BI91">
        <v>4</v>
      </c>
      <c r="BJ91">
        <v>1</v>
      </c>
      <c r="BK91">
        <v>5</v>
      </c>
      <c r="BL91">
        <v>1</v>
      </c>
      <c r="BM91">
        <v>1</v>
      </c>
      <c r="BN91">
        <v>2</v>
      </c>
      <c r="BV91">
        <v>1</v>
      </c>
      <c r="BW91">
        <v>0</v>
      </c>
      <c r="BX91">
        <v>1</v>
      </c>
      <c r="BY91">
        <v>1</v>
      </c>
      <c r="BZ91">
        <v>1</v>
      </c>
      <c r="CA91">
        <v>1</v>
      </c>
      <c r="CB91">
        <v>0</v>
      </c>
      <c r="CC91">
        <v>1</v>
      </c>
      <c r="CD91">
        <v>1</v>
      </c>
      <c r="CE91">
        <v>0</v>
      </c>
      <c r="CF91">
        <v>1</v>
      </c>
      <c r="CG91">
        <v>1</v>
      </c>
      <c r="CH91">
        <v>0</v>
      </c>
      <c r="CI91">
        <v>1</v>
      </c>
      <c r="CJ91">
        <v>0</v>
      </c>
      <c r="CK91">
        <v>1</v>
      </c>
      <c r="CL91">
        <v>0</v>
      </c>
      <c r="CN91">
        <v>16</v>
      </c>
      <c r="CO91">
        <v>4</v>
      </c>
      <c r="CQ91">
        <v>3</v>
      </c>
      <c r="CR91">
        <v>3</v>
      </c>
      <c r="EB91">
        <v>1</v>
      </c>
      <c r="EC91">
        <v>0</v>
      </c>
      <c r="ED91">
        <v>1</v>
      </c>
      <c r="EE91">
        <v>0</v>
      </c>
      <c r="EF91">
        <v>1</v>
      </c>
      <c r="EG91">
        <v>1</v>
      </c>
      <c r="EH91">
        <v>0</v>
      </c>
      <c r="EI91">
        <v>0</v>
      </c>
      <c r="EJ91">
        <v>1</v>
      </c>
      <c r="EK91">
        <v>0</v>
      </c>
      <c r="EL91" t="s">
        <v>660</v>
      </c>
      <c r="EM91">
        <v>0</v>
      </c>
      <c r="EN91">
        <v>1</v>
      </c>
      <c r="EO91">
        <v>0</v>
      </c>
      <c r="EP91">
        <v>1</v>
      </c>
      <c r="EQ91">
        <v>1</v>
      </c>
      <c r="ER91">
        <v>0</v>
      </c>
      <c r="ES91">
        <v>0</v>
      </c>
      <c r="ET91">
        <v>1</v>
      </c>
      <c r="EU91">
        <v>1</v>
      </c>
      <c r="EV91">
        <v>1</v>
      </c>
      <c r="EW91">
        <v>1</v>
      </c>
      <c r="EX91">
        <v>0</v>
      </c>
      <c r="EY91">
        <v>0</v>
      </c>
      <c r="FB91" t="s">
        <v>661</v>
      </c>
      <c r="FC91">
        <v>1</v>
      </c>
      <c r="FD91">
        <v>1</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HC91" t="s">
        <v>662</v>
      </c>
      <c r="HD91">
        <v>0</v>
      </c>
      <c r="HE91">
        <v>0</v>
      </c>
      <c r="HF91">
        <v>0</v>
      </c>
      <c r="HG91">
        <v>0</v>
      </c>
      <c r="HH91">
        <v>0</v>
      </c>
      <c r="HI91">
        <v>0</v>
      </c>
      <c r="HJ91">
        <v>0</v>
      </c>
      <c r="HK91">
        <v>0</v>
      </c>
      <c r="HL91">
        <v>0</v>
      </c>
      <c r="HM91">
        <v>0</v>
      </c>
      <c r="HN91">
        <v>0</v>
      </c>
      <c r="HO91">
        <v>0</v>
      </c>
      <c r="HP91">
        <v>0</v>
      </c>
      <c r="HQ91">
        <v>0</v>
      </c>
      <c r="HR91">
        <v>1</v>
      </c>
      <c r="HS91">
        <v>0</v>
      </c>
      <c r="HT91">
        <v>0</v>
      </c>
      <c r="HU91">
        <v>0</v>
      </c>
      <c r="HV91">
        <v>1</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Z91">
        <v>1</v>
      </c>
      <c r="JA91">
        <v>0</v>
      </c>
      <c r="JB91">
        <v>1</v>
      </c>
      <c r="JC91">
        <v>0</v>
      </c>
      <c r="JD91">
        <v>1</v>
      </c>
      <c r="JE91">
        <v>0</v>
      </c>
      <c r="JF91">
        <v>0</v>
      </c>
      <c r="JG91">
        <v>0</v>
      </c>
      <c r="JH91">
        <v>0</v>
      </c>
      <c r="JI91">
        <v>0</v>
      </c>
      <c r="JJ91">
        <v>0</v>
      </c>
      <c r="JL91">
        <v>1</v>
      </c>
      <c r="JM91" cm="1">
        <f t="array" ref="JM91">IF(OR(JN91:JQ91 &lt;&gt; ""), 1, 0)</f>
        <v>1</v>
      </c>
      <c r="JN91">
        <v>0</v>
      </c>
      <c r="JO91">
        <v>1</v>
      </c>
      <c r="JP91">
        <v>0</v>
      </c>
      <c r="JQ91">
        <v>0</v>
      </c>
    </row>
    <row r="92" spans="1:278" x14ac:dyDescent="0.35">
      <c r="A92">
        <v>405218</v>
      </c>
      <c r="C92">
        <v>1</v>
      </c>
      <c r="D92" t="s">
        <v>1182</v>
      </c>
      <c r="E92" t="str">
        <f>_xlfn.XLOOKUP(I92, [1]SchoolDistrictStudyWODuplicates!$K:$K, [1]SchoolDistrictStudyWODuplicates!$E:$E, "")</f>
        <v/>
      </c>
      <c r="G92" t="s">
        <v>1183</v>
      </c>
      <c r="H92" s="5" t="e">
        <f>_xlfn.XLOOKUP(A92,#REF!,#REF!, "No")</f>
        <v>#REF!</v>
      </c>
      <c r="I92" s="7">
        <v>5100600</v>
      </c>
      <c r="J92" s="5" t="e">
        <f>_xlfn.XLOOKUP(I92,#REF!,#REF!,"Not Determined")</f>
        <v>#REF!</v>
      </c>
      <c r="K92" s="5" t="s">
        <v>1167</v>
      </c>
      <c r="L92" t="s">
        <v>1184</v>
      </c>
      <c r="M92" s="13" t="e">
        <f>_xlfn.XLOOKUP(I92,#REF!,#REF!, "No")</f>
        <v>#REF!</v>
      </c>
      <c r="N92" s="5" t="str">
        <f t="shared" si="22"/>
        <v>Yes</v>
      </c>
      <c r="O92" s="5" t="str">
        <f t="shared" si="23"/>
        <v>Yes</v>
      </c>
      <c r="P92" s="5" t="str">
        <f t="shared" si="24"/>
        <v>Yes</v>
      </c>
      <c r="Q92" s="5" t="str">
        <f t="shared" si="25"/>
        <v>No</v>
      </c>
      <c r="R92" s="5" t="str">
        <f t="shared" si="26"/>
        <v>Yes</v>
      </c>
      <c r="S92" s="5" t="str">
        <f t="shared" si="27"/>
        <v>Yes</v>
      </c>
      <c r="T92" s="5" t="str">
        <f t="shared" si="28"/>
        <v>Yes</v>
      </c>
      <c r="U92" s="5" t="str">
        <f t="shared" si="29"/>
        <v>Yes</v>
      </c>
      <c r="V92" s="5" t="str" cm="1">
        <f t="array" ref="V92">IF(OR(DB92:DG92 =1), "Yes", "No")</f>
        <v>Yes</v>
      </c>
      <c r="W92" s="5" t="str">
        <f t="shared" si="30"/>
        <v>No</v>
      </c>
      <c r="X92" s="5" t="str">
        <f t="shared" si="31"/>
        <v>Yes</v>
      </c>
      <c r="Y92" s="5" t="str">
        <f t="shared" si="32"/>
        <v>Yes</v>
      </c>
      <c r="Z92">
        <v>3</v>
      </c>
      <c r="AB92">
        <v>1</v>
      </c>
      <c r="AC92">
        <v>0</v>
      </c>
      <c r="AD92">
        <v>1</v>
      </c>
      <c r="AE92">
        <v>0</v>
      </c>
      <c r="AF92">
        <v>0</v>
      </c>
      <c r="AG92">
        <v>0</v>
      </c>
      <c r="AH92">
        <v>1</v>
      </c>
      <c r="AI92">
        <v>0</v>
      </c>
      <c r="AJ92">
        <v>0</v>
      </c>
      <c r="AK92">
        <v>1</v>
      </c>
      <c r="AM92">
        <v>0</v>
      </c>
      <c r="AN92">
        <v>1</v>
      </c>
      <c r="AO92">
        <v>0</v>
      </c>
      <c r="AQ92">
        <v>138</v>
      </c>
      <c r="AT92">
        <v>138</v>
      </c>
      <c r="AV92">
        <v>1</v>
      </c>
      <c r="AW92">
        <v>1</v>
      </c>
      <c r="AX92">
        <v>0</v>
      </c>
      <c r="AY92">
        <v>0</v>
      </c>
      <c r="AZ92">
        <v>1</v>
      </c>
      <c r="BA92">
        <v>0</v>
      </c>
      <c r="BC92">
        <v>1</v>
      </c>
      <c r="BE92">
        <v>1</v>
      </c>
      <c r="BG92">
        <v>2</v>
      </c>
      <c r="BJ92">
        <v>2</v>
      </c>
      <c r="BL92">
        <v>2</v>
      </c>
      <c r="BM92">
        <v>1</v>
      </c>
      <c r="CQ92">
        <v>3</v>
      </c>
      <c r="CR92">
        <v>4</v>
      </c>
      <c r="CS92">
        <v>0</v>
      </c>
      <c r="CT92">
        <v>1</v>
      </c>
      <c r="CU92">
        <v>0</v>
      </c>
      <c r="CV92">
        <v>0</v>
      </c>
      <c r="CW92">
        <v>0</v>
      </c>
      <c r="CX92">
        <v>0</v>
      </c>
      <c r="CY92">
        <v>0</v>
      </c>
      <c r="CZ92">
        <v>0</v>
      </c>
      <c r="DA92">
        <v>0</v>
      </c>
      <c r="DB92">
        <v>1</v>
      </c>
      <c r="DC92">
        <v>0</v>
      </c>
      <c r="DD92">
        <v>1</v>
      </c>
      <c r="DE92">
        <v>1</v>
      </c>
      <c r="DF92">
        <v>0</v>
      </c>
      <c r="DG92">
        <v>0</v>
      </c>
      <c r="DH92">
        <v>0</v>
      </c>
      <c r="DJ92" t="s">
        <v>1185</v>
      </c>
      <c r="DK92">
        <v>2</v>
      </c>
      <c r="DL92">
        <v>1</v>
      </c>
      <c r="DN92">
        <v>1</v>
      </c>
      <c r="DP92">
        <v>1</v>
      </c>
      <c r="DR92" t="s">
        <v>1186</v>
      </c>
      <c r="DS92">
        <v>2</v>
      </c>
      <c r="DW92" t="s">
        <v>1187</v>
      </c>
      <c r="DX92">
        <v>2</v>
      </c>
      <c r="DZ92">
        <v>4</v>
      </c>
      <c r="EB92">
        <v>0</v>
      </c>
      <c r="EC92">
        <v>1</v>
      </c>
      <c r="ED92">
        <v>1</v>
      </c>
      <c r="EE92">
        <v>0</v>
      </c>
      <c r="EF92">
        <v>1</v>
      </c>
      <c r="EG92">
        <v>1</v>
      </c>
      <c r="EH92">
        <v>0</v>
      </c>
      <c r="EI92">
        <v>0</v>
      </c>
      <c r="EJ92">
        <v>0</v>
      </c>
      <c r="EK92">
        <v>0</v>
      </c>
      <c r="EM92">
        <v>0</v>
      </c>
      <c r="EN92">
        <v>1</v>
      </c>
      <c r="EO92">
        <v>0</v>
      </c>
      <c r="EP92">
        <v>1</v>
      </c>
      <c r="EQ92">
        <v>1</v>
      </c>
      <c r="ER92">
        <v>0</v>
      </c>
      <c r="ES92">
        <v>0</v>
      </c>
      <c r="ET92">
        <v>0</v>
      </c>
      <c r="EU92">
        <v>0</v>
      </c>
      <c r="EV92">
        <v>1</v>
      </c>
      <c r="EW92">
        <v>1</v>
      </c>
      <c r="EX92">
        <v>0</v>
      </c>
      <c r="EY92">
        <v>0</v>
      </c>
      <c r="FB92" t="s">
        <v>1188</v>
      </c>
      <c r="FC92">
        <v>1</v>
      </c>
      <c r="FD92">
        <v>1</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HC92" t="s">
        <v>1189</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0</v>
      </c>
      <c r="IM92">
        <v>0</v>
      </c>
      <c r="IN92">
        <v>0</v>
      </c>
      <c r="IO92">
        <v>0</v>
      </c>
      <c r="IP92">
        <v>0</v>
      </c>
      <c r="IQ92">
        <v>0</v>
      </c>
      <c r="IR92">
        <v>0</v>
      </c>
      <c r="IS92">
        <v>0</v>
      </c>
      <c r="IT92">
        <v>1</v>
      </c>
      <c r="IU92">
        <v>0</v>
      </c>
      <c r="IV92">
        <v>0</v>
      </c>
      <c r="IW92">
        <v>0</v>
      </c>
      <c r="IZ92">
        <v>1</v>
      </c>
      <c r="JA92">
        <v>0</v>
      </c>
      <c r="JB92">
        <v>1</v>
      </c>
      <c r="JC92">
        <v>0</v>
      </c>
      <c r="JD92">
        <v>0</v>
      </c>
      <c r="JE92">
        <v>0</v>
      </c>
      <c r="JF92">
        <v>0</v>
      </c>
      <c r="JG92">
        <v>0</v>
      </c>
      <c r="JH92">
        <v>0</v>
      </c>
      <c r="JI92">
        <v>0</v>
      </c>
      <c r="JJ92">
        <v>0</v>
      </c>
      <c r="JL92">
        <v>2</v>
      </c>
      <c r="JM92" cm="1">
        <f t="array" ref="JM92">IF(OR(JN92:JQ92 &lt;&gt; ""), 1, 0)</f>
        <v>0</v>
      </c>
    </row>
    <row r="93" spans="1:278" x14ac:dyDescent="0.35">
      <c r="A93">
        <v>396993</v>
      </c>
      <c r="C93">
        <v>1</v>
      </c>
      <c r="D93" t="s">
        <v>666</v>
      </c>
      <c r="E93" t="str">
        <f>_xlfn.XLOOKUP(I93, [1]SchoolDistrictStudyWODuplicates!$K:$K, [1]SchoolDistrictStudyWODuplicates!$E:$E, "")</f>
        <v/>
      </c>
      <c r="G93" t="s">
        <v>667</v>
      </c>
      <c r="H93" s="5" t="e">
        <f>_xlfn.XLOOKUP(A93,#REF!,#REF!, "No")</f>
        <v>#REF!</v>
      </c>
      <c r="I93" s="7">
        <v>2605430</v>
      </c>
      <c r="J93" s="5" t="e">
        <f>_xlfn.XLOOKUP(I93,#REF!,#REF!,"Not Determined")</f>
        <v>#REF!</v>
      </c>
      <c r="K93" s="5" t="s">
        <v>668</v>
      </c>
      <c r="L93" t="s">
        <v>668</v>
      </c>
      <c r="M93" s="13" t="e">
        <f>_xlfn.XLOOKUP(I93,#REF!,#REF!, "No")</f>
        <v>#REF!</v>
      </c>
      <c r="N93" s="5" t="str">
        <f t="shared" si="22"/>
        <v>No</v>
      </c>
      <c r="O93" s="5" t="str">
        <f t="shared" si="23"/>
        <v>Yes</v>
      </c>
      <c r="P93" s="5" t="str">
        <f t="shared" si="24"/>
        <v>Yes</v>
      </c>
      <c r="Q93" s="5" t="str">
        <f t="shared" si="25"/>
        <v>Yes</v>
      </c>
      <c r="R93" s="5" t="str">
        <f t="shared" si="26"/>
        <v>Yes</v>
      </c>
      <c r="S93" s="5" t="str">
        <f t="shared" si="27"/>
        <v>Yes</v>
      </c>
      <c r="T93" s="5" t="str">
        <f t="shared" si="28"/>
        <v>Yes</v>
      </c>
      <c r="U93" s="5" t="str">
        <f t="shared" si="29"/>
        <v>No</v>
      </c>
      <c r="V93" s="5" t="str" cm="1">
        <f t="array" ref="V93">IF(OR(DB93:DG93 =1), "Yes", "No")</f>
        <v>No</v>
      </c>
      <c r="W93" s="5" t="str">
        <f t="shared" si="30"/>
        <v>Yes</v>
      </c>
      <c r="X93" s="5" t="str">
        <f t="shared" si="31"/>
        <v>No</v>
      </c>
      <c r="Y93" s="5" t="str">
        <f t="shared" si="32"/>
        <v>No</v>
      </c>
      <c r="Z93">
        <v>3</v>
      </c>
      <c r="AB93">
        <v>1</v>
      </c>
      <c r="AC93">
        <v>0</v>
      </c>
      <c r="AD93">
        <v>1</v>
      </c>
      <c r="AE93">
        <v>0</v>
      </c>
      <c r="AF93">
        <v>0</v>
      </c>
      <c r="AG93">
        <v>1</v>
      </c>
      <c r="AH93">
        <v>0</v>
      </c>
      <c r="AI93">
        <v>0</v>
      </c>
      <c r="AJ93">
        <v>0</v>
      </c>
      <c r="AK93">
        <v>1</v>
      </c>
      <c r="AM93">
        <v>1</v>
      </c>
      <c r="AN93">
        <v>1</v>
      </c>
      <c r="AO93">
        <v>1</v>
      </c>
      <c r="AP93">
        <v>2</v>
      </c>
      <c r="AQ93">
        <v>5</v>
      </c>
      <c r="AR93">
        <v>15</v>
      </c>
      <c r="AS93">
        <v>2</v>
      </c>
      <c r="AT93">
        <v>5</v>
      </c>
      <c r="AU93">
        <v>15</v>
      </c>
      <c r="AV93">
        <v>1</v>
      </c>
      <c r="AW93">
        <v>0</v>
      </c>
      <c r="AX93">
        <v>0</v>
      </c>
      <c r="AY93">
        <v>1</v>
      </c>
      <c r="AZ93">
        <v>0</v>
      </c>
      <c r="BA93">
        <v>0</v>
      </c>
      <c r="BC93">
        <v>1</v>
      </c>
      <c r="BE93">
        <v>1</v>
      </c>
      <c r="BG93">
        <v>1</v>
      </c>
      <c r="BH93">
        <v>1</v>
      </c>
      <c r="BI93">
        <v>4</v>
      </c>
      <c r="BJ93">
        <v>2</v>
      </c>
      <c r="BL93">
        <v>2</v>
      </c>
      <c r="BM93">
        <v>1</v>
      </c>
      <c r="BN93">
        <v>1</v>
      </c>
      <c r="BO93">
        <v>1</v>
      </c>
      <c r="BP93">
        <v>0</v>
      </c>
      <c r="BQ93">
        <v>0</v>
      </c>
      <c r="BR93">
        <v>0</v>
      </c>
      <c r="BS93">
        <v>0</v>
      </c>
      <c r="BT93">
        <v>0</v>
      </c>
      <c r="BV93">
        <v>0</v>
      </c>
      <c r="BW93">
        <v>0</v>
      </c>
      <c r="BX93">
        <v>0</v>
      </c>
      <c r="BY93">
        <v>0</v>
      </c>
      <c r="BZ93">
        <v>0</v>
      </c>
      <c r="CA93">
        <v>0</v>
      </c>
      <c r="CB93">
        <v>0</v>
      </c>
      <c r="CC93">
        <v>0</v>
      </c>
      <c r="CD93">
        <v>1</v>
      </c>
      <c r="CE93">
        <v>0</v>
      </c>
      <c r="CF93">
        <v>0</v>
      </c>
      <c r="CG93">
        <v>0</v>
      </c>
      <c r="CH93">
        <v>0</v>
      </c>
      <c r="CI93">
        <v>0</v>
      </c>
      <c r="CJ93">
        <v>0</v>
      </c>
      <c r="CK93">
        <v>0</v>
      </c>
      <c r="CL93">
        <v>0</v>
      </c>
      <c r="CN93">
        <v>9</v>
      </c>
      <c r="CO93">
        <v>1</v>
      </c>
      <c r="CP93" t="s">
        <v>669</v>
      </c>
      <c r="CQ93">
        <v>5</v>
      </c>
      <c r="CR93">
        <v>1</v>
      </c>
      <c r="EB93">
        <v>0</v>
      </c>
      <c r="EC93">
        <v>0</v>
      </c>
      <c r="ED93">
        <v>1</v>
      </c>
      <c r="EE93">
        <v>1</v>
      </c>
      <c r="EF93">
        <v>0</v>
      </c>
      <c r="EG93">
        <v>0</v>
      </c>
      <c r="EH93">
        <v>0</v>
      </c>
      <c r="EI93">
        <v>0</v>
      </c>
      <c r="EJ93">
        <v>0</v>
      </c>
      <c r="EK93">
        <v>0</v>
      </c>
      <c r="EM93">
        <v>0</v>
      </c>
      <c r="EN93">
        <v>1</v>
      </c>
      <c r="EO93">
        <v>1</v>
      </c>
      <c r="EP93">
        <v>1</v>
      </c>
      <c r="EQ93">
        <v>0</v>
      </c>
      <c r="ER93">
        <v>0</v>
      </c>
      <c r="ES93">
        <v>0</v>
      </c>
      <c r="ET93">
        <v>0</v>
      </c>
      <c r="EU93">
        <v>0</v>
      </c>
      <c r="EV93">
        <v>0</v>
      </c>
      <c r="EW93">
        <v>0</v>
      </c>
      <c r="EX93">
        <v>0</v>
      </c>
      <c r="EY93">
        <v>0</v>
      </c>
      <c r="FB93" t="s">
        <v>274</v>
      </c>
      <c r="FC93">
        <v>1</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t="s">
        <v>670</v>
      </c>
      <c r="FZ93">
        <v>0</v>
      </c>
      <c r="GA93">
        <v>0</v>
      </c>
      <c r="GB93">
        <v>0</v>
      </c>
      <c r="GC93">
        <v>0</v>
      </c>
      <c r="GD93">
        <v>0</v>
      </c>
      <c r="GE93">
        <v>0</v>
      </c>
      <c r="GF93">
        <v>0</v>
      </c>
      <c r="GG93">
        <v>0</v>
      </c>
      <c r="GH93">
        <v>0</v>
      </c>
      <c r="GI93">
        <v>0</v>
      </c>
      <c r="GJ93">
        <v>0</v>
      </c>
      <c r="GK93">
        <v>0</v>
      </c>
      <c r="GL93">
        <v>0</v>
      </c>
      <c r="GM93">
        <v>0</v>
      </c>
      <c r="GN93">
        <v>0</v>
      </c>
      <c r="GO93">
        <v>0</v>
      </c>
      <c r="GP93">
        <v>0</v>
      </c>
      <c r="GQ93">
        <v>1</v>
      </c>
      <c r="GR93">
        <v>0</v>
      </c>
      <c r="IZ93">
        <v>1</v>
      </c>
      <c r="JA93">
        <v>0</v>
      </c>
      <c r="JB93">
        <v>0</v>
      </c>
      <c r="JC93">
        <v>0</v>
      </c>
      <c r="JD93">
        <v>0</v>
      </c>
      <c r="JE93">
        <v>0</v>
      </c>
      <c r="JF93">
        <v>0</v>
      </c>
      <c r="JG93">
        <v>0</v>
      </c>
      <c r="JH93">
        <v>0</v>
      </c>
      <c r="JI93">
        <v>0</v>
      </c>
      <c r="JJ93">
        <v>0</v>
      </c>
      <c r="JL93">
        <v>1</v>
      </c>
      <c r="JM93" cm="1">
        <f t="array" ref="JM93">IF(OR(JN93:JQ93 &lt;&gt; ""), 1, 0)</f>
        <v>1</v>
      </c>
      <c r="JN93">
        <v>1</v>
      </c>
      <c r="JO93">
        <v>1</v>
      </c>
      <c r="JP93">
        <v>1</v>
      </c>
      <c r="JQ93">
        <v>0</v>
      </c>
    </row>
    <row r="94" spans="1:278" x14ac:dyDescent="0.35">
      <c r="A94">
        <v>405333</v>
      </c>
      <c r="C94">
        <v>1</v>
      </c>
      <c r="D94" t="s">
        <v>671</v>
      </c>
      <c r="E94" t="str">
        <f>_xlfn.XLOOKUP(I94, [1]SchoolDistrictStudyWODuplicates!$K:$K, [1]SchoolDistrictStudyWODuplicates!$E:$E, "")</f>
        <v/>
      </c>
      <c r="G94" t="s">
        <v>672</v>
      </c>
      <c r="H94" s="5" t="e">
        <f>_xlfn.XLOOKUP(A94,#REF!,#REF!, "No")</f>
        <v>#REF!</v>
      </c>
      <c r="I94" s="7">
        <v>2607620</v>
      </c>
      <c r="J94" s="5" t="e">
        <f>_xlfn.XLOOKUP(I94,#REF!,#REF!,"Not Determined")</f>
        <v>#REF!</v>
      </c>
      <c r="K94" s="5" t="s">
        <v>668</v>
      </c>
      <c r="L94" t="s">
        <v>668</v>
      </c>
      <c r="M94" s="13" t="e">
        <f>_xlfn.XLOOKUP(I94,#REF!,#REF!, "No")</f>
        <v>#REF!</v>
      </c>
      <c r="N94" s="5" t="str">
        <f t="shared" si="22"/>
        <v>No</v>
      </c>
      <c r="O94" s="5" t="str">
        <f t="shared" si="23"/>
        <v>Yes</v>
      </c>
      <c r="P94" s="5" t="str">
        <f t="shared" si="24"/>
        <v>Yes</v>
      </c>
      <c r="Q94" s="5" t="str">
        <f t="shared" si="25"/>
        <v>Yes</v>
      </c>
      <c r="R94" s="5" t="str">
        <f t="shared" si="26"/>
        <v>Yes</v>
      </c>
      <c r="S94" s="5" t="str">
        <f t="shared" si="27"/>
        <v>Yes</v>
      </c>
      <c r="T94" s="5" t="str">
        <f t="shared" si="28"/>
        <v>Yes</v>
      </c>
      <c r="U94" s="5" t="str">
        <f t="shared" si="29"/>
        <v>Yes</v>
      </c>
      <c r="V94" s="5" t="str" cm="1">
        <f t="array" ref="V94">IF(OR(DB94:DG94 =1), "Yes", "No")</f>
        <v>No</v>
      </c>
      <c r="W94" s="5" t="str">
        <f t="shared" si="30"/>
        <v>No</v>
      </c>
      <c r="X94" s="5" t="str">
        <f t="shared" si="31"/>
        <v>No</v>
      </c>
      <c r="Y94" s="5" t="str">
        <f t="shared" si="32"/>
        <v>No</v>
      </c>
      <c r="Z94">
        <v>13</v>
      </c>
      <c r="AB94">
        <v>0</v>
      </c>
      <c r="AC94">
        <v>0</v>
      </c>
      <c r="AD94">
        <v>1</v>
      </c>
      <c r="AE94">
        <v>1</v>
      </c>
      <c r="AF94">
        <v>0</v>
      </c>
      <c r="AG94">
        <v>1</v>
      </c>
      <c r="AH94">
        <v>1</v>
      </c>
      <c r="AI94">
        <v>0</v>
      </c>
      <c r="AJ94">
        <v>0</v>
      </c>
      <c r="AK94">
        <v>1</v>
      </c>
      <c r="AM94">
        <v>1</v>
      </c>
      <c r="AN94">
        <v>1</v>
      </c>
      <c r="AO94">
        <v>0</v>
      </c>
      <c r="AP94">
        <v>6</v>
      </c>
      <c r="AQ94">
        <v>7</v>
      </c>
      <c r="AS94">
        <v>6</v>
      </c>
      <c r="AT94">
        <v>7</v>
      </c>
      <c r="AV94">
        <v>1</v>
      </c>
      <c r="AW94">
        <v>1</v>
      </c>
      <c r="AX94">
        <v>0</v>
      </c>
      <c r="AY94">
        <v>0</v>
      </c>
      <c r="AZ94">
        <v>0</v>
      </c>
      <c r="BA94">
        <v>0</v>
      </c>
      <c r="BC94">
        <v>1</v>
      </c>
      <c r="BE94">
        <v>1</v>
      </c>
      <c r="BG94">
        <v>1</v>
      </c>
      <c r="BH94">
        <v>1</v>
      </c>
      <c r="BI94">
        <v>4</v>
      </c>
      <c r="BJ94">
        <v>1</v>
      </c>
      <c r="BK94">
        <v>5</v>
      </c>
      <c r="BL94">
        <v>1</v>
      </c>
      <c r="BM94">
        <v>1</v>
      </c>
      <c r="BN94">
        <v>2</v>
      </c>
      <c r="BV94">
        <v>0</v>
      </c>
      <c r="BW94">
        <v>0</v>
      </c>
      <c r="BX94">
        <v>0</v>
      </c>
      <c r="BY94">
        <v>0</v>
      </c>
      <c r="BZ94">
        <v>1</v>
      </c>
      <c r="CA94">
        <v>0</v>
      </c>
      <c r="CB94">
        <v>0</v>
      </c>
      <c r="CC94">
        <v>0</v>
      </c>
      <c r="CD94">
        <v>1</v>
      </c>
      <c r="CE94">
        <v>0</v>
      </c>
      <c r="CF94">
        <v>0</v>
      </c>
      <c r="CG94">
        <v>0</v>
      </c>
      <c r="CH94">
        <v>0</v>
      </c>
      <c r="CI94">
        <v>1</v>
      </c>
      <c r="CJ94">
        <v>0</v>
      </c>
      <c r="CK94">
        <v>0</v>
      </c>
      <c r="CL94">
        <v>0</v>
      </c>
      <c r="CN94">
        <v>3</v>
      </c>
      <c r="CO94">
        <v>4</v>
      </c>
      <c r="CQ94">
        <v>5</v>
      </c>
      <c r="CR94">
        <v>5</v>
      </c>
      <c r="EB94">
        <v>1</v>
      </c>
      <c r="EC94">
        <v>1</v>
      </c>
      <c r="ED94">
        <v>1</v>
      </c>
      <c r="EE94">
        <v>1</v>
      </c>
      <c r="EF94">
        <v>1</v>
      </c>
      <c r="EG94">
        <v>1</v>
      </c>
      <c r="EH94">
        <v>1</v>
      </c>
      <c r="EI94">
        <v>1</v>
      </c>
      <c r="EJ94">
        <v>0</v>
      </c>
      <c r="EK94">
        <v>0</v>
      </c>
      <c r="EM94">
        <v>0</v>
      </c>
      <c r="EN94">
        <v>0</v>
      </c>
      <c r="EO94">
        <v>0</v>
      </c>
      <c r="EP94">
        <v>0</v>
      </c>
      <c r="EQ94">
        <v>0</v>
      </c>
      <c r="ER94">
        <v>1</v>
      </c>
      <c r="ES94">
        <v>0</v>
      </c>
      <c r="ET94">
        <v>0</v>
      </c>
      <c r="EU94">
        <v>1</v>
      </c>
      <c r="EV94">
        <v>0</v>
      </c>
      <c r="EW94">
        <v>0</v>
      </c>
      <c r="EX94">
        <v>0</v>
      </c>
      <c r="EY94">
        <v>0</v>
      </c>
      <c r="IZ94">
        <v>1</v>
      </c>
      <c r="JA94">
        <v>0</v>
      </c>
      <c r="JB94">
        <v>1</v>
      </c>
      <c r="JC94">
        <v>0</v>
      </c>
      <c r="JD94">
        <v>0</v>
      </c>
      <c r="JE94">
        <v>0</v>
      </c>
      <c r="JF94">
        <v>0</v>
      </c>
      <c r="JG94">
        <v>0</v>
      </c>
      <c r="JH94">
        <v>0</v>
      </c>
      <c r="JI94">
        <v>0</v>
      </c>
      <c r="JJ94">
        <v>0</v>
      </c>
      <c r="JL94">
        <v>2</v>
      </c>
      <c r="JM94" cm="1">
        <f t="array" ref="JM94">IF(OR(JN94:JQ94 &lt;&gt; ""), 1, 0)</f>
        <v>0</v>
      </c>
    </row>
    <row r="95" spans="1:278" x14ac:dyDescent="0.35">
      <c r="A95">
        <v>370091</v>
      </c>
      <c r="C95">
        <v>1</v>
      </c>
      <c r="D95" t="s">
        <v>676</v>
      </c>
      <c r="E95" t="str">
        <f>_xlfn.XLOOKUP(I95, [1]SchoolDistrictStudyWODuplicates!$K:$K, [1]SchoolDistrictStudyWODuplicates!$E:$E, "")</f>
        <v/>
      </c>
      <c r="G95" t="s">
        <v>677</v>
      </c>
      <c r="H95" s="5" t="e">
        <f>_xlfn.XLOOKUP(A95,#REF!,#REF!, "No")</f>
        <v>#REF!</v>
      </c>
      <c r="I95" s="7">
        <v>2619580</v>
      </c>
      <c r="J95" s="5" t="e">
        <f>_xlfn.XLOOKUP(I95,#REF!,#REF!,"Not Determined")</f>
        <v>#REF!</v>
      </c>
      <c r="K95" s="5" t="s">
        <v>668</v>
      </c>
      <c r="L95" t="s">
        <v>678</v>
      </c>
      <c r="M95" s="13" t="e">
        <f>_xlfn.XLOOKUP(I95,#REF!,#REF!, "No")</f>
        <v>#REF!</v>
      </c>
      <c r="N95" s="5" t="str">
        <f t="shared" si="22"/>
        <v>No</v>
      </c>
      <c r="O95" s="5" t="str">
        <f t="shared" si="23"/>
        <v>Yes</v>
      </c>
      <c r="P95" s="5" t="str">
        <f t="shared" si="24"/>
        <v>Yes</v>
      </c>
      <c r="Q95" s="5" t="str">
        <f t="shared" si="25"/>
        <v>Yes</v>
      </c>
      <c r="R95" s="5" t="str">
        <f t="shared" si="26"/>
        <v>Yes</v>
      </c>
      <c r="S95" s="5" t="str">
        <f t="shared" si="27"/>
        <v>Yes</v>
      </c>
      <c r="T95" s="5" t="str">
        <f t="shared" si="28"/>
        <v>Yes</v>
      </c>
      <c r="U95" s="5" t="str">
        <f t="shared" si="29"/>
        <v>Yes</v>
      </c>
      <c r="V95" s="5" t="str" cm="1">
        <f t="array" ref="V95">IF(OR(DB95:DG95 =1), "Yes", "No")</f>
        <v>No</v>
      </c>
      <c r="W95" s="5" t="str">
        <f t="shared" si="30"/>
        <v>Yes</v>
      </c>
      <c r="X95" s="5" t="str">
        <f t="shared" si="31"/>
        <v>No</v>
      </c>
      <c r="Y95" s="5" t="str">
        <f t="shared" si="32"/>
        <v>No</v>
      </c>
      <c r="Z95">
        <v>3</v>
      </c>
      <c r="AB95">
        <v>0</v>
      </c>
      <c r="AC95">
        <v>0</v>
      </c>
      <c r="AD95">
        <v>1</v>
      </c>
      <c r="AE95">
        <v>0</v>
      </c>
      <c r="AF95">
        <v>0</v>
      </c>
      <c r="AG95">
        <v>0</v>
      </c>
      <c r="AH95">
        <v>0</v>
      </c>
      <c r="AI95">
        <v>0</v>
      </c>
      <c r="AJ95">
        <v>0</v>
      </c>
      <c r="AK95">
        <v>1</v>
      </c>
      <c r="AM95">
        <v>0</v>
      </c>
      <c r="AN95">
        <v>1</v>
      </c>
      <c r="AO95">
        <v>0</v>
      </c>
      <c r="AQ95">
        <v>16</v>
      </c>
      <c r="AT95">
        <v>16</v>
      </c>
      <c r="AV95">
        <v>1</v>
      </c>
      <c r="AW95">
        <v>1</v>
      </c>
      <c r="AX95">
        <v>0</v>
      </c>
      <c r="AY95">
        <v>0</v>
      </c>
      <c r="AZ95">
        <v>0</v>
      </c>
      <c r="BA95">
        <v>0</v>
      </c>
      <c r="BC95">
        <v>1</v>
      </c>
      <c r="BE95">
        <v>1</v>
      </c>
      <c r="BG95">
        <v>1</v>
      </c>
      <c r="BH95">
        <v>1</v>
      </c>
      <c r="BI95">
        <v>4</v>
      </c>
      <c r="BJ95">
        <v>1</v>
      </c>
      <c r="BK95">
        <v>4</v>
      </c>
      <c r="BL95">
        <v>2</v>
      </c>
      <c r="BM95">
        <v>1</v>
      </c>
      <c r="BN95">
        <v>1</v>
      </c>
      <c r="BO95">
        <v>1</v>
      </c>
      <c r="BP95">
        <v>0</v>
      </c>
      <c r="BQ95">
        <v>0</v>
      </c>
      <c r="BR95">
        <v>0</v>
      </c>
      <c r="BS95">
        <v>0</v>
      </c>
      <c r="BT95">
        <v>0</v>
      </c>
      <c r="BV95">
        <v>0</v>
      </c>
      <c r="BW95">
        <v>0</v>
      </c>
      <c r="BX95">
        <v>0</v>
      </c>
      <c r="BY95">
        <v>0</v>
      </c>
      <c r="BZ95">
        <v>1</v>
      </c>
      <c r="CA95">
        <v>0</v>
      </c>
      <c r="CB95">
        <v>0</v>
      </c>
      <c r="CC95">
        <v>0</v>
      </c>
      <c r="CD95">
        <v>0</v>
      </c>
      <c r="CE95">
        <v>0</v>
      </c>
      <c r="CF95">
        <v>0</v>
      </c>
      <c r="CG95">
        <v>0</v>
      </c>
      <c r="CH95">
        <v>0</v>
      </c>
      <c r="CI95">
        <v>0</v>
      </c>
      <c r="CJ95">
        <v>0</v>
      </c>
      <c r="CK95">
        <v>0</v>
      </c>
      <c r="CL95">
        <v>0</v>
      </c>
      <c r="CN95">
        <v>5</v>
      </c>
      <c r="CO95">
        <v>4</v>
      </c>
      <c r="CQ95">
        <v>4</v>
      </c>
      <c r="CR95">
        <v>4</v>
      </c>
      <c r="EB95">
        <v>0</v>
      </c>
      <c r="EC95">
        <v>0</v>
      </c>
      <c r="ED95">
        <v>0</v>
      </c>
      <c r="EE95">
        <v>1</v>
      </c>
      <c r="EF95">
        <v>1</v>
      </c>
      <c r="EG95">
        <v>0</v>
      </c>
      <c r="EH95">
        <v>0</v>
      </c>
      <c r="EI95">
        <v>0</v>
      </c>
      <c r="EJ95">
        <v>0</v>
      </c>
      <c r="EK95">
        <v>0</v>
      </c>
      <c r="EM95">
        <v>0</v>
      </c>
      <c r="EN95">
        <v>0</v>
      </c>
      <c r="EO95">
        <v>0</v>
      </c>
      <c r="EP95">
        <v>0</v>
      </c>
      <c r="EQ95">
        <v>0</v>
      </c>
      <c r="ER95">
        <v>0</v>
      </c>
      <c r="ES95">
        <v>0</v>
      </c>
      <c r="ET95">
        <v>0</v>
      </c>
      <c r="EU95">
        <v>0</v>
      </c>
      <c r="EV95">
        <v>0</v>
      </c>
      <c r="EW95">
        <v>1</v>
      </c>
      <c r="EX95">
        <v>0</v>
      </c>
      <c r="EY95">
        <v>0</v>
      </c>
      <c r="IZ95">
        <v>1</v>
      </c>
      <c r="JA95">
        <v>1</v>
      </c>
      <c r="JB95">
        <v>1</v>
      </c>
      <c r="JC95">
        <v>0</v>
      </c>
      <c r="JD95">
        <v>0</v>
      </c>
      <c r="JE95">
        <v>0</v>
      </c>
      <c r="JF95">
        <v>0</v>
      </c>
      <c r="JG95">
        <v>0</v>
      </c>
      <c r="JH95">
        <v>0</v>
      </c>
      <c r="JI95">
        <v>0</v>
      </c>
      <c r="JJ95">
        <v>0</v>
      </c>
      <c r="JL95">
        <v>1</v>
      </c>
      <c r="JM95" cm="1">
        <f t="array" ref="JM95">IF(OR(JN95:JQ95 &lt;&gt; ""), 1, 0)</f>
        <v>1</v>
      </c>
      <c r="JN95">
        <v>1</v>
      </c>
      <c r="JO95">
        <v>1</v>
      </c>
      <c r="JP95">
        <v>0</v>
      </c>
      <c r="JQ95">
        <v>0</v>
      </c>
    </row>
    <row r="96" spans="1:278" x14ac:dyDescent="0.35">
      <c r="A96">
        <v>405384</v>
      </c>
      <c r="C96">
        <v>1</v>
      </c>
      <c r="D96" t="s">
        <v>679</v>
      </c>
      <c r="E96" t="str">
        <f>_xlfn.XLOOKUP(I96, [1]SchoolDistrictStudyWODuplicates!$K:$K, [1]SchoolDistrictStudyWODuplicates!$E:$E, "")</f>
        <v/>
      </c>
      <c r="G96" t="s">
        <v>680</v>
      </c>
      <c r="H96" s="7">
        <v>2621570</v>
      </c>
      <c r="I96" s="7">
        <v>2621570</v>
      </c>
      <c r="J96" s="5" t="e">
        <f>_xlfn.XLOOKUP(I96,#REF!,#REF!,"Not Determined")</f>
        <v>#REF!</v>
      </c>
      <c r="K96" s="5" t="s">
        <v>668</v>
      </c>
      <c r="L96" t="s">
        <v>668</v>
      </c>
      <c r="M96" s="13" t="e">
        <f>_xlfn.XLOOKUP(I96,#REF!,#REF!, "No")</f>
        <v>#REF!</v>
      </c>
      <c r="N96" s="5" t="str">
        <f t="shared" si="22"/>
        <v>No</v>
      </c>
      <c r="O96" s="5" t="str">
        <f t="shared" si="23"/>
        <v>Yes</v>
      </c>
      <c r="P96" s="5" t="str">
        <f t="shared" si="24"/>
        <v>Yes</v>
      </c>
      <c r="Q96" s="5" t="str">
        <f t="shared" si="25"/>
        <v>Yes</v>
      </c>
      <c r="R96" s="5" t="str">
        <f t="shared" si="26"/>
        <v>Yes</v>
      </c>
      <c r="S96" s="5" t="str">
        <f t="shared" si="27"/>
        <v>Yes</v>
      </c>
      <c r="T96" s="5" t="str">
        <f t="shared" si="28"/>
        <v>Yes</v>
      </c>
      <c r="U96" s="5" t="str">
        <f t="shared" si="29"/>
        <v>Yes</v>
      </c>
      <c r="V96" s="5" t="str" cm="1">
        <f t="array" ref="V96">IF(OR(DB96:DG96 =1), "Yes", "No")</f>
        <v>No</v>
      </c>
      <c r="W96" s="5" t="str">
        <f t="shared" si="30"/>
        <v>Yes</v>
      </c>
      <c r="X96" s="5" t="str">
        <f t="shared" si="31"/>
        <v>No</v>
      </c>
      <c r="Y96" s="5" t="str">
        <f t="shared" si="32"/>
        <v>No</v>
      </c>
      <c r="Z96">
        <v>3</v>
      </c>
      <c r="AB96">
        <v>1</v>
      </c>
      <c r="AC96">
        <v>0</v>
      </c>
      <c r="AD96">
        <v>1</v>
      </c>
      <c r="AE96">
        <v>0</v>
      </c>
      <c r="AF96">
        <v>0</v>
      </c>
      <c r="AG96">
        <v>0</v>
      </c>
      <c r="AH96">
        <v>0</v>
      </c>
      <c r="AI96">
        <v>1</v>
      </c>
      <c r="AJ96">
        <v>0</v>
      </c>
      <c r="AK96">
        <v>1</v>
      </c>
      <c r="AM96">
        <v>0</v>
      </c>
      <c r="AN96">
        <v>1</v>
      </c>
      <c r="AO96">
        <v>0</v>
      </c>
      <c r="AQ96">
        <v>35</v>
      </c>
      <c r="AT96">
        <v>35</v>
      </c>
      <c r="AV96">
        <v>1</v>
      </c>
      <c r="AW96">
        <v>0</v>
      </c>
      <c r="AX96">
        <v>0</v>
      </c>
      <c r="AY96">
        <v>0</v>
      </c>
      <c r="AZ96">
        <v>0</v>
      </c>
      <c r="BA96">
        <v>0</v>
      </c>
      <c r="BC96">
        <v>1</v>
      </c>
      <c r="BE96">
        <v>1</v>
      </c>
      <c r="BG96">
        <v>1</v>
      </c>
      <c r="BH96">
        <v>1</v>
      </c>
      <c r="BI96">
        <v>1</v>
      </c>
      <c r="BJ96">
        <v>1</v>
      </c>
      <c r="BK96">
        <v>5</v>
      </c>
      <c r="BL96">
        <v>1</v>
      </c>
      <c r="BM96">
        <v>1</v>
      </c>
      <c r="BN96">
        <v>1</v>
      </c>
      <c r="BO96">
        <v>1</v>
      </c>
      <c r="BP96">
        <v>0</v>
      </c>
      <c r="BQ96">
        <v>0</v>
      </c>
      <c r="BR96">
        <v>1</v>
      </c>
      <c r="BS96">
        <v>0</v>
      </c>
      <c r="BT96">
        <v>0</v>
      </c>
      <c r="BV96">
        <v>1</v>
      </c>
      <c r="BW96">
        <v>0</v>
      </c>
      <c r="BX96">
        <v>1</v>
      </c>
      <c r="BY96">
        <v>0</v>
      </c>
      <c r="BZ96">
        <v>0</v>
      </c>
      <c r="CA96">
        <v>0</v>
      </c>
      <c r="CB96">
        <v>0</v>
      </c>
      <c r="CC96">
        <v>0</v>
      </c>
      <c r="CD96">
        <v>1</v>
      </c>
      <c r="CE96">
        <v>0</v>
      </c>
      <c r="CF96">
        <v>0</v>
      </c>
      <c r="CG96">
        <v>0</v>
      </c>
      <c r="CH96">
        <v>0</v>
      </c>
      <c r="CI96">
        <v>0</v>
      </c>
      <c r="CJ96">
        <v>0</v>
      </c>
      <c r="CK96">
        <v>0</v>
      </c>
      <c r="CL96">
        <v>0</v>
      </c>
      <c r="CN96">
        <v>2</v>
      </c>
      <c r="CO96">
        <v>4</v>
      </c>
      <c r="CQ96">
        <v>3</v>
      </c>
      <c r="CR96">
        <v>3</v>
      </c>
      <c r="EB96">
        <v>0</v>
      </c>
      <c r="EC96">
        <v>1</v>
      </c>
      <c r="ED96">
        <v>0</v>
      </c>
      <c r="EE96">
        <v>1</v>
      </c>
      <c r="EF96">
        <v>1</v>
      </c>
      <c r="EG96">
        <v>1</v>
      </c>
      <c r="EH96">
        <v>0</v>
      </c>
      <c r="EI96">
        <v>0</v>
      </c>
      <c r="EJ96">
        <v>0</v>
      </c>
      <c r="EK96">
        <v>0</v>
      </c>
      <c r="EM96">
        <v>1</v>
      </c>
      <c r="EN96">
        <v>1</v>
      </c>
      <c r="EO96">
        <v>0</v>
      </c>
      <c r="EP96">
        <v>0</v>
      </c>
      <c r="EQ96">
        <v>0</v>
      </c>
      <c r="ER96">
        <v>0</v>
      </c>
      <c r="ES96">
        <v>0</v>
      </c>
      <c r="ET96">
        <v>0</v>
      </c>
      <c r="EU96">
        <v>0</v>
      </c>
      <c r="EV96">
        <v>0</v>
      </c>
      <c r="EW96">
        <v>0</v>
      </c>
      <c r="EX96">
        <v>1</v>
      </c>
      <c r="EY96">
        <v>0</v>
      </c>
      <c r="EZ96" t="s">
        <v>681</v>
      </c>
      <c r="FA96">
        <v>6</v>
      </c>
      <c r="FB96" t="s">
        <v>274</v>
      </c>
      <c r="FC96">
        <v>1</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IX96" t="s">
        <v>641</v>
      </c>
      <c r="IY96">
        <v>5</v>
      </c>
      <c r="IZ96">
        <v>1</v>
      </c>
      <c r="JA96">
        <v>1</v>
      </c>
      <c r="JB96">
        <v>1</v>
      </c>
      <c r="JC96">
        <v>0</v>
      </c>
      <c r="JD96">
        <v>0</v>
      </c>
      <c r="JE96">
        <v>0</v>
      </c>
      <c r="JF96">
        <v>0</v>
      </c>
      <c r="JG96">
        <v>0</v>
      </c>
      <c r="JH96">
        <v>0</v>
      </c>
      <c r="JI96">
        <v>0</v>
      </c>
      <c r="JJ96">
        <v>0</v>
      </c>
      <c r="JL96">
        <v>1</v>
      </c>
      <c r="JM96" cm="1">
        <f t="array" ref="JM96">IF(OR(JN96:JQ96 &lt;&gt; ""), 1, 0)</f>
        <v>1</v>
      </c>
      <c r="JN96">
        <v>1</v>
      </c>
      <c r="JO96">
        <v>1</v>
      </c>
      <c r="JP96">
        <v>0</v>
      </c>
      <c r="JQ96">
        <v>0</v>
      </c>
    </row>
    <row r="97" spans="1:277" x14ac:dyDescent="0.35">
      <c r="A97">
        <v>405340</v>
      </c>
      <c r="C97">
        <v>1</v>
      </c>
      <c r="D97" t="s">
        <v>682</v>
      </c>
      <c r="E97" t="str">
        <f>_xlfn.XLOOKUP(I97, [1]SchoolDistrictStudyWODuplicates!$K:$K, [1]SchoolDistrictStudyWODuplicates!$E:$E, "")</f>
        <v/>
      </c>
      <c r="G97" t="s">
        <v>683</v>
      </c>
      <c r="H97" s="5" t="e">
        <f>_xlfn.XLOOKUP(A97,#REF!,#REF!, "No")</f>
        <v>#REF!</v>
      </c>
      <c r="I97" s="7">
        <v>2623160</v>
      </c>
      <c r="J97" s="5" t="e">
        <f>_xlfn.XLOOKUP(I97,#REF!,#REF!,"Not Determined")</f>
        <v>#REF!</v>
      </c>
      <c r="K97" s="5" t="s">
        <v>668</v>
      </c>
      <c r="L97" t="s">
        <v>668</v>
      </c>
      <c r="M97" s="13" t="e">
        <f>_xlfn.XLOOKUP(I97,#REF!,#REF!, "No")</f>
        <v>#REF!</v>
      </c>
      <c r="N97" s="5" t="str">
        <f t="shared" si="22"/>
        <v>No</v>
      </c>
      <c r="O97" s="5" t="str">
        <f t="shared" si="23"/>
        <v>Yes</v>
      </c>
      <c r="P97" s="5" t="str">
        <f t="shared" si="24"/>
        <v>Yes</v>
      </c>
      <c r="Q97" s="5" t="str">
        <f t="shared" si="25"/>
        <v>Yes</v>
      </c>
      <c r="R97" s="5" t="str">
        <f t="shared" si="26"/>
        <v>Yes</v>
      </c>
      <c r="S97" s="5" t="str">
        <f t="shared" si="27"/>
        <v>Yes</v>
      </c>
      <c r="T97" s="5" t="str">
        <f t="shared" si="28"/>
        <v>Yes</v>
      </c>
      <c r="U97" s="5" t="str">
        <f t="shared" si="29"/>
        <v>Yes</v>
      </c>
      <c r="V97" s="5" t="str" cm="1">
        <f t="array" ref="V97">IF(OR(DB97:DG97 =1), "Yes", "No")</f>
        <v>No</v>
      </c>
      <c r="W97" s="5" t="str">
        <f t="shared" si="30"/>
        <v>Yes</v>
      </c>
      <c r="X97" s="5" t="str">
        <f t="shared" si="31"/>
        <v>No</v>
      </c>
      <c r="Y97" s="5" t="str">
        <f t="shared" si="32"/>
        <v>No</v>
      </c>
      <c r="Z97">
        <v>1</v>
      </c>
      <c r="AB97">
        <v>1</v>
      </c>
      <c r="AC97">
        <v>0</v>
      </c>
      <c r="AD97">
        <v>0</v>
      </c>
      <c r="AE97">
        <v>0</v>
      </c>
      <c r="AF97">
        <v>0</v>
      </c>
      <c r="AG97">
        <v>0</v>
      </c>
      <c r="AH97">
        <v>0</v>
      </c>
      <c r="AI97">
        <v>0</v>
      </c>
      <c r="AJ97">
        <v>0</v>
      </c>
      <c r="AK97">
        <v>1</v>
      </c>
      <c r="AM97">
        <v>0</v>
      </c>
      <c r="AN97">
        <v>1</v>
      </c>
      <c r="AO97">
        <v>0</v>
      </c>
      <c r="AQ97">
        <v>2</v>
      </c>
      <c r="AT97">
        <v>2</v>
      </c>
      <c r="AV97">
        <v>1</v>
      </c>
      <c r="AW97">
        <v>0</v>
      </c>
      <c r="AX97">
        <v>0</v>
      </c>
      <c r="AY97">
        <v>0</v>
      </c>
      <c r="AZ97">
        <v>0</v>
      </c>
      <c r="BA97">
        <v>0</v>
      </c>
      <c r="BC97">
        <v>1</v>
      </c>
      <c r="BE97">
        <v>1</v>
      </c>
      <c r="BG97">
        <v>1</v>
      </c>
      <c r="BH97">
        <v>1</v>
      </c>
      <c r="BI97">
        <v>2</v>
      </c>
      <c r="BJ97">
        <v>1</v>
      </c>
      <c r="BK97">
        <v>2</v>
      </c>
      <c r="BL97">
        <v>2</v>
      </c>
      <c r="BM97">
        <v>1</v>
      </c>
      <c r="BN97">
        <v>1</v>
      </c>
      <c r="BO97">
        <v>1</v>
      </c>
      <c r="BP97">
        <v>0</v>
      </c>
      <c r="BQ97">
        <v>0</v>
      </c>
      <c r="BR97">
        <v>0</v>
      </c>
      <c r="BS97">
        <v>0</v>
      </c>
      <c r="BT97">
        <v>0</v>
      </c>
      <c r="BV97">
        <v>1</v>
      </c>
      <c r="BW97">
        <v>0</v>
      </c>
      <c r="BX97">
        <v>1</v>
      </c>
      <c r="BY97">
        <v>0</v>
      </c>
      <c r="BZ97">
        <v>1</v>
      </c>
      <c r="CA97">
        <v>0</v>
      </c>
      <c r="CB97">
        <v>0</v>
      </c>
      <c r="CC97">
        <v>1</v>
      </c>
      <c r="CD97">
        <v>1</v>
      </c>
      <c r="CE97">
        <v>0</v>
      </c>
      <c r="CF97">
        <v>0</v>
      </c>
      <c r="CG97">
        <v>1</v>
      </c>
      <c r="CH97">
        <v>0</v>
      </c>
      <c r="CI97">
        <v>1</v>
      </c>
      <c r="CJ97">
        <v>0</v>
      </c>
      <c r="CK97">
        <v>0</v>
      </c>
      <c r="CL97">
        <v>0</v>
      </c>
      <c r="CN97">
        <v>3</v>
      </c>
      <c r="CO97">
        <v>2</v>
      </c>
      <c r="CP97" t="s">
        <v>684</v>
      </c>
      <c r="CQ97">
        <v>4</v>
      </c>
      <c r="CR97">
        <v>3</v>
      </c>
      <c r="EB97">
        <v>0</v>
      </c>
      <c r="EC97">
        <v>0</v>
      </c>
      <c r="ED97">
        <v>1</v>
      </c>
      <c r="EE97">
        <v>0</v>
      </c>
      <c r="EF97">
        <v>0</v>
      </c>
      <c r="EG97">
        <v>1</v>
      </c>
      <c r="EH97">
        <v>0</v>
      </c>
      <c r="EI97">
        <v>0</v>
      </c>
      <c r="EJ97">
        <v>0</v>
      </c>
      <c r="EK97">
        <v>0</v>
      </c>
      <c r="EM97">
        <v>0</v>
      </c>
      <c r="EN97">
        <v>1</v>
      </c>
      <c r="EO97">
        <v>0</v>
      </c>
      <c r="EP97">
        <v>0</v>
      </c>
      <c r="EQ97">
        <v>1</v>
      </c>
      <c r="ER97">
        <v>0</v>
      </c>
      <c r="ES97">
        <v>0</v>
      </c>
      <c r="ET97">
        <v>0</v>
      </c>
      <c r="EU97">
        <v>1</v>
      </c>
      <c r="EV97">
        <v>0</v>
      </c>
      <c r="EW97">
        <v>1</v>
      </c>
      <c r="EX97">
        <v>0</v>
      </c>
      <c r="EY97">
        <v>0</v>
      </c>
      <c r="FB97" t="s">
        <v>685</v>
      </c>
      <c r="FC97">
        <v>0</v>
      </c>
      <c r="FD97">
        <v>1</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IZ97">
        <v>1</v>
      </c>
      <c r="JA97">
        <v>0</v>
      </c>
      <c r="JB97">
        <v>0</v>
      </c>
      <c r="JC97">
        <v>0</v>
      </c>
      <c r="JD97">
        <v>0</v>
      </c>
      <c r="JE97">
        <v>0</v>
      </c>
      <c r="JF97">
        <v>1</v>
      </c>
      <c r="JG97">
        <v>0</v>
      </c>
      <c r="JH97">
        <v>0</v>
      </c>
      <c r="JI97">
        <v>0</v>
      </c>
      <c r="JJ97">
        <v>0</v>
      </c>
      <c r="JL97">
        <v>1</v>
      </c>
      <c r="JM97" cm="1">
        <f t="array" ref="JM97">IF(OR(JN97:JQ97 &lt;&gt; ""), 1, 0)</f>
        <v>1</v>
      </c>
      <c r="JN97">
        <v>1</v>
      </c>
      <c r="JO97">
        <v>1</v>
      </c>
      <c r="JP97">
        <v>1</v>
      </c>
      <c r="JQ97">
        <v>0</v>
      </c>
    </row>
    <row r="98" spans="1:277" x14ac:dyDescent="0.35">
      <c r="A98">
        <v>355551</v>
      </c>
      <c r="C98">
        <v>1</v>
      </c>
      <c r="D98" t="s">
        <v>686</v>
      </c>
      <c r="E98" t="str">
        <f>_xlfn.XLOOKUP(I98, [1]SchoolDistrictStudyWODuplicates!$K:$K, [1]SchoolDistrictStudyWODuplicates!$E:$E, "")</f>
        <v/>
      </c>
      <c r="G98" t="s">
        <v>687</v>
      </c>
      <c r="H98" s="5" t="e">
        <f>_xlfn.XLOOKUP(A98,#REF!,#REF!, "No")</f>
        <v>#REF!</v>
      </c>
      <c r="I98" s="7">
        <v>2632300</v>
      </c>
      <c r="J98" s="5" t="e">
        <f>_xlfn.XLOOKUP(I98,#REF!,#REF!,"Not Determined")</f>
        <v>#REF!</v>
      </c>
      <c r="K98" s="5" t="s">
        <v>668</v>
      </c>
      <c r="L98" t="s">
        <v>668</v>
      </c>
      <c r="M98" s="13" t="e">
        <f>_xlfn.XLOOKUP(I98,#REF!,#REF!, "No")</f>
        <v>#REF!</v>
      </c>
      <c r="N98" s="5" t="str">
        <f t="shared" si="22"/>
        <v>No</v>
      </c>
      <c r="O98" s="5" t="str">
        <f t="shared" si="23"/>
        <v>Yes</v>
      </c>
      <c r="P98" s="5" t="str">
        <f t="shared" si="24"/>
        <v>Yes</v>
      </c>
      <c r="Q98" s="5" t="str">
        <f t="shared" si="25"/>
        <v>Yes</v>
      </c>
      <c r="R98" s="5" t="str">
        <f t="shared" si="26"/>
        <v>Yes</v>
      </c>
      <c r="S98" s="5" t="str">
        <f t="shared" si="27"/>
        <v>No</v>
      </c>
      <c r="T98" s="5" t="str">
        <f t="shared" si="28"/>
        <v>Yes</v>
      </c>
      <c r="U98" s="5" t="str">
        <f t="shared" si="29"/>
        <v>No</v>
      </c>
      <c r="V98" s="5" t="str" cm="1">
        <f t="array" ref="V98">IF(OR(DB98:DG98 =1), "Yes", "No")</f>
        <v>No</v>
      </c>
      <c r="W98" s="5" t="str">
        <f t="shared" si="30"/>
        <v>No</v>
      </c>
      <c r="X98" s="5" t="str">
        <f t="shared" si="31"/>
        <v>No</v>
      </c>
      <c r="Y98" s="5" t="str">
        <f t="shared" si="32"/>
        <v>No</v>
      </c>
      <c r="Z98">
        <v>3</v>
      </c>
      <c r="AB98">
        <v>1</v>
      </c>
      <c r="AC98">
        <v>0</v>
      </c>
      <c r="AD98">
        <v>1</v>
      </c>
      <c r="AE98">
        <v>0</v>
      </c>
      <c r="AF98">
        <v>0</v>
      </c>
      <c r="AG98">
        <v>0</v>
      </c>
      <c r="AH98">
        <v>1</v>
      </c>
      <c r="AI98">
        <v>1</v>
      </c>
      <c r="AJ98">
        <v>0</v>
      </c>
      <c r="AK98">
        <v>1</v>
      </c>
      <c r="AM98">
        <v>1</v>
      </c>
      <c r="AN98">
        <v>1</v>
      </c>
      <c r="AO98">
        <v>0</v>
      </c>
      <c r="AP98">
        <v>1</v>
      </c>
      <c r="AQ98">
        <v>14</v>
      </c>
      <c r="AS98">
        <v>1</v>
      </c>
      <c r="AT98">
        <v>14</v>
      </c>
      <c r="AV98">
        <v>1</v>
      </c>
      <c r="AW98">
        <v>0</v>
      </c>
      <c r="AX98">
        <v>0</v>
      </c>
      <c r="AY98">
        <v>0</v>
      </c>
      <c r="AZ98">
        <v>0</v>
      </c>
      <c r="BA98">
        <v>0</v>
      </c>
      <c r="BC98">
        <v>1</v>
      </c>
      <c r="BE98">
        <v>1</v>
      </c>
      <c r="BG98">
        <v>1</v>
      </c>
      <c r="BH98">
        <v>1</v>
      </c>
      <c r="BI98">
        <v>5</v>
      </c>
      <c r="BJ98">
        <v>1</v>
      </c>
      <c r="BK98">
        <v>6</v>
      </c>
      <c r="BL98">
        <v>1</v>
      </c>
      <c r="BM98">
        <v>1</v>
      </c>
      <c r="BN98">
        <v>2</v>
      </c>
      <c r="BV98">
        <v>0</v>
      </c>
      <c r="BW98">
        <v>0</v>
      </c>
      <c r="BX98">
        <v>1</v>
      </c>
      <c r="BY98">
        <v>0</v>
      </c>
      <c r="BZ98">
        <v>1</v>
      </c>
      <c r="CA98">
        <v>0</v>
      </c>
      <c r="CB98">
        <v>0</v>
      </c>
      <c r="CC98">
        <v>0</v>
      </c>
      <c r="CD98">
        <v>1</v>
      </c>
      <c r="CE98">
        <v>0</v>
      </c>
      <c r="CF98">
        <v>0</v>
      </c>
      <c r="CG98">
        <v>1</v>
      </c>
      <c r="CH98">
        <v>0</v>
      </c>
      <c r="CI98">
        <v>0</v>
      </c>
      <c r="CJ98">
        <v>0</v>
      </c>
      <c r="CK98">
        <v>0</v>
      </c>
      <c r="CL98">
        <v>0</v>
      </c>
      <c r="CN98">
        <v>3</v>
      </c>
      <c r="CO98">
        <v>4</v>
      </c>
      <c r="CQ98">
        <v>4</v>
      </c>
      <c r="CR98">
        <v>6</v>
      </c>
      <c r="EB98">
        <v>1</v>
      </c>
      <c r="EC98">
        <v>0</v>
      </c>
      <c r="ED98">
        <v>0</v>
      </c>
      <c r="EE98">
        <v>0</v>
      </c>
      <c r="EF98">
        <v>1</v>
      </c>
      <c r="EG98">
        <v>0</v>
      </c>
      <c r="EH98">
        <v>0</v>
      </c>
      <c r="EI98">
        <v>0</v>
      </c>
      <c r="EJ98">
        <v>0</v>
      </c>
      <c r="EK98">
        <v>0</v>
      </c>
      <c r="EM98">
        <v>0</v>
      </c>
      <c r="EN98">
        <v>1</v>
      </c>
      <c r="EO98">
        <v>1</v>
      </c>
      <c r="EP98">
        <v>1</v>
      </c>
      <c r="EQ98">
        <v>1</v>
      </c>
      <c r="ER98">
        <v>0</v>
      </c>
      <c r="ES98">
        <v>0</v>
      </c>
      <c r="ET98">
        <v>1</v>
      </c>
      <c r="EU98">
        <v>1</v>
      </c>
      <c r="EV98">
        <v>1</v>
      </c>
      <c r="EW98">
        <v>1</v>
      </c>
      <c r="EX98">
        <v>0</v>
      </c>
      <c r="EY98">
        <v>0</v>
      </c>
      <c r="FB98" t="s">
        <v>274</v>
      </c>
      <c r="FC98">
        <v>1</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t="s">
        <v>688</v>
      </c>
      <c r="FZ98">
        <v>0</v>
      </c>
      <c r="GA98">
        <v>0</v>
      </c>
      <c r="GB98">
        <v>0</v>
      </c>
      <c r="GC98">
        <v>1</v>
      </c>
      <c r="GD98">
        <v>0</v>
      </c>
      <c r="GE98">
        <v>0</v>
      </c>
      <c r="GF98">
        <v>0</v>
      </c>
      <c r="GG98">
        <v>0</v>
      </c>
      <c r="GH98">
        <v>0</v>
      </c>
      <c r="GI98">
        <v>0</v>
      </c>
      <c r="GJ98">
        <v>0</v>
      </c>
      <c r="GK98">
        <v>0</v>
      </c>
      <c r="GL98">
        <v>0</v>
      </c>
      <c r="GM98">
        <v>0</v>
      </c>
      <c r="GN98">
        <v>0</v>
      </c>
      <c r="GO98">
        <v>0</v>
      </c>
      <c r="GP98">
        <v>0</v>
      </c>
      <c r="GQ98">
        <v>0</v>
      </c>
      <c r="GR98">
        <v>0</v>
      </c>
      <c r="HC98" t="s">
        <v>641</v>
      </c>
      <c r="HD98">
        <v>0</v>
      </c>
      <c r="HE98">
        <v>0</v>
      </c>
      <c r="HF98">
        <v>0</v>
      </c>
      <c r="HG98">
        <v>0</v>
      </c>
      <c r="HH98">
        <v>0</v>
      </c>
      <c r="HI98">
        <v>0</v>
      </c>
      <c r="HJ98">
        <v>0</v>
      </c>
      <c r="HK98">
        <v>0</v>
      </c>
      <c r="HL98">
        <v>0</v>
      </c>
      <c r="HM98">
        <v>0</v>
      </c>
      <c r="HN98">
        <v>0</v>
      </c>
      <c r="HO98">
        <v>0</v>
      </c>
      <c r="HP98">
        <v>0</v>
      </c>
      <c r="HQ98">
        <v>0</v>
      </c>
      <c r="HR98">
        <v>1</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Z98">
        <v>1</v>
      </c>
      <c r="JA98">
        <v>0</v>
      </c>
      <c r="JB98">
        <v>0</v>
      </c>
      <c r="JC98">
        <v>0</v>
      </c>
      <c r="JD98">
        <v>0</v>
      </c>
      <c r="JE98">
        <v>0</v>
      </c>
      <c r="JF98">
        <v>1</v>
      </c>
      <c r="JG98">
        <v>0</v>
      </c>
      <c r="JH98">
        <v>0</v>
      </c>
      <c r="JI98">
        <v>0</v>
      </c>
      <c r="JJ98">
        <v>0</v>
      </c>
      <c r="JL98">
        <v>2</v>
      </c>
      <c r="JM98" cm="1">
        <f t="array" ref="JM98">IF(OR(JN98:JQ98 &lt;&gt; ""), 1, 0)</f>
        <v>0</v>
      </c>
    </row>
    <row r="99" spans="1:277" x14ac:dyDescent="0.35">
      <c r="A99">
        <v>405337</v>
      </c>
      <c r="C99">
        <v>1</v>
      </c>
      <c r="D99" t="s">
        <v>689</v>
      </c>
      <c r="E99" t="str">
        <f>_xlfn.XLOOKUP(I99, [1]SchoolDistrictStudyWODuplicates!$K:$K, [1]SchoolDistrictStudyWODuplicates!$E:$E, "")</f>
        <v/>
      </c>
      <c r="G99" t="s">
        <v>690</v>
      </c>
      <c r="H99" s="5" t="e">
        <f>_xlfn.XLOOKUP(A99,#REF!,#REF!, "No")</f>
        <v>#REF!</v>
      </c>
      <c r="I99" s="7">
        <v>2632850</v>
      </c>
      <c r="J99" s="5" t="e">
        <f>_xlfn.XLOOKUP(I99,#REF!,#REF!,"Not Determined")</f>
        <v>#REF!</v>
      </c>
      <c r="K99" s="5" t="s">
        <v>668</v>
      </c>
      <c r="L99" t="s">
        <v>668</v>
      </c>
      <c r="M99" s="13" t="e">
        <f>_xlfn.XLOOKUP(I99,#REF!,#REF!, "No")</f>
        <v>#REF!</v>
      </c>
      <c r="N99" s="5" t="str">
        <f t="shared" si="22"/>
        <v>No</v>
      </c>
      <c r="O99" s="5" t="str">
        <f t="shared" si="23"/>
        <v>Yes</v>
      </c>
      <c r="P99" s="5" t="str">
        <f t="shared" si="24"/>
        <v>Yes</v>
      </c>
      <c r="Q99" s="5" t="str">
        <f t="shared" si="25"/>
        <v>Yes</v>
      </c>
      <c r="R99" s="5" t="str">
        <f t="shared" si="26"/>
        <v>Yes</v>
      </c>
      <c r="S99" s="5" t="str">
        <f t="shared" si="27"/>
        <v>Yes</v>
      </c>
      <c r="T99" s="5" t="str">
        <f t="shared" si="28"/>
        <v>Yes</v>
      </c>
      <c r="U99" s="5" t="str">
        <f t="shared" si="29"/>
        <v>Yes</v>
      </c>
      <c r="V99" s="5" t="str" cm="1">
        <f t="array" ref="V99">IF(OR(DB99:DG99 =1), "Yes", "No")</f>
        <v>No</v>
      </c>
      <c r="W99" s="5" t="str">
        <f t="shared" si="30"/>
        <v>Yes</v>
      </c>
      <c r="X99" s="5" t="str">
        <f t="shared" si="31"/>
        <v>No</v>
      </c>
      <c r="Y99" s="5" t="str">
        <f t="shared" si="32"/>
        <v>No</v>
      </c>
      <c r="Z99">
        <v>3</v>
      </c>
      <c r="AB99">
        <v>0</v>
      </c>
      <c r="AC99">
        <v>0</v>
      </c>
      <c r="AD99">
        <v>1</v>
      </c>
      <c r="AE99">
        <v>0</v>
      </c>
      <c r="AF99">
        <v>0</v>
      </c>
      <c r="AG99">
        <v>1</v>
      </c>
      <c r="AH99">
        <v>0</v>
      </c>
      <c r="AI99">
        <v>1</v>
      </c>
      <c r="AJ99">
        <v>0</v>
      </c>
      <c r="AK99">
        <v>1</v>
      </c>
      <c r="AM99">
        <v>0</v>
      </c>
      <c r="AN99">
        <v>1</v>
      </c>
      <c r="AO99">
        <v>1</v>
      </c>
      <c r="AQ99">
        <v>15</v>
      </c>
      <c r="AR99">
        <v>1</v>
      </c>
      <c r="AT99">
        <v>15</v>
      </c>
      <c r="AU99">
        <v>1</v>
      </c>
      <c r="AV99">
        <v>1</v>
      </c>
      <c r="AW99">
        <v>0</v>
      </c>
      <c r="AX99">
        <v>0</v>
      </c>
      <c r="AY99">
        <v>0</v>
      </c>
      <c r="AZ99">
        <v>0</v>
      </c>
      <c r="BA99">
        <v>0</v>
      </c>
      <c r="BC99">
        <v>1</v>
      </c>
      <c r="BE99">
        <v>1</v>
      </c>
      <c r="BG99">
        <v>1</v>
      </c>
      <c r="BH99">
        <v>1</v>
      </c>
      <c r="BI99">
        <v>4</v>
      </c>
      <c r="BJ99">
        <v>1</v>
      </c>
      <c r="BK99">
        <v>4</v>
      </c>
      <c r="BL99">
        <v>1</v>
      </c>
      <c r="BM99">
        <v>1</v>
      </c>
      <c r="BN99">
        <v>1</v>
      </c>
      <c r="BO99">
        <v>1</v>
      </c>
      <c r="BP99">
        <v>0</v>
      </c>
      <c r="BQ99">
        <v>0</v>
      </c>
      <c r="BR99">
        <v>0</v>
      </c>
      <c r="BS99">
        <v>0</v>
      </c>
      <c r="BT99">
        <v>0</v>
      </c>
      <c r="BV99">
        <v>0</v>
      </c>
      <c r="BW99">
        <v>0</v>
      </c>
      <c r="BX99">
        <v>0</v>
      </c>
      <c r="BY99">
        <v>0</v>
      </c>
      <c r="BZ99">
        <v>0</v>
      </c>
      <c r="CA99">
        <v>0</v>
      </c>
      <c r="CB99">
        <v>0</v>
      </c>
      <c r="CC99">
        <v>0</v>
      </c>
      <c r="CD99">
        <v>0</v>
      </c>
      <c r="CE99">
        <v>0</v>
      </c>
      <c r="CF99">
        <v>0</v>
      </c>
      <c r="CG99">
        <v>0</v>
      </c>
      <c r="CH99">
        <v>0</v>
      </c>
      <c r="CI99">
        <v>0</v>
      </c>
      <c r="CJ99">
        <v>0</v>
      </c>
      <c r="CK99">
        <v>0</v>
      </c>
      <c r="CL99">
        <v>1</v>
      </c>
      <c r="CM99" t="s">
        <v>691</v>
      </c>
      <c r="CN99">
        <v>12</v>
      </c>
      <c r="CO99">
        <v>4</v>
      </c>
      <c r="CQ99">
        <v>4</v>
      </c>
      <c r="CR99">
        <v>4</v>
      </c>
      <c r="EB99">
        <v>1</v>
      </c>
      <c r="EC99">
        <v>0</v>
      </c>
      <c r="ED99">
        <v>0</v>
      </c>
      <c r="EE99">
        <v>0</v>
      </c>
      <c r="EF99">
        <v>0</v>
      </c>
      <c r="EG99">
        <v>0</v>
      </c>
      <c r="EH99">
        <v>0</v>
      </c>
      <c r="EI99">
        <v>0</v>
      </c>
      <c r="EJ99">
        <v>0</v>
      </c>
      <c r="EK99">
        <v>0</v>
      </c>
      <c r="EM99">
        <v>0</v>
      </c>
      <c r="EN99">
        <v>0</v>
      </c>
      <c r="EO99">
        <v>0</v>
      </c>
      <c r="EP99">
        <v>0</v>
      </c>
      <c r="EQ99">
        <v>0</v>
      </c>
      <c r="ER99">
        <v>0</v>
      </c>
      <c r="ES99">
        <v>0</v>
      </c>
      <c r="ET99">
        <v>1</v>
      </c>
      <c r="EU99">
        <v>1</v>
      </c>
      <c r="EV99">
        <v>0</v>
      </c>
      <c r="EW99">
        <v>1</v>
      </c>
      <c r="EX99">
        <v>0</v>
      </c>
      <c r="EY99">
        <v>0</v>
      </c>
      <c r="IZ99">
        <v>1</v>
      </c>
      <c r="JA99">
        <v>1</v>
      </c>
      <c r="JB99">
        <v>0</v>
      </c>
      <c r="JC99">
        <v>0</v>
      </c>
      <c r="JD99">
        <v>1</v>
      </c>
      <c r="JE99">
        <v>0</v>
      </c>
      <c r="JF99">
        <v>0</v>
      </c>
      <c r="JG99">
        <v>0</v>
      </c>
      <c r="JH99">
        <v>0</v>
      </c>
      <c r="JI99">
        <v>0</v>
      </c>
      <c r="JJ99">
        <v>0</v>
      </c>
      <c r="JL99">
        <v>1</v>
      </c>
      <c r="JM99" cm="1">
        <f t="array" ref="JM99">IF(OR(JN99:JQ99 &lt;&gt; ""), 1, 0)</f>
        <v>1</v>
      </c>
      <c r="JN99">
        <v>1</v>
      </c>
      <c r="JO99">
        <v>1</v>
      </c>
      <c r="JP99">
        <v>1</v>
      </c>
      <c r="JQ99">
        <v>0</v>
      </c>
    </row>
    <row r="100" spans="1:277" x14ac:dyDescent="0.35">
      <c r="A100">
        <v>397313</v>
      </c>
      <c r="C100">
        <v>1</v>
      </c>
      <c r="D100" t="s">
        <v>673</v>
      </c>
      <c r="E100" t="str">
        <f>_xlfn.XLOOKUP(I100, [1]SchoolDistrictStudyWODuplicates!$K:$K, [1]SchoolDistrictStudyWODuplicates!$E:$E, "")</f>
        <v/>
      </c>
      <c r="F100" s="5" t="s">
        <v>1357</v>
      </c>
      <c r="G100" t="s">
        <v>674</v>
      </c>
      <c r="H100" s="5" t="e">
        <f>_xlfn.XLOOKUP(A100,#REF!,#REF!, "No")</f>
        <v>#REF!</v>
      </c>
      <c r="I100" s="7">
        <v>2608670</v>
      </c>
      <c r="J100" s="5" t="e">
        <f>_xlfn.XLOOKUP(I100,#REF!,#REF!,"Not Determined")</f>
        <v>#REF!</v>
      </c>
      <c r="K100" s="5" t="s">
        <v>668</v>
      </c>
      <c r="L100" t="s">
        <v>692</v>
      </c>
      <c r="M100" s="13" t="e">
        <f>_xlfn.XLOOKUP(I100,#REF!,#REF!, "No")</f>
        <v>#REF!</v>
      </c>
      <c r="N100" s="5" t="str">
        <f t="shared" si="22"/>
        <v>No</v>
      </c>
      <c r="O100" s="5" t="str">
        <f t="shared" si="23"/>
        <v>Yes</v>
      </c>
      <c r="P100" s="5" t="str">
        <f t="shared" si="24"/>
        <v>Yes</v>
      </c>
      <c r="Q100" s="5" t="str">
        <f t="shared" si="25"/>
        <v>Yes</v>
      </c>
      <c r="R100" s="5" t="str">
        <f t="shared" si="26"/>
        <v>Yes</v>
      </c>
      <c r="S100" s="5" t="str">
        <f t="shared" si="27"/>
        <v>No</v>
      </c>
      <c r="T100" s="5" t="str">
        <f t="shared" si="28"/>
        <v>Yes</v>
      </c>
      <c r="U100" s="5" t="str">
        <f t="shared" si="29"/>
        <v>No</v>
      </c>
      <c r="V100" s="5" t="str" cm="1">
        <f t="array" ref="V100">IF(OR(DB100:DG100 =1), "Yes", "No")</f>
        <v>No</v>
      </c>
      <c r="W100" s="5" t="str">
        <f t="shared" si="30"/>
        <v>No</v>
      </c>
      <c r="X100" s="5" t="str">
        <f t="shared" si="31"/>
        <v>No</v>
      </c>
      <c r="Y100" s="5" t="str">
        <f t="shared" si="32"/>
        <v>No</v>
      </c>
      <c r="Z100">
        <v>3</v>
      </c>
      <c r="AB100">
        <v>1</v>
      </c>
      <c r="AC100">
        <v>0</v>
      </c>
      <c r="AD100">
        <v>1</v>
      </c>
      <c r="AE100">
        <v>0</v>
      </c>
      <c r="AF100">
        <v>0</v>
      </c>
      <c r="AG100">
        <v>0</v>
      </c>
      <c r="AH100">
        <v>0</v>
      </c>
      <c r="AI100">
        <v>1</v>
      </c>
      <c r="AJ100">
        <v>0</v>
      </c>
      <c r="AK100">
        <v>1</v>
      </c>
      <c r="AM100">
        <v>0</v>
      </c>
      <c r="AN100">
        <v>1</v>
      </c>
      <c r="AO100">
        <v>0</v>
      </c>
      <c r="AQ100">
        <v>9</v>
      </c>
      <c r="AT100">
        <v>9</v>
      </c>
      <c r="AV100">
        <v>1</v>
      </c>
      <c r="AW100">
        <v>0</v>
      </c>
      <c r="AX100">
        <v>0</v>
      </c>
      <c r="AY100">
        <v>0</v>
      </c>
      <c r="AZ100">
        <v>0</v>
      </c>
      <c r="BA100">
        <v>0</v>
      </c>
      <c r="BC100">
        <v>1</v>
      </c>
      <c r="BE100">
        <v>1</v>
      </c>
      <c r="BG100">
        <v>1</v>
      </c>
      <c r="BH100">
        <v>1</v>
      </c>
      <c r="BI100">
        <v>5</v>
      </c>
      <c r="BJ100">
        <v>2</v>
      </c>
      <c r="BL100">
        <v>2</v>
      </c>
      <c r="BM100">
        <v>1</v>
      </c>
      <c r="BN100">
        <v>1</v>
      </c>
      <c r="BO100">
        <v>1</v>
      </c>
      <c r="BP100">
        <v>0</v>
      </c>
      <c r="BQ100">
        <v>0</v>
      </c>
      <c r="BR100">
        <v>0</v>
      </c>
      <c r="BS100">
        <v>1</v>
      </c>
      <c r="BT100">
        <v>0</v>
      </c>
      <c r="BV100">
        <v>0</v>
      </c>
      <c r="BW100">
        <v>0</v>
      </c>
      <c r="BX100">
        <v>0</v>
      </c>
      <c r="BY100">
        <v>0</v>
      </c>
      <c r="BZ100">
        <v>0</v>
      </c>
      <c r="CA100">
        <v>1</v>
      </c>
      <c r="CB100">
        <v>0</v>
      </c>
      <c r="CC100">
        <v>0</v>
      </c>
      <c r="CD100">
        <v>0</v>
      </c>
      <c r="CE100">
        <v>0</v>
      </c>
      <c r="CF100">
        <v>1</v>
      </c>
      <c r="CG100">
        <v>1</v>
      </c>
      <c r="CH100">
        <v>0</v>
      </c>
      <c r="CI100">
        <v>0</v>
      </c>
      <c r="CJ100">
        <v>0</v>
      </c>
      <c r="CK100">
        <v>0</v>
      </c>
      <c r="CL100">
        <v>1</v>
      </c>
      <c r="CM100" t="s">
        <v>693</v>
      </c>
      <c r="CN100">
        <v>12</v>
      </c>
      <c r="CO100">
        <v>4</v>
      </c>
      <c r="CQ100">
        <v>4</v>
      </c>
      <c r="CR100">
        <v>6</v>
      </c>
      <c r="EB100">
        <v>0</v>
      </c>
      <c r="EC100">
        <v>0</v>
      </c>
      <c r="ED100">
        <v>1</v>
      </c>
      <c r="EE100">
        <v>0</v>
      </c>
      <c r="EF100">
        <v>0</v>
      </c>
      <c r="EG100">
        <v>1</v>
      </c>
      <c r="EH100">
        <v>1</v>
      </c>
      <c r="EI100">
        <v>1</v>
      </c>
      <c r="EJ100">
        <v>0</v>
      </c>
      <c r="EK100">
        <v>0</v>
      </c>
      <c r="EM100">
        <v>0</v>
      </c>
      <c r="EN100">
        <v>1</v>
      </c>
      <c r="EO100">
        <v>0</v>
      </c>
      <c r="EP100">
        <v>1</v>
      </c>
      <c r="EQ100">
        <v>0</v>
      </c>
      <c r="ER100">
        <v>0</v>
      </c>
      <c r="ES100">
        <v>0</v>
      </c>
      <c r="ET100">
        <v>1</v>
      </c>
      <c r="EU100">
        <v>0</v>
      </c>
      <c r="EV100">
        <v>0</v>
      </c>
      <c r="EW100">
        <v>1</v>
      </c>
      <c r="EX100">
        <v>0</v>
      </c>
      <c r="EY100">
        <v>0</v>
      </c>
      <c r="FB100" t="s">
        <v>442</v>
      </c>
      <c r="FC100">
        <v>1</v>
      </c>
      <c r="FD100">
        <v>1</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IZ100">
        <v>1</v>
      </c>
      <c r="JA100">
        <v>0</v>
      </c>
      <c r="JB100">
        <v>0</v>
      </c>
      <c r="JC100">
        <v>0</v>
      </c>
      <c r="JD100">
        <v>0</v>
      </c>
      <c r="JE100">
        <v>0</v>
      </c>
      <c r="JF100">
        <v>0</v>
      </c>
      <c r="JG100">
        <v>0</v>
      </c>
      <c r="JH100">
        <v>0</v>
      </c>
      <c r="JI100">
        <v>0</v>
      </c>
      <c r="JJ100">
        <v>0</v>
      </c>
      <c r="JL100">
        <v>2</v>
      </c>
      <c r="JM100" cm="1">
        <f t="array" ref="JM100">IF(OR(JN100:JQ100 &lt;&gt; ""), 1, 0)</f>
        <v>0</v>
      </c>
    </row>
    <row r="101" spans="1:277" x14ac:dyDescent="0.35">
      <c r="A101">
        <v>370487</v>
      </c>
      <c r="C101">
        <v>1</v>
      </c>
      <c r="D101" t="s">
        <v>694</v>
      </c>
      <c r="E101" t="str">
        <f>_xlfn.XLOOKUP(I101, [1]SchoolDistrictStudyWODuplicates!$K:$K, [1]SchoolDistrictStudyWODuplicates!$E:$E, "")</f>
        <v>farmington public schools</v>
      </c>
      <c r="G101" t="s">
        <v>695</v>
      </c>
      <c r="H101" s="5" t="e">
        <f>_xlfn.XLOOKUP(A101,#REF!,#REF!, "No")</f>
        <v>#REF!</v>
      </c>
      <c r="I101" s="7">
        <v>2614070</v>
      </c>
      <c r="J101" s="5" t="e">
        <f>_xlfn.XLOOKUP(I101,#REF!,#REF!,"Not Determined")</f>
        <v>#REF!</v>
      </c>
      <c r="K101" s="5" t="s">
        <v>668</v>
      </c>
      <c r="L101" t="s">
        <v>692</v>
      </c>
      <c r="M101" s="13" t="e">
        <f>_xlfn.XLOOKUP(I101,#REF!,#REF!, "No")</f>
        <v>#REF!</v>
      </c>
      <c r="N101" s="5" t="str">
        <f t="shared" si="22"/>
        <v>No</v>
      </c>
      <c r="O101" s="5" t="str">
        <f t="shared" si="23"/>
        <v>Yes</v>
      </c>
      <c r="P101" s="5" t="str">
        <f t="shared" si="24"/>
        <v>Yes</v>
      </c>
      <c r="Q101" s="5" t="str">
        <f t="shared" si="25"/>
        <v>Yes</v>
      </c>
      <c r="R101" s="5" t="str">
        <f t="shared" si="26"/>
        <v>No</v>
      </c>
      <c r="S101" s="5" t="str">
        <f t="shared" si="27"/>
        <v>No</v>
      </c>
      <c r="T101" s="5" t="str">
        <f t="shared" si="28"/>
        <v>No</v>
      </c>
      <c r="U101" s="5" t="str">
        <f t="shared" si="29"/>
        <v>No</v>
      </c>
      <c r="V101" s="5" t="str" cm="1">
        <f t="array" ref="V101">IF(OR(DB101:DG101 =1), "Yes", "No")</f>
        <v>No</v>
      </c>
      <c r="W101" s="5" t="str">
        <f t="shared" si="30"/>
        <v>No</v>
      </c>
      <c r="X101" s="5" t="str">
        <f t="shared" si="31"/>
        <v>No</v>
      </c>
      <c r="Y101" s="5" t="str">
        <f t="shared" si="32"/>
        <v>No</v>
      </c>
      <c r="Z101">
        <v>4</v>
      </c>
      <c r="AB101">
        <v>0</v>
      </c>
      <c r="AC101">
        <v>0</v>
      </c>
      <c r="AD101">
        <v>0</v>
      </c>
      <c r="AE101">
        <v>1</v>
      </c>
      <c r="AF101">
        <v>0</v>
      </c>
      <c r="AG101">
        <v>0</v>
      </c>
      <c r="AH101">
        <v>0</v>
      </c>
      <c r="AI101">
        <v>0</v>
      </c>
      <c r="AJ101">
        <v>0</v>
      </c>
      <c r="AK101">
        <v>1</v>
      </c>
      <c r="AM101">
        <v>0</v>
      </c>
      <c r="AN101">
        <v>1</v>
      </c>
      <c r="AO101">
        <v>0</v>
      </c>
      <c r="AQ101">
        <v>91</v>
      </c>
      <c r="AT101">
        <v>91</v>
      </c>
      <c r="AV101">
        <v>1</v>
      </c>
      <c r="AW101">
        <v>1</v>
      </c>
      <c r="AX101">
        <v>0</v>
      </c>
      <c r="AY101">
        <v>0</v>
      </c>
      <c r="AZ101">
        <v>0</v>
      </c>
      <c r="BA101">
        <v>0</v>
      </c>
      <c r="BC101">
        <v>1</v>
      </c>
      <c r="BE101">
        <v>1</v>
      </c>
      <c r="BG101">
        <v>1</v>
      </c>
      <c r="BH101">
        <v>1</v>
      </c>
      <c r="BI101">
        <v>4</v>
      </c>
      <c r="BJ101">
        <v>1</v>
      </c>
      <c r="BK101">
        <v>4</v>
      </c>
      <c r="BL101">
        <v>1</v>
      </c>
      <c r="BM101">
        <v>1</v>
      </c>
      <c r="BN101">
        <v>1</v>
      </c>
      <c r="BO101">
        <v>1</v>
      </c>
      <c r="BP101">
        <v>0</v>
      </c>
      <c r="BQ101">
        <v>0</v>
      </c>
      <c r="BR101">
        <v>0</v>
      </c>
      <c r="BS101">
        <v>0</v>
      </c>
      <c r="BT101">
        <v>0</v>
      </c>
      <c r="BV101">
        <v>0</v>
      </c>
      <c r="BW101">
        <v>0</v>
      </c>
      <c r="BX101">
        <v>0</v>
      </c>
      <c r="BY101">
        <v>0</v>
      </c>
      <c r="BZ101">
        <v>0</v>
      </c>
      <c r="CA101">
        <v>0</v>
      </c>
      <c r="CB101">
        <v>0</v>
      </c>
      <c r="CC101">
        <v>0</v>
      </c>
      <c r="CD101">
        <v>1</v>
      </c>
      <c r="CE101">
        <v>0</v>
      </c>
      <c r="CF101">
        <v>0</v>
      </c>
      <c r="CG101">
        <v>0</v>
      </c>
      <c r="CH101">
        <v>0</v>
      </c>
      <c r="CI101">
        <v>1</v>
      </c>
      <c r="CJ101">
        <v>0</v>
      </c>
      <c r="CK101">
        <v>1</v>
      </c>
      <c r="CL101">
        <v>0</v>
      </c>
      <c r="CN101">
        <v>16</v>
      </c>
      <c r="CO101">
        <v>4</v>
      </c>
      <c r="JM101" cm="1">
        <f t="array" ref="JM101">IF(OR(JN101:JQ101 &lt;&gt; ""), 1, 0)</f>
        <v>0</v>
      </c>
    </row>
    <row r="102" spans="1:277" x14ac:dyDescent="0.35">
      <c r="A102">
        <v>405398</v>
      </c>
      <c r="C102">
        <v>1</v>
      </c>
      <c r="D102" t="s">
        <v>696</v>
      </c>
      <c r="E102" t="str">
        <f>_xlfn.XLOOKUP(I102, [1]SchoolDistrictStudyWODuplicates!$K:$K, [1]SchoolDistrictStudyWODuplicates!$E:$E, "")</f>
        <v/>
      </c>
      <c r="G102" t="s">
        <v>697</v>
      </c>
      <c r="H102" s="5" t="e">
        <f>_xlfn.XLOOKUP(A102,#REF!,#REF!, "No")</f>
        <v>#REF!</v>
      </c>
      <c r="I102" s="7">
        <v>2600220</v>
      </c>
      <c r="J102" s="5" t="e">
        <f>_xlfn.XLOOKUP(I102,#REF!,#REF!,"Not Determined")</f>
        <v>#REF!</v>
      </c>
      <c r="K102" s="5" t="s">
        <v>668</v>
      </c>
      <c r="L102" t="s">
        <v>698</v>
      </c>
      <c r="M102" s="13" t="e">
        <f>_xlfn.XLOOKUP(I102,#REF!,#REF!, "No")</f>
        <v>#REF!</v>
      </c>
      <c r="N102" s="5" t="str">
        <f t="shared" si="22"/>
        <v>No</v>
      </c>
      <c r="O102" s="5" t="str">
        <f t="shared" si="23"/>
        <v>Yes</v>
      </c>
      <c r="P102" s="5" t="str">
        <f t="shared" si="24"/>
        <v>No</v>
      </c>
      <c r="Q102" s="5" t="str">
        <f t="shared" si="25"/>
        <v>No</v>
      </c>
      <c r="R102" s="5" t="str">
        <f t="shared" si="26"/>
        <v>No</v>
      </c>
      <c r="S102" s="5" t="str">
        <f t="shared" si="27"/>
        <v>No</v>
      </c>
      <c r="T102" s="5" t="str">
        <f t="shared" si="28"/>
        <v>No</v>
      </c>
      <c r="U102" s="5" t="str">
        <f t="shared" si="29"/>
        <v>No</v>
      </c>
      <c r="V102" s="5" t="str" cm="1">
        <f t="array" ref="V102">IF(OR(DB102:DG102 =1), "Yes", "No")</f>
        <v>No</v>
      </c>
      <c r="W102" s="5" t="str">
        <f t="shared" si="30"/>
        <v>No</v>
      </c>
      <c r="X102" s="5" t="str">
        <f t="shared" si="31"/>
        <v>No</v>
      </c>
      <c r="Y102" s="5" t="str">
        <f t="shared" si="32"/>
        <v>No</v>
      </c>
      <c r="Z102">
        <v>4</v>
      </c>
      <c r="AB102">
        <v>0</v>
      </c>
      <c r="AC102">
        <v>0</v>
      </c>
      <c r="AD102">
        <v>1</v>
      </c>
      <c r="AE102">
        <v>0</v>
      </c>
      <c r="AF102">
        <v>0</v>
      </c>
      <c r="AG102">
        <v>0</v>
      </c>
      <c r="AH102">
        <v>0</v>
      </c>
      <c r="AI102">
        <v>0</v>
      </c>
      <c r="AJ102">
        <v>0</v>
      </c>
      <c r="AK102">
        <v>1</v>
      </c>
      <c r="AM102">
        <v>0</v>
      </c>
      <c r="AN102">
        <v>1</v>
      </c>
      <c r="AO102">
        <v>0</v>
      </c>
      <c r="AQ102">
        <v>8</v>
      </c>
      <c r="AT102">
        <v>8</v>
      </c>
      <c r="AV102">
        <v>1</v>
      </c>
      <c r="AW102">
        <v>0</v>
      </c>
      <c r="AX102">
        <v>0</v>
      </c>
      <c r="AY102">
        <v>0</v>
      </c>
      <c r="AZ102">
        <v>0</v>
      </c>
      <c r="BA102">
        <v>0</v>
      </c>
      <c r="BC102">
        <v>1</v>
      </c>
      <c r="BE102">
        <v>2</v>
      </c>
      <c r="BG102">
        <v>3</v>
      </c>
      <c r="BJ102">
        <v>2</v>
      </c>
      <c r="BL102">
        <v>2</v>
      </c>
      <c r="BM102">
        <v>2</v>
      </c>
      <c r="BN102">
        <v>2</v>
      </c>
      <c r="BV102">
        <v>0</v>
      </c>
      <c r="BW102">
        <v>0</v>
      </c>
      <c r="BX102">
        <v>0</v>
      </c>
      <c r="BY102">
        <v>0</v>
      </c>
      <c r="BZ102">
        <v>0</v>
      </c>
      <c r="CA102">
        <v>0</v>
      </c>
      <c r="CB102">
        <v>0</v>
      </c>
      <c r="CC102">
        <v>0</v>
      </c>
      <c r="CD102">
        <v>0</v>
      </c>
      <c r="CE102">
        <v>0</v>
      </c>
      <c r="CF102">
        <v>0</v>
      </c>
      <c r="CG102">
        <v>0</v>
      </c>
      <c r="CH102">
        <v>0</v>
      </c>
      <c r="CI102">
        <v>0</v>
      </c>
      <c r="CJ102">
        <v>0</v>
      </c>
      <c r="CK102">
        <v>0</v>
      </c>
      <c r="CL102">
        <v>1</v>
      </c>
      <c r="CM102" t="s">
        <v>699</v>
      </c>
      <c r="CN102">
        <v>16</v>
      </c>
      <c r="CO102">
        <v>4</v>
      </c>
      <c r="CQ102">
        <v>6</v>
      </c>
      <c r="CR102">
        <v>6</v>
      </c>
      <c r="EB102">
        <v>0</v>
      </c>
      <c r="EC102">
        <v>0</v>
      </c>
      <c r="ED102">
        <v>0</v>
      </c>
      <c r="EE102">
        <v>0</v>
      </c>
      <c r="EF102">
        <v>0</v>
      </c>
      <c r="EG102">
        <v>1</v>
      </c>
      <c r="EH102">
        <v>0</v>
      </c>
      <c r="EI102">
        <v>0</v>
      </c>
      <c r="EJ102">
        <v>0</v>
      </c>
      <c r="EK102">
        <v>0</v>
      </c>
      <c r="EM102">
        <v>0</v>
      </c>
      <c r="EN102">
        <v>0</v>
      </c>
      <c r="EO102">
        <v>0</v>
      </c>
      <c r="EP102">
        <v>1</v>
      </c>
      <c r="EQ102">
        <v>0</v>
      </c>
      <c r="ER102">
        <v>0</v>
      </c>
      <c r="ES102">
        <v>0</v>
      </c>
      <c r="ET102">
        <v>0</v>
      </c>
      <c r="EU102">
        <v>0</v>
      </c>
      <c r="EV102">
        <v>0</v>
      </c>
      <c r="EW102">
        <v>0</v>
      </c>
      <c r="EX102">
        <v>0</v>
      </c>
      <c r="EY102">
        <v>0</v>
      </c>
      <c r="IZ102">
        <v>1</v>
      </c>
      <c r="JA102">
        <v>0</v>
      </c>
      <c r="JB102">
        <v>1</v>
      </c>
      <c r="JC102">
        <v>0</v>
      </c>
      <c r="JD102">
        <v>0</v>
      </c>
      <c r="JE102">
        <v>0</v>
      </c>
      <c r="JF102">
        <v>0</v>
      </c>
      <c r="JG102">
        <v>0</v>
      </c>
      <c r="JH102">
        <v>1</v>
      </c>
      <c r="JI102">
        <v>0</v>
      </c>
      <c r="JJ102">
        <v>0</v>
      </c>
      <c r="JL102">
        <v>2</v>
      </c>
      <c r="JM102" cm="1">
        <f t="array" ref="JM102">IF(OR(JN102:JQ102 &lt;&gt; ""), 1, 0)</f>
        <v>0</v>
      </c>
    </row>
    <row r="103" spans="1:277" x14ac:dyDescent="0.35">
      <c r="A103">
        <v>405351</v>
      </c>
      <c r="C103">
        <v>1</v>
      </c>
      <c r="D103" t="s">
        <v>700</v>
      </c>
      <c r="E103" t="str">
        <f>_xlfn.XLOOKUP(I103, [1]SchoolDistrictStudyWODuplicates!$K:$K, [1]SchoolDistrictStudyWODuplicates!$E:$E, "")</f>
        <v/>
      </c>
      <c r="G103" t="s">
        <v>701</v>
      </c>
      <c r="H103" s="5" t="e">
        <f>_xlfn.XLOOKUP(A103,#REF!,#REF!, "No")</f>
        <v>#REF!</v>
      </c>
      <c r="I103" s="7">
        <v>2680700</v>
      </c>
      <c r="J103" s="5" t="e">
        <f>_xlfn.XLOOKUP(I103,#REF!,#REF!,"Not Determined")</f>
        <v>#REF!</v>
      </c>
      <c r="K103" s="5" t="s">
        <v>668</v>
      </c>
      <c r="L103" t="s">
        <v>692</v>
      </c>
      <c r="M103" s="13" t="e">
        <f>_xlfn.XLOOKUP(I103,#REF!,#REF!, "No")</f>
        <v>#REF!</v>
      </c>
      <c r="N103" s="5" t="str">
        <f t="shared" si="22"/>
        <v>No</v>
      </c>
      <c r="O103" s="5" t="str">
        <f t="shared" si="23"/>
        <v>Yes</v>
      </c>
      <c r="P103" s="5" t="str">
        <f t="shared" si="24"/>
        <v>Yes</v>
      </c>
      <c r="Q103" s="5" t="str">
        <f t="shared" si="25"/>
        <v>Yes</v>
      </c>
      <c r="R103" s="5" t="str">
        <f t="shared" si="26"/>
        <v>Yes</v>
      </c>
      <c r="S103" s="5" t="str">
        <f t="shared" si="27"/>
        <v>Yes</v>
      </c>
      <c r="T103" s="5" t="str">
        <f t="shared" si="28"/>
        <v>No</v>
      </c>
      <c r="U103" s="5" t="str">
        <f t="shared" si="29"/>
        <v>No</v>
      </c>
      <c r="V103" s="5" t="str" cm="1">
        <f t="array" ref="V103">IF(OR(DB103:DG103 =1), "Yes", "No")</f>
        <v>No</v>
      </c>
      <c r="W103" s="5" t="str">
        <f t="shared" si="30"/>
        <v>No</v>
      </c>
      <c r="X103" s="5" t="str">
        <f t="shared" si="31"/>
        <v>No</v>
      </c>
      <c r="Y103" s="5" t="str">
        <f t="shared" si="32"/>
        <v>No</v>
      </c>
      <c r="Z103">
        <v>5</v>
      </c>
      <c r="AB103">
        <v>0</v>
      </c>
      <c r="AC103">
        <v>0</v>
      </c>
      <c r="AD103">
        <v>1</v>
      </c>
      <c r="AE103">
        <v>0</v>
      </c>
      <c r="AF103">
        <v>0</v>
      </c>
      <c r="AG103">
        <v>0</v>
      </c>
      <c r="AH103">
        <v>0</v>
      </c>
      <c r="AI103">
        <v>0</v>
      </c>
      <c r="AJ103">
        <v>0</v>
      </c>
      <c r="AK103">
        <v>1</v>
      </c>
      <c r="AM103">
        <v>0</v>
      </c>
      <c r="AN103">
        <v>1</v>
      </c>
      <c r="AO103">
        <v>0</v>
      </c>
      <c r="AQ103">
        <v>27</v>
      </c>
      <c r="AT103">
        <v>27</v>
      </c>
      <c r="AV103">
        <v>1</v>
      </c>
      <c r="AW103">
        <v>0</v>
      </c>
      <c r="AX103">
        <v>0</v>
      </c>
      <c r="AY103">
        <v>0</v>
      </c>
      <c r="AZ103">
        <v>0</v>
      </c>
      <c r="BA103">
        <v>0</v>
      </c>
      <c r="BC103">
        <v>1</v>
      </c>
      <c r="BE103">
        <v>1</v>
      </c>
      <c r="BG103">
        <v>1</v>
      </c>
      <c r="BH103">
        <v>1</v>
      </c>
      <c r="BI103">
        <v>3</v>
      </c>
      <c r="BJ103">
        <v>1</v>
      </c>
      <c r="BK103">
        <v>5</v>
      </c>
      <c r="BL103">
        <v>1</v>
      </c>
      <c r="BM103">
        <v>1</v>
      </c>
      <c r="BN103">
        <v>1</v>
      </c>
      <c r="BO103">
        <v>1</v>
      </c>
      <c r="BP103">
        <v>0</v>
      </c>
      <c r="BQ103">
        <v>0</v>
      </c>
      <c r="BR103">
        <v>0</v>
      </c>
      <c r="BS103">
        <v>0</v>
      </c>
      <c r="BT103">
        <v>0</v>
      </c>
      <c r="BV103">
        <v>0</v>
      </c>
      <c r="BW103">
        <v>0</v>
      </c>
      <c r="BX103">
        <v>0</v>
      </c>
      <c r="BY103">
        <v>0</v>
      </c>
      <c r="BZ103">
        <v>0</v>
      </c>
      <c r="CA103">
        <v>0</v>
      </c>
      <c r="CB103">
        <v>0</v>
      </c>
      <c r="CC103">
        <v>0</v>
      </c>
      <c r="CD103">
        <v>0</v>
      </c>
      <c r="CE103">
        <v>0</v>
      </c>
      <c r="CF103">
        <v>0</v>
      </c>
      <c r="CG103">
        <v>0</v>
      </c>
      <c r="CH103">
        <v>0</v>
      </c>
      <c r="CI103">
        <v>0</v>
      </c>
      <c r="CJ103">
        <v>0</v>
      </c>
      <c r="CK103">
        <v>0</v>
      </c>
      <c r="CL103">
        <v>1</v>
      </c>
      <c r="CM103" t="s">
        <v>702</v>
      </c>
      <c r="CN103">
        <v>6</v>
      </c>
      <c r="CO103">
        <v>3</v>
      </c>
      <c r="CP103" t="s">
        <v>703</v>
      </c>
      <c r="CQ103">
        <v>2</v>
      </c>
      <c r="CR103">
        <v>2</v>
      </c>
      <c r="EB103">
        <v>0</v>
      </c>
      <c r="EC103">
        <v>0</v>
      </c>
      <c r="ED103">
        <v>1</v>
      </c>
      <c r="EE103">
        <v>0</v>
      </c>
      <c r="EF103">
        <v>0</v>
      </c>
      <c r="EG103">
        <v>0</v>
      </c>
      <c r="EH103">
        <v>1</v>
      </c>
      <c r="EI103">
        <v>0</v>
      </c>
      <c r="EJ103">
        <v>0</v>
      </c>
      <c r="EK103">
        <v>0</v>
      </c>
      <c r="EM103">
        <v>0</v>
      </c>
      <c r="EN103">
        <v>0</v>
      </c>
      <c r="EO103">
        <v>1</v>
      </c>
      <c r="EP103">
        <v>0</v>
      </c>
      <c r="EQ103">
        <v>1</v>
      </c>
      <c r="ER103">
        <v>0</v>
      </c>
      <c r="ES103">
        <v>0</v>
      </c>
      <c r="ET103">
        <v>0</v>
      </c>
      <c r="EU103">
        <v>0</v>
      </c>
      <c r="EV103">
        <v>0</v>
      </c>
      <c r="EW103">
        <v>0</v>
      </c>
      <c r="EX103">
        <v>0</v>
      </c>
      <c r="EY103">
        <v>0</v>
      </c>
      <c r="FY103" t="s">
        <v>704</v>
      </c>
      <c r="FZ103">
        <v>0</v>
      </c>
      <c r="GA103">
        <v>0</v>
      </c>
      <c r="GB103">
        <v>0</v>
      </c>
      <c r="GC103">
        <v>0</v>
      </c>
      <c r="GD103">
        <v>0</v>
      </c>
      <c r="GE103">
        <v>0</v>
      </c>
      <c r="GF103">
        <v>0</v>
      </c>
      <c r="GG103">
        <v>0</v>
      </c>
      <c r="GH103">
        <v>0</v>
      </c>
      <c r="GI103">
        <v>0</v>
      </c>
      <c r="GJ103">
        <v>0</v>
      </c>
      <c r="GK103">
        <v>0</v>
      </c>
      <c r="GL103">
        <v>0</v>
      </c>
      <c r="GM103">
        <v>0</v>
      </c>
      <c r="GN103">
        <v>0</v>
      </c>
      <c r="GO103">
        <v>0</v>
      </c>
      <c r="GP103">
        <v>0</v>
      </c>
      <c r="GQ103">
        <v>1</v>
      </c>
      <c r="GR103">
        <v>0</v>
      </c>
      <c r="IZ103">
        <v>1</v>
      </c>
      <c r="JA103">
        <v>0</v>
      </c>
      <c r="JB103">
        <v>1</v>
      </c>
      <c r="JC103">
        <v>0</v>
      </c>
      <c r="JD103">
        <v>0</v>
      </c>
      <c r="JE103">
        <v>0</v>
      </c>
      <c r="JF103">
        <v>0</v>
      </c>
      <c r="JG103">
        <v>0</v>
      </c>
      <c r="JH103">
        <v>0</v>
      </c>
      <c r="JI103">
        <v>0</v>
      </c>
      <c r="JJ103">
        <v>0</v>
      </c>
      <c r="JL103">
        <v>2</v>
      </c>
      <c r="JM103" cm="1">
        <f t="array" ref="JM103">IF(OR(JN103:JQ103 &lt;&gt; ""), 1, 0)</f>
        <v>0</v>
      </c>
    </row>
    <row r="104" spans="1:277" x14ac:dyDescent="0.35">
      <c r="A104">
        <v>405240</v>
      </c>
      <c r="C104">
        <v>1</v>
      </c>
      <c r="D104" t="s">
        <v>705</v>
      </c>
      <c r="E104" t="str">
        <f>_xlfn.XLOOKUP(I104, [1]SchoolDistrictStudyWODuplicates!$K:$K, [1]SchoolDistrictStudyWODuplicates!$E:$E, "")</f>
        <v/>
      </c>
      <c r="G104" t="s">
        <v>706</v>
      </c>
      <c r="H104" s="5" t="e">
        <f>_xlfn.XLOOKUP(A104,#REF!,#REF!, "No")</f>
        <v>#REF!</v>
      </c>
      <c r="I104" s="7">
        <v>2622620</v>
      </c>
      <c r="J104" s="5" t="e">
        <f>_xlfn.XLOOKUP(I104,#REF!,#REF!,"Not Determined")</f>
        <v>#REF!</v>
      </c>
      <c r="K104" s="5" t="s">
        <v>668</v>
      </c>
      <c r="L104" t="s">
        <v>692</v>
      </c>
      <c r="M104" s="13" t="e">
        <f>_xlfn.XLOOKUP(I104,#REF!,#REF!, "No")</f>
        <v>#REF!</v>
      </c>
      <c r="N104" s="5" t="str">
        <f t="shared" si="22"/>
        <v>No</v>
      </c>
      <c r="O104" s="5" t="str">
        <f t="shared" si="23"/>
        <v>Yes</v>
      </c>
      <c r="P104" s="5" t="str">
        <f t="shared" si="24"/>
        <v>Yes</v>
      </c>
      <c r="Q104" s="5" t="str">
        <f t="shared" si="25"/>
        <v>Yes</v>
      </c>
      <c r="R104" s="5" t="str">
        <f t="shared" si="26"/>
        <v>Yes</v>
      </c>
      <c r="S104" s="5" t="str">
        <f t="shared" si="27"/>
        <v>Yes</v>
      </c>
      <c r="T104" s="5" t="str">
        <f t="shared" si="28"/>
        <v>Yes</v>
      </c>
      <c r="U104" s="5" t="str">
        <f t="shared" si="29"/>
        <v>Yes</v>
      </c>
      <c r="V104" s="5" t="str" cm="1">
        <f t="array" ref="V104">IF(OR(DB104:DG104 =1), "Yes", "No")</f>
        <v>No</v>
      </c>
      <c r="W104" s="5" t="str">
        <f t="shared" si="30"/>
        <v>No</v>
      </c>
      <c r="X104" s="5" t="str">
        <f t="shared" si="31"/>
        <v>No</v>
      </c>
      <c r="Y104" s="5" t="str">
        <f t="shared" si="32"/>
        <v>No</v>
      </c>
      <c r="Z104">
        <v>13</v>
      </c>
      <c r="AB104">
        <v>1</v>
      </c>
      <c r="AC104">
        <v>0</v>
      </c>
      <c r="AD104">
        <v>1</v>
      </c>
      <c r="AE104">
        <v>0</v>
      </c>
      <c r="AF104">
        <v>0</v>
      </c>
      <c r="AG104">
        <v>0</v>
      </c>
      <c r="AH104">
        <v>1</v>
      </c>
      <c r="AI104">
        <v>1</v>
      </c>
      <c r="AJ104">
        <v>0</v>
      </c>
      <c r="AK104">
        <v>1</v>
      </c>
      <c r="AM104">
        <v>0</v>
      </c>
      <c r="AN104">
        <v>1</v>
      </c>
      <c r="AO104">
        <v>0</v>
      </c>
      <c r="AQ104">
        <v>17</v>
      </c>
      <c r="AT104">
        <v>17</v>
      </c>
      <c r="AV104">
        <v>1</v>
      </c>
      <c r="AW104">
        <v>1</v>
      </c>
      <c r="AX104">
        <v>0</v>
      </c>
      <c r="AY104">
        <v>1</v>
      </c>
      <c r="AZ104">
        <v>0</v>
      </c>
      <c r="BA104">
        <v>0</v>
      </c>
      <c r="BC104">
        <v>1</v>
      </c>
      <c r="BE104">
        <v>1</v>
      </c>
      <c r="BG104">
        <v>1</v>
      </c>
      <c r="BH104">
        <v>1</v>
      </c>
      <c r="BI104">
        <v>4</v>
      </c>
      <c r="BJ104">
        <v>1</v>
      </c>
      <c r="BK104">
        <v>5</v>
      </c>
      <c r="BL104">
        <v>1</v>
      </c>
      <c r="BM104">
        <v>1</v>
      </c>
      <c r="BN104">
        <v>2</v>
      </c>
      <c r="BV104">
        <v>0</v>
      </c>
      <c r="BW104">
        <v>0</v>
      </c>
      <c r="BX104">
        <v>0</v>
      </c>
      <c r="BY104">
        <v>0</v>
      </c>
      <c r="BZ104">
        <v>0</v>
      </c>
      <c r="CA104">
        <v>0</v>
      </c>
      <c r="CB104">
        <v>0</v>
      </c>
      <c r="CC104">
        <v>0</v>
      </c>
      <c r="CD104">
        <v>0</v>
      </c>
      <c r="CE104">
        <v>0</v>
      </c>
      <c r="CF104">
        <v>0</v>
      </c>
      <c r="CG104">
        <v>0</v>
      </c>
      <c r="CH104">
        <v>0</v>
      </c>
      <c r="CI104">
        <v>0</v>
      </c>
      <c r="CJ104">
        <v>0</v>
      </c>
      <c r="CK104">
        <v>1</v>
      </c>
      <c r="CL104">
        <v>0</v>
      </c>
      <c r="CN104">
        <v>16</v>
      </c>
      <c r="CO104">
        <v>4</v>
      </c>
      <c r="CQ104">
        <v>5</v>
      </c>
      <c r="CR104">
        <v>5</v>
      </c>
      <c r="EB104">
        <v>0</v>
      </c>
      <c r="EC104">
        <v>0</v>
      </c>
      <c r="ED104">
        <v>1</v>
      </c>
      <c r="EE104">
        <v>0</v>
      </c>
      <c r="EF104">
        <v>1</v>
      </c>
      <c r="EG104">
        <v>1</v>
      </c>
      <c r="EH104">
        <v>0</v>
      </c>
      <c r="EI104">
        <v>0</v>
      </c>
      <c r="EJ104">
        <v>0</v>
      </c>
      <c r="EK104">
        <v>0</v>
      </c>
      <c r="EM104">
        <v>0</v>
      </c>
      <c r="EN104">
        <v>0</v>
      </c>
      <c r="EO104">
        <v>0</v>
      </c>
      <c r="EP104">
        <v>0</v>
      </c>
      <c r="EQ104">
        <v>1</v>
      </c>
      <c r="ER104">
        <v>0</v>
      </c>
      <c r="ES104">
        <v>0</v>
      </c>
      <c r="ET104">
        <v>0</v>
      </c>
      <c r="EU104">
        <v>0</v>
      </c>
      <c r="EV104">
        <v>0</v>
      </c>
      <c r="EW104">
        <v>0</v>
      </c>
      <c r="EX104">
        <v>0</v>
      </c>
      <c r="EY104">
        <v>0</v>
      </c>
      <c r="IZ104">
        <v>0</v>
      </c>
      <c r="JA104">
        <v>0</v>
      </c>
      <c r="JB104">
        <v>0</v>
      </c>
      <c r="JC104">
        <v>0</v>
      </c>
      <c r="JD104">
        <v>0</v>
      </c>
      <c r="JE104">
        <v>0</v>
      </c>
      <c r="JF104">
        <v>0</v>
      </c>
      <c r="JG104">
        <v>0</v>
      </c>
      <c r="JH104">
        <v>0</v>
      </c>
      <c r="JI104">
        <v>0</v>
      </c>
      <c r="JJ104">
        <v>1</v>
      </c>
      <c r="JL104">
        <v>2</v>
      </c>
      <c r="JM104" cm="1">
        <f t="array" ref="JM104">IF(OR(JN104:JQ104 &lt;&gt; ""), 1, 0)</f>
        <v>0</v>
      </c>
    </row>
    <row r="105" spans="1:277" x14ac:dyDescent="0.35">
      <c r="A105">
        <v>370135</v>
      </c>
      <c r="C105">
        <v>1</v>
      </c>
      <c r="D105" t="s">
        <v>707</v>
      </c>
      <c r="E105" t="str">
        <f>_xlfn.XLOOKUP(I105, [1]SchoolDistrictStudyWODuplicates!$K:$K, [1]SchoolDistrictStudyWODuplicates!$E:$E, "")</f>
        <v/>
      </c>
      <c r="G105" t="s">
        <v>708</v>
      </c>
      <c r="H105" s="5" t="e">
        <f>_xlfn.XLOOKUP(A105,#REF!,#REF!, "No")</f>
        <v>#REF!</v>
      </c>
      <c r="I105" s="7">
        <v>2629120</v>
      </c>
      <c r="J105" s="5" t="e">
        <f>_xlfn.XLOOKUP(I105,#REF!,#REF!,"Not Determined")</f>
        <v>#REF!</v>
      </c>
      <c r="K105" s="5" t="s">
        <v>668</v>
      </c>
      <c r="L105" t="s">
        <v>692</v>
      </c>
      <c r="M105" s="13" t="e">
        <f>_xlfn.XLOOKUP(I105,#REF!,#REF!, "No")</f>
        <v>#REF!</v>
      </c>
      <c r="N105" s="5" t="str">
        <f t="shared" si="22"/>
        <v>No</v>
      </c>
      <c r="O105" s="5" t="str">
        <f t="shared" si="23"/>
        <v>Yes</v>
      </c>
      <c r="P105" s="5" t="str">
        <f t="shared" si="24"/>
        <v>No</v>
      </c>
      <c r="Q105" s="5" t="str">
        <f t="shared" si="25"/>
        <v>Yes</v>
      </c>
      <c r="R105" s="5" t="str">
        <f t="shared" si="26"/>
        <v>Yes</v>
      </c>
      <c r="S105" s="5" t="str">
        <f t="shared" si="27"/>
        <v>Yes</v>
      </c>
      <c r="T105" s="5" t="str">
        <f t="shared" si="28"/>
        <v>Yes</v>
      </c>
      <c r="U105" s="5" t="str">
        <f t="shared" si="29"/>
        <v>Yes</v>
      </c>
      <c r="V105" s="5" t="str" cm="1">
        <f t="array" ref="V105">IF(OR(DB105:DG105 =1), "Yes", "No")</f>
        <v>No</v>
      </c>
      <c r="W105" s="5" t="str">
        <f t="shared" si="30"/>
        <v>No</v>
      </c>
      <c r="X105" s="5" t="str">
        <f t="shared" si="31"/>
        <v>No</v>
      </c>
      <c r="Y105" s="5" t="str">
        <f t="shared" si="32"/>
        <v>No</v>
      </c>
      <c r="Z105">
        <v>13</v>
      </c>
      <c r="AB105">
        <v>1</v>
      </c>
      <c r="AC105">
        <v>0</v>
      </c>
      <c r="AD105">
        <v>1</v>
      </c>
      <c r="AE105">
        <v>0</v>
      </c>
      <c r="AF105">
        <v>1</v>
      </c>
      <c r="AG105">
        <v>0</v>
      </c>
      <c r="AH105">
        <v>0</v>
      </c>
      <c r="AI105">
        <v>0</v>
      </c>
      <c r="AJ105">
        <v>0</v>
      </c>
      <c r="AK105">
        <v>1</v>
      </c>
      <c r="AM105">
        <v>1</v>
      </c>
      <c r="AN105">
        <v>0</v>
      </c>
      <c r="AO105">
        <v>0</v>
      </c>
      <c r="AP105">
        <v>0</v>
      </c>
      <c r="AV105">
        <v>1</v>
      </c>
      <c r="AW105">
        <v>0</v>
      </c>
      <c r="AX105">
        <v>0</v>
      </c>
      <c r="AY105">
        <v>0</v>
      </c>
      <c r="AZ105">
        <v>0</v>
      </c>
      <c r="BA105">
        <v>0</v>
      </c>
      <c r="BC105">
        <v>1</v>
      </c>
      <c r="BE105">
        <v>1</v>
      </c>
      <c r="BG105">
        <v>1</v>
      </c>
      <c r="BH105">
        <v>1</v>
      </c>
      <c r="BI105">
        <v>4</v>
      </c>
      <c r="BJ105">
        <v>1</v>
      </c>
      <c r="BK105">
        <v>4</v>
      </c>
      <c r="BL105">
        <v>1</v>
      </c>
      <c r="BM105">
        <v>3</v>
      </c>
      <c r="BN105">
        <v>2</v>
      </c>
      <c r="BV105">
        <v>1</v>
      </c>
      <c r="BW105">
        <v>0</v>
      </c>
      <c r="BX105">
        <v>1</v>
      </c>
      <c r="BY105">
        <v>1</v>
      </c>
      <c r="BZ105">
        <v>1</v>
      </c>
      <c r="CA105">
        <v>0</v>
      </c>
      <c r="CB105">
        <v>0</v>
      </c>
      <c r="CC105">
        <v>0</v>
      </c>
      <c r="CD105">
        <v>1</v>
      </c>
      <c r="CE105">
        <v>0</v>
      </c>
      <c r="CF105">
        <v>0</v>
      </c>
      <c r="CG105">
        <v>1</v>
      </c>
      <c r="CH105">
        <v>0</v>
      </c>
      <c r="CI105">
        <v>1</v>
      </c>
      <c r="CJ105">
        <v>0</v>
      </c>
      <c r="CK105">
        <v>1</v>
      </c>
      <c r="CL105">
        <v>0</v>
      </c>
      <c r="CN105">
        <v>17</v>
      </c>
      <c r="CO105">
        <v>4</v>
      </c>
      <c r="CQ105">
        <v>5</v>
      </c>
      <c r="CR105">
        <v>3</v>
      </c>
      <c r="EB105">
        <v>1</v>
      </c>
      <c r="EC105">
        <v>1</v>
      </c>
      <c r="ED105">
        <v>0</v>
      </c>
      <c r="EE105">
        <v>0</v>
      </c>
      <c r="EF105">
        <v>0</v>
      </c>
      <c r="EG105">
        <v>1</v>
      </c>
      <c r="EH105">
        <v>0</v>
      </c>
      <c r="EI105">
        <v>0</v>
      </c>
      <c r="EJ105">
        <v>0</v>
      </c>
      <c r="EK105">
        <v>0</v>
      </c>
      <c r="EM105">
        <v>0</v>
      </c>
      <c r="EN105">
        <v>0</v>
      </c>
      <c r="EO105">
        <v>0</v>
      </c>
      <c r="EP105">
        <v>1</v>
      </c>
      <c r="EQ105">
        <v>1</v>
      </c>
      <c r="ER105">
        <v>0</v>
      </c>
      <c r="ES105">
        <v>0</v>
      </c>
      <c r="ET105">
        <v>0</v>
      </c>
      <c r="EU105">
        <v>0</v>
      </c>
      <c r="EV105">
        <v>0</v>
      </c>
      <c r="EW105">
        <v>0</v>
      </c>
      <c r="EX105">
        <v>0</v>
      </c>
      <c r="EY105">
        <v>0</v>
      </c>
      <c r="IZ105">
        <v>1</v>
      </c>
      <c r="JA105">
        <v>1</v>
      </c>
      <c r="JB105">
        <v>0</v>
      </c>
      <c r="JC105">
        <v>0</v>
      </c>
      <c r="JD105">
        <v>0</v>
      </c>
      <c r="JE105">
        <v>0</v>
      </c>
      <c r="JF105">
        <v>0</v>
      </c>
      <c r="JG105">
        <v>0</v>
      </c>
      <c r="JH105">
        <v>0</v>
      </c>
      <c r="JI105">
        <v>0</v>
      </c>
      <c r="JJ105">
        <v>0</v>
      </c>
      <c r="JL105">
        <v>2</v>
      </c>
      <c r="JM105" cm="1">
        <f t="array" ref="JM105">IF(OR(JN105:JQ105 &lt;&gt; ""), 1, 0)</f>
        <v>0</v>
      </c>
    </row>
    <row r="106" spans="1:277" x14ac:dyDescent="0.35">
      <c r="A106">
        <v>397311</v>
      </c>
      <c r="C106">
        <v>1</v>
      </c>
      <c r="D106" t="s">
        <v>709</v>
      </c>
      <c r="E106" t="str">
        <f>_xlfn.XLOOKUP(I106, [1]SchoolDistrictStudyWODuplicates!$K:$K, [1]SchoolDistrictStudyWODuplicates!$E:$E, "")</f>
        <v/>
      </c>
      <c r="G106" t="s">
        <v>710</v>
      </c>
      <c r="H106" s="5" t="e">
        <f>_xlfn.XLOOKUP(A106,#REF!,#REF!, "No")</f>
        <v>#REF!</v>
      </c>
      <c r="I106" s="7">
        <v>2631380</v>
      </c>
      <c r="J106" s="5" t="e">
        <f>_xlfn.XLOOKUP(I106,#REF!,#REF!,"Not Determined")</f>
        <v>#REF!</v>
      </c>
      <c r="K106" s="5" t="s">
        <v>668</v>
      </c>
      <c r="L106" t="s">
        <v>692</v>
      </c>
      <c r="M106" s="13" t="e">
        <f>_xlfn.XLOOKUP(I106,#REF!,#REF!, "No")</f>
        <v>#REF!</v>
      </c>
      <c r="N106" s="5" t="str">
        <f t="shared" si="22"/>
        <v>No</v>
      </c>
      <c r="O106" s="5" t="str">
        <f t="shared" si="23"/>
        <v>Yes</v>
      </c>
      <c r="P106" s="5" t="str">
        <f t="shared" si="24"/>
        <v>Yes</v>
      </c>
      <c r="Q106" s="5" t="str">
        <f t="shared" si="25"/>
        <v>No</v>
      </c>
      <c r="R106" s="5" t="str">
        <f t="shared" si="26"/>
        <v>Yes</v>
      </c>
      <c r="S106" s="5" t="str">
        <f t="shared" si="27"/>
        <v>Yes</v>
      </c>
      <c r="T106" s="5" t="str">
        <f t="shared" si="28"/>
        <v>Yes</v>
      </c>
      <c r="U106" s="5" t="str">
        <f t="shared" si="29"/>
        <v>Yes</v>
      </c>
      <c r="V106" s="5" t="str" cm="1">
        <f t="array" ref="V106">IF(OR(DB106:DG106 =1), "Yes", "No")</f>
        <v>No</v>
      </c>
      <c r="W106" s="5" t="str">
        <f t="shared" si="30"/>
        <v>Yes</v>
      </c>
      <c r="X106" s="5" t="str">
        <f t="shared" si="31"/>
        <v>No</v>
      </c>
      <c r="Y106" s="5" t="str">
        <f t="shared" si="32"/>
        <v>No</v>
      </c>
      <c r="Z106">
        <v>3</v>
      </c>
      <c r="AB106">
        <v>1</v>
      </c>
      <c r="AC106">
        <v>0</v>
      </c>
      <c r="AD106">
        <v>1</v>
      </c>
      <c r="AE106">
        <v>0</v>
      </c>
      <c r="AF106">
        <v>0</v>
      </c>
      <c r="AG106">
        <v>0</v>
      </c>
      <c r="AH106">
        <v>0</v>
      </c>
      <c r="AI106">
        <v>1</v>
      </c>
      <c r="AJ106">
        <v>0</v>
      </c>
      <c r="AK106">
        <v>1</v>
      </c>
      <c r="AM106">
        <v>0</v>
      </c>
      <c r="AN106">
        <v>1</v>
      </c>
      <c r="AO106">
        <v>0</v>
      </c>
      <c r="AQ106">
        <v>20</v>
      </c>
      <c r="AT106">
        <v>20</v>
      </c>
      <c r="AV106">
        <v>1</v>
      </c>
      <c r="AW106">
        <v>1</v>
      </c>
      <c r="AX106">
        <v>0</v>
      </c>
      <c r="AY106">
        <v>0</v>
      </c>
      <c r="AZ106">
        <v>0</v>
      </c>
      <c r="BA106">
        <v>0</v>
      </c>
      <c r="BC106">
        <v>1</v>
      </c>
      <c r="BE106">
        <v>1</v>
      </c>
      <c r="BG106">
        <v>1</v>
      </c>
      <c r="BH106">
        <v>3</v>
      </c>
      <c r="BI106">
        <v>3</v>
      </c>
      <c r="BJ106">
        <v>2</v>
      </c>
      <c r="BL106">
        <v>2</v>
      </c>
      <c r="BM106">
        <v>1</v>
      </c>
      <c r="BN106">
        <v>1</v>
      </c>
      <c r="BO106">
        <v>0</v>
      </c>
      <c r="BP106">
        <v>0</v>
      </c>
      <c r="BQ106">
        <v>0</v>
      </c>
      <c r="BR106">
        <v>0</v>
      </c>
      <c r="BS106">
        <v>1</v>
      </c>
      <c r="BT106">
        <v>0</v>
      </c>
      <c r="BV106">
        <v>1</v>
      </c>
      <c r="BW106">
        <v>0</v>
      </c>
      <c r="BX106">
        <v>0</v>
      </c>
      <c r="BY106">
        <v>1</v>
      </c>
      <c r="BZ106">
        <v>1</v>
      </c>
      <c r="CA106">
        <v>0</v>
      </c>
      <c r="CB106">
        <v>0</v>
      </c>
      <c r="CC106">
        <v>0</v>
      </c>
      <c r="CD106">
        <v>0</v>
      </c>
      <c r="CE106">
        <v>0</v>
      </c>
      <c r="CF106">
        <v>1</v>
      </c>
      <c r="CG106">
        <v>1</v>
      </c>
      <c r="CH106">
        <v>0</v>
      </c>
      <c r="CI106">
        <v>1</v>
      </c>
      <c r="CJ106">
        <v>0</v>
      </c>
      <c r="CK106">
        <v>0</v>
      </c>
      <c r="CL106">
        <v>0</v>
      </c>
      <c r="CN106">
        <v>5</v>
      </c>
      <c r="CO106">
        <v>4</v>
      </c>
      <c r="CQ106">
        <v>3</v>
      </c>
      <c r="CR106">
        <v>3</v>
      </c>
      <c r="EB106">
        <v>0</v>
      </c>
      <c r="EC106">
        <v>1</v>
      </c>
      <c r="ED106">
        <v>1</v>
      </c>
      <c r="EE106">
        <v>0</v>
      </c>
      <c r="EF106">
        <v>0</v>
      </c>
      <c r="EG106">
        <v>1</v>
      </c>
      <c r="EH106">
        <v>0</v>
      </c>
      <c r="EI106">
        <v>0</v>
      </c>
      <c r="EJ106">
        <v>0</v>
      </c>
      <c r="EK106">
        <v>0</v>
      </c>
      <c r="EM106">
        <v>0</v>
      </c>
      <c r="EN106">
        <v>1</v>
      </c>
      <c r="EO106">
        <v>0</v>
      </c>
      <c r="EP106">
        <v>1</v>
      </c>
      <c r="EQ106">
        <v>1</v>
      </c>
      <c r="ER106">
        <v>0</v>
      </c>
      <c r="ES106">
        <v>0</v>
      </c>
      <c r="ET106">
        <v>0</v>
      </c>
      <c r="EU106">
        <v>0</v>
      </c>
      <c r="EV106">
        <v>0</v>
      </c>
      <c r="EW106">
        <v>1</v>
      </c>
      <c r="EX106">
        <v>0</v>
      </c>
      <c r="EY106">
        <v>0</v>
      </c>
      <c r="FB106" t="s">
        <v>711</v>
      </c>
      <c r="FC106">
        <v>0</v>
      </c>
      <c r="FD106">
        <v>1</v>
      </c>
      <c r="FE106">
        <v>0</v>
      </c>
      <c r="FF106">
        <v>0</v>
      </c>
      <c r="FG106">
        <v>0</v>
      </c>
      <c r="FH106">
        <v>0</v>
      </c>
      <c r="FI106">
        <v>0</v>
      </c>
      <c r="FJ106">
        <v>0</v>
      </c>
      <c r="FK106">
        <v>0</v>
      </c>
      <c r="FL106">
        <v>0</v>
      </c>
      <c r="FM106">
        <v>0</v>
      </c>
      <c r="FN106">
        <v>0</v>
      </c>
      <c r="FO106">
        <v>0</v>
      </c>
      <c r="FP106">
        <v>0</v>
      </c>
      <c r="FQ106">
        <v>0</v>
      </c>
      <c r="FR106">
        <v>0</v>
      </c>
      <c r="FS106">
        <v>0</v>
      </c>
      <c r="FT106">
        <v>0</v>
      </c>
      <c r="FU106">
        <v>0</v>
      </c>
      <c r="FV106">
        <v>0</v>
      </c>
      <c r="FW106">
        <v>0</v>
      </c>
      <c r="FX106">
        <v>0</v>
      </c>
      <c r="IZ106">
        <v>0</v>
      </c>
      <c r="JA106">
        <v>0</v>
      </c>
      <c r="JB106">
        <v>0</v>
      </c>
      <c r="JC106">
        <v>0</v>
      </c>
      <c r="JD106">
        <v>0</v>
      </c>
      <c r="JE106">
        <v>0</v>
      </c>
      <c r="JF106">
        <v>0</v>
      </c>
      <c r="JG106">
        <v>0</v>
      </c>
      <c r="JH106">
        <v>0</v>
      </c>
      <c r="JI106">
        <v>0</v>
      </c>
      <c r="JJ106">
        <v>1</v>
      </c>
      <c r="JL106">
        <v>1</v>
      </c>
      <c r="JM106" cm="1">
        <f t="array" ref="JM106">IF(OR(JN106:JQ106 &lt;&gt; ""), 1, 0)</f>
        <v>1</v>
      </c>
      <c r="JN106">
        <v>1</v>
      </c>
      <c r="JO106">
        <v>0</v>
      </c>
      <c r="JP106">
        <v>0</v>
      </c>
      <c r="JQ106">
        <v>0</v>
      </c>
    </row>
    <row r="107" spans="1:277" x14ac:dyDescent="0.35">
      <c r="A107">
        <v>405210</v>
      </c>
      <c r="C107">
        <v>1</v>
      </c>
      <c r="D107" t="s">
        <v>712</v>
      </c>
      <c r="E107" t="str">
        <f>_xlfn.XLOOKUP(I107, [1]SchoolDistrictStudyWODuplicates!$K:$K, [1]SchoolDistrictStudyWODuplicates!$E:$E, "")</f>
        <v/>
      </c>
      <c r="G107" t="s">
        <v>502</v>
      </c>
      <c r="H107" s="7">
        <v>2634560</v>
      </c>
      <c r="I107" s="7">
        <v>2634560</v>
      </c>
      <c r="J107" s="5" t="e">
        <f>_xlfn.XLOOKUP(I107,#REF!,#REF!,"Not Determined")</f>
        <v>#REF!</v>
      </c>
      <c r="K107" s="5" t="s">
        <v>668</v>
      </c>
      <c r="L107" t="s">
        <v>692</v>
      </c>
      <c r="M107" s="13" t="e">
        <f>_xlfn.XLOOKUP(I107,#REF!,#REF!, "No")</f>
        <v>#REF!</v>
      </c>
      <c r="N107" s="5" t="str">
        <f t="shared" si="22"/>
        <v>No</v>
      </c>
      <c r="O107" s="5" t="str">
        <f t="shared" si="23"/>
        <v>Yes</v>
      </c>
      <c r="P107" s="5" t="str">
        <f t="shared" si="24"/>
        <v>Yes</v>
      </c>
      <c r="Q107" s="5" t="str">
        <f t="shared" si="25"/>
        <v>Yes</v>
      </c>
      <c r="R107" s="5" t="str">
        <f t="shared" si="26"/>
        <v>Yes</v>
      </c>
      <c r="S107" s="5" t="str">
        <f t="shared" si="27"/>
        <v>Yes</v>
      </c>
      <c r="T107" s="5" t="str">
        <f t="shared" si="28"/>
        <v>Yes</v>
      </c>
      <c r="U107" s="5" t="str">
        <f t="shared" si="29"/>
        <v>Yes</v>
      </c>
      <c r="V107" s="5" t="str" cm="1">
        <f t="array" ref="V107">IF(OR(DB107:DG107 =1), "Yes", "No")</f>
        <v>No</v>
      </c>
      <c r="W107" s="5" t="str">
        <f t="shared" si="30"/>
        <v>No</v>
      </c>
      <c r="X107" s="5" t="str">
        <f t="shared" si="31"/>
        <v>No</v>
      </c>
      <c r="Y107" s="5" t="str">
        <f t="shared" si="32"/>
        <v>No</v>
      </c>
      <c r="Z107">
        <v>3</v>
      </c>
      <c r="AB107">
        <v>0</v>
      </c>
      <c r="AC107">
        <v>0</v>
      </c>
      <c r="AD107">
        <v>0</v>
      </c>
      <c r="AE107">
        <v>0</v>
      </c>
      <c r="AF107">
        <v>0</v>
      </c>
      <c r="AG107">
        <v>0</v>
      </c>
      <c r="AH107">
        <v>0</v>
      </c>
      <c r="AI107">
        <v>1</v>
      </c>
      <c r="AJ107">
        <v>0</v>
      </c>
      <c r="AK107">
        <v>1</v>
      </c>
      <c r="AM107">
        <v>0</v>
      </c>
      <c r="AN107">
        <v>1</v>
      </c>
      <c r="AO107">
        <v>0</v>
      </c>
      <c r="AQ107">
        <v>49</v>
      </c>
      <c r="AT107">
        <v>49</v>
      </c>
      <c r="AV107">
        <v>1</v>
      </c>
      <c r="AW107">
        <v>0</v>
      </c>
      <c r="AX107">
        <v>0</v>
      </c>
      <c r="AY107">
        <v>0</v>
      </c>
      <c r="AZ107">
        <v>0</v>
      </c>
      <c r="BA107">
        <v>0</v>
      </c>
      <c r="BC107">
        <v>1</v>
      </c>
      <c r="BE107">
        <v>1</v>
      </c>
      <c r="BG107">
        <v>1</v>
      </c>
      <c r="BH107">
        <v>1</v>
      </c>
      <c r="BI107">
        <v>2</v>
      </c>
      <c r="BJ107">
        <v>1</v>
      </c>
      <c r="BK107">
        <v>6</v>
      </c>
      <c r="BL107">
        <v>1</v>
      </c>
      <c r="BM107">
        <v>1</v>
      </c>
      <c r="BN107">
        <v>1</v>
      </c>
      <c r="BO107">
        <v>0</v>
      </c>
      <c r="BP107">
        <v>0</v>
      </c>
      <c r="BQ107">
        <v>0</v>
      </c>
      <c r="BR107">
        <v>1</v>
      </c>
      <c r="BS107">
        <v>0</v>
      </c>
      <c r="BT107">
        <v>0</v>
      </c>
      <c r="BV107">
        <v>0</v>
      </c>
      <c r="BW107">
        <v>0</v>
      </c>
      <c r="BX107">
        <v>1</v>
      </c>
      <c r="BY107">
        <v>0</v>
      </c>
      <c r="BZ107">
        <v>0</v>
      </c>
      <c r="CA107">
        <v>0</v>
      </c>
      <c r="CB107">
        <v>0</v>
      </c>
      <c r="CC107">
        <v>0</v>
      </c>
      <c r="CD107">
        <v>0</v>
      </c>
      <c r="CE107">
        <v>0</v>
      </c>
      <c r="CF107">
        <v>0</v>
      </c>
      <c r="CG107">
        <v>0</v>
      </c>
      <c r="CH107">
        <v>0</v>
      </c>
      <c r="CI107">
        <v>1</v>
      </c>
      <c r="CJ107">
        <v>0</v>
      </c>
      <c r="CK107">
        <v>0</v>
      </c>
      <c r="CL107">
        <v>0</v>
      </c>
      <c r="CN107">
        <v>15</v>
      </c>
      <c r="CO107">
        <v>4</v>
      </c>
      <c r="CQ107">
        <v>5</v>
      </c>
      <c r="CR107">
        <v>5</v>
      </c>
      <c r="EB107">
        <v>0</v>
      </c>
      <c r="EC107">
        <v>0</v>
      </c>
      <c r="ED107">
        <v>0</v>
      </c>
      <c r="EE107">
        <v>0</v>
      </c>
      <c r="EF107">
        <v>0</v>
      </c>
      <c r="EG107">
        <v>0</v>
      </c>
      <c r="EH107">
        <v>0</v>
      </c>
      <c r="EI107">
        <v>0</v>
      </c>
      <c r="EJ107">
        <v>0</v>
      </c>
      <c r="EK107">
        <v>1</v>
      </c>
      <c r="EM107">
        <v>0</v>
      </c>
      <c r="EN107">
        <v>0</v>
      </c>
      <c r="EO107">
        <v>0</v>
      </c>
      <c r="EP107">
        <v>0</v>
      </c>
      <c r="EQ107">
        <v>0</v>
      </c>
      <c r="ER107">
        <v>0</v>
      </c>
      <c r="ES107">
        <v>0</v>
      </c>
      <c r="ET107">
        <v>0</v>
      </c>
      <c r="EU107">
        <v>0</v>
      </c>
      <c r="EV107">
        <v>0</v>
      </c>
      <c r="EW107">
        <v>0</v>
      </c>
      <c r="EX107">
        <v>0</v>
      </c>
      <c r="EY107">
        <v>1</v>
      </c>
      <c r="IZ107">
        <v>0</v>
      </c>
      <c r="JA107">
        <v>0</v>
      </c>
      <c r="JB107">
        <v>0</v>
      </c>
      <c r="JC107">
        <v>0</v>
      </c>
      <c r="JD107">
        <v>0</v>
      </c>
      <c r="JE107">
        <v>0</v>
      </c>
      <c r="JF107">
        <v>0</v>
      </c>
      <c r="JG107">
        <v>0</v>
      </c>
      <c r="JH107">
        <v>0</v>
      </c>
      <c r="JI107">
        <v>0</v>
      </c>
      <c r="JJ107">
        <v>1</v>
      </c>
      <c r="JL107">
        <v>2</v>
      </c>
      <c r="JM107" cm="1">
        <f t="array" ref="JM107">IF(OR(JN107:JQ107 &lt;&gt; ""), 1, 0)</f>
        <v>0</v>
      </c>
    </row>
    <row r="108" spans="1:277" x14ac:dyDescent="0.35">
      <c r="A108">
        <v>359023</v>
      </c>
      <c r="C108">
        <v>1</v>
      </c>
      <c r="D108" t="s">
        <v>713</v>
      </c>
      <c r="E108" t="str">
        <f>_xlfn.XLOOKUP(I108, [1]SchoolDistrictStudyWODuplicates!$K:$K, [1]SchoolDistrictStudyWODuplicates!$E:$E, "")</f>
        <v>Van Buren ISD</v>
      </c>
      <c r="G108" t="s">
        <v>714</v>
      </c>
      <c r="H108" s="5" t="e">
        <f>_xlfn.XLOOKUP(A108,#REF!,#REF!, "No")</f>
        <v>#REF!</v>
      </c>
      <c r="I108" s="7">
        <v>2680985</v>
      </c>
      <c r="J108" s="5" t="e">
        <f>_xlfn.XLOOKUP(I108,#REF!,#REF!,"Not Determined")</f>
        <v>#REF!</v>
      </c>
      <c r="K108" s="5" t="s">
        <v>668</v>
      </c>
      <c r="L108" t="s">
        <v>692</v>
      </c>
      <c r="M108" s="13" t="e">
        <f>_xlfn.XLOOKUP(I108,#REF!,#REF!, "No")</f>
        <v>#REF!</v>
      </c>
      <c r="N108" s="5" t="str">
        <f t="shared" si="22"/>
        <v>No</v>
      </c>
      <c r="O108" s="5" t="str">
        <f t="shared" si="23"/>
        <v>Yes</v>
      </c>
      <c r="P108" s="5" t="str">
        <f t="shared" si="24"/>
        <v>Yes</v>
      </c>
      <c r="Q108" s="5" t="str">
        <f t="shared" si="25"/>
        <v>Yes</v>
      </c>
      <c r="R108" s="5" t="str">
        <f t="shared" si="26"/>
        <v>Yes</v>
      </c>
      <c r="S108" s="5" t="str">
        <f t="shared" si="27"/>
        <v>Yes</v>
      </c>
      <c r="T108" s="5" t="str">
        <f t="shared" si="28"/>
        <v>Yes</v>
      </c>
      <c r="U108" s="5" t="str">
        <f t="shared" si="29"/>
        <v>Yes</v>
      </c>
      <c r="V108" s="5" t="str" cm="1">
        <f t="array" ref="V108">IF(OR(DB108:DG108 =1), "Yes", "No")</f>
        <v>No</v>
      </c>
      <c r="W108" s="5" t="str">
        <f t="shared" si="30"/>
        <v>Yes</v>
      </c>
      <c r="X108" s="5" t="str">
        <f t="shared" si="31"/>
        <v>No</v>
      </c>
      <c r="Y108" s="5" t="str">
        <f t="shared" si="32"/>
        <v>No</v>
      </c>
      <c r="Z108">
        <v>3</v>
      </c>
      <c r="AB108">
        <v>0</v>
      </c>
      <c r="AC108">
        <v>0</v>
      </c>
      <c r="AD108">
        <v>1</v>
      </c>
      <c r="AE108">
        <v>0</v>
      </c>
      <c r="AF108">
        <v>0</v>
      </c>
      <c r="AG108">
        <v>0</v>
      </c>
      <c r="AH108">
        <v>0</v>
      </c>
      <c r="AI108">
        <v>0</v>
      </c>
      <c r="AJ108">
        <v>0</v>
      </c>
      <c r="AK108">
        <v>1</v>
      </c>
      <c r="AM108">
        <v>1</v>
      </c>
      <c r="AN108">
        <v>1</v>
      </c>
      <c r="AO108">
        <v>0</v>
      </c>
      <c r="AP108">
        <v>2</v>
      </c>
      <c r="AQ108">
        <v>33</v>
      </c>
      <c r="AS108">
        <v>2</v>
      </c>
      <c r="AT108">
        <v>33</v>
      </c>
      <c r="AV108">
        <v>1</v>
      </c>
      <c r="AW108">
        <v>1</v>
      </c>
      <c r="AX108">
        <v>0</v>
      </c>
      <c r="AY108">
        <v>0</v>
      </c>
      <c r="AZ108">
        <v>0</v>
      </c>
      <c r="BA108">
        <v>0</v>
      </c>
      <c r="BC108">
        <v>1</v>
      </c>
      <c r="BE108">
        <v>1</v>
      </c>
      <c r="BG108">
        <v>1</v>
      </c>
      <c r="BH108">
        <v>1</v>
      </c>
      <c r="BI108">
        <v>4</v>
      </c>
      <c r="BJ108">
        <v>1</v>
      </c>
      <c r="BK108">
        <v>4</v>
      </c>
      <c r="BL108">
        <v>1</v>
      </c>
      <c r="BM108">
        <v>1</v>
      </c>
      <c r="BN108">
        <v>2</v>
      </c>
      <c r="BV108">
        <v>0</v>
      </c>
      <c r="BW108">
        <v>0</v>
      </c>
      <c r="BX108">
        <v>1</v>
      </c>
      <c r="BY108">
        <v>0</v>
      </c>
      <c r="BZ108">
        <v>0</v>
      </c>
      <c r="CA108">
        <v>0</v>
      </c>
      <c r="CB108">
        <v>0</v>
      </c>
      <c r="CC108">
        <v>0</v>
      </c>
      <c r="CD108">
        <v>0</v>
      </c>
      <c r="CE108">
        <v>0</v>
      </c>
      <c r="CF108">
        <v>0</v>
      </c>
      <c r="CG108">
        <v>0</v>
      </c>
      <c r="CH108">
        <v>0</v>
      </c>
      <c r="CI108">
        <v>1</v>
      </c>
      <c r="CJ108">
        <v>0</v>
      </c>
      <c r="CK108">
        <v>1</v>
      </c>
      <c r="CL108">
        <v>0</v>
      </c>
      <c r="CN108">
        <v>16</v>
      </c>
      <c r="CO108">
        <v>4</v>
      </c>
      <c r="CQ108">
        <v>5</v>
      </c>
      <c r="CR108">
        <v>5</v>
      </c>
      <c r="EB108">
        <v>0</v>
      </c>
      <c r="EC108">
        <v>1</v>
      </c>
      <c r="ED108">
        <v>1</v>
      </c>
      <c r="EE108">
        <v>1</v>
      </c>
      <c r="EF108">
        <v>1</v>
      </c>
      <c r="EG108">
        <v>1</v>
      </c>
      <c r="EH108">
        <v>0</v>
      </c>
      <c r="EI108">
        <v>0</v>
      </c>
      <c r="EJ108">
        <v>1</v>
      </c>
      <c r="EK108">
        <v>0</v>
      </c>
      <c r="EL108" t="s">
        <v>715</v>
      </c>
      <c r="EM108">
        <v>0</v>
      </c>
      <c r="EN108">
        <v>1</v>
      </c>
      <c r="EO108">
        <v>1</v>
      </c>
      <c r="EP108">
        <v>1</v>
      </c>
      <c r="EQ108">
        <v>0</v>
      </c>
      <c r="ER108">
        <v>0</v>
      </c>
      <c r="ES108">
        <v>0</v>
      </c>
      <c r="ET108">
        <v>1</v>
      </c>
      <c r="EU108">
        <v>1</v>
      </c>
      <c r="EV108">
        <v>1</v>
      </c>
      <c r="EW108">
        <v>1</v>
      </c>
      <c r="EX108">
        <v>0</v>
      </c>
      <c r="EY108">
        <v>0</v>
      </c>
      <c r="FB108" t="s">
        <v>716</v>
      </c>
      <c r="FC108">
        <v>1</v>
      </c>
      <c r="FD108">
        <v>1</v>
      </c>
      <c r="FE108">
        <v>0</v>
      </c>
      <c r="FF108">
        <v>0</v>
      </c>
      <c r="FG108">
        <v>0</v>
      </c>
      <c r="FH108">
        <v>0</v>
      </c>
      <c r="FI108">
        <v>0</v>
      </c>
      <c r="FJ108">
        <v>1</v>
      </c>
      <c r="FK108">
        <v>0</v>
      </c>
      <c r="FL108">
        <v>0</v>
      </c>
      <c r="FM108">
        <v>0</v>
      </c>
      <c r="FN108">
        <v>0</v>
      </c>
      <c r="FO108">
        <v>0</v>
      </c>
      <c r="FP108">
        <v>0</v>
      </c>
      <c r="FQ108">
        <v>0</v>
      </c>
      <c r="FR108">
        <v>0</v>
      </c>
      <c r="FS108">
        <v>0</v>
      </c>
      <c r="FT108">
        <v>0</v>
      </c>
      <c r="FU108">
        <v>0</v>
      </c>
      <c r="FV108">
        <v>0</v>
      </c>
      <c r="FW108">
        <v>0</v>
      </c>
      <c r="FX108">
        <v>0</v>
      </c>
      <c r="FY108" t="s">
        <v>300</v>
      </c>
      <c r="FZ108">
        <v>1</v>
      </c>
      <c r="GA108">
        <v>0</v>
      </c>
      <c r="GB108">
        <v>0</v>
      </c>
      <c r="GC108">
        <v>0</v>
      </c>
      <c r="GD108">
        <v>0</v>
      </c>
      <c r="GE108">
        <v>0</v>
      </c>
      <c r="GF108">
        <v>0</v>
      </c>
      <c r="GG108">
        <v>0</v>
      </c>
      <c r="GH108">
        <v>0</v>
      </c>
      <c r="GI108">
        <v>0</v>
      </c>
      <c r="GJ108">
        <v>0</v>
      </c>
      <c r="GK108">
        <v>0</v>
      </c>
      <c r="GL108">
        <v>0</v>
      </c>
      <c r="GM108">
        <v>0</v>
      </c>
      <c r="GN108">
        <v>0</v>
      </c>
      <c r="GO108">
        <v>0</v>
      </c>
      <c r="GP108">
        <v>0</v>
      </c>
      <c r="GQ108">
        <v>0</v>
      </c>
      <c r="GR108">
        <v>0</v>
      </c>
      <c r="HC108" t="s">
        <v>717</v>
      </c>
      <c r="HD108">
        <v>1</v>
      </c>
      <c r="HE108">
        <v>0</v>
      </c>
      <c r="HF108">
        <v>0</v>
      </c>
      <c r="HG108">
        <v>0</v>
      </c>
      <c r="HH108">
        <v>0</v>
      </c>
      <c r="HI108">
        <v>0</v>
      </c>
      <c r="HJ108">
        <v>0</v>
      </c>
      <c r="HK108">
        <v>0</v>
      </c>
      <c r="HL108">
        <v>0</v>
      </c>
      <c r="HM108">
        <v>0</v>
      </c>
      <c r="HN108">
        <v>0</v>
      </c>
      <c r="HO108">
        <v>0</v>
      </c>
      <c r="HP108">
        <v>0</v>
      </c>
      <c r="HQ108">
        <v>0</v>
      </c>
      <c r="HR108">
        <v>1</v>
      </c>
      <c r="HS108">
        <v>0</v>
      </c>
      <c r="HT108">
        <v>0</v>
      </c>
      <c r="HU108">
        <v>0</v>
      </c>
      <c r="HV108">
        <v>1</v>
      </c>
      <c r="HW108">
        <v>0</v>
      </c>
      <c r="HX108">
        <v>0</v>
      </c>
      <c r="HY108">
        <v>0</v>
      </c>
      <c r="HZ108">
        <v>0</v>
      </c>
      <c r="IA108">
        <v>0</v>
      </c>
      <c r="IB108">
        <v>0</v>
      </c>
      <c r="IC108">
        <v>0</v>
      </c>
      <c r="ID108">
        <v>0</v>
      </c>
      <c r="IE108">
        <v>0</v>
      </c>
      <c r="IF108">
        <v>0</v>
      </c>
      <c r="IG108">
        <v>0</v>
      </c>
      <c r="IH108">
        <v>0</v>
      </c>
      <c r="II108">
        <v>0</v>
      </c>
      <c r="IJ108">
        <v>0</v>
      </c>
      <c r="IK108">
        <v>0</v>
      </c>
      <c r="IL108">
        <v>0</v>
      </c>
      <c r="IM108">
        <v>0</v>
      </c>
      <c r="IN108">
        <v>0</v>
      </c>
      <c r="IO108">
        <v>0</v>
      </c>
      <c r="IP108">
        <v>0</v>
      </c>
      <c r="IQ108">
        <v>0</v>
      </c>
      <c r="IR108">
        <v>0</v>
      </c>
      <c r="IS108">
        <v>0</v>
      </c>
      <c r="IT108">
        <v>0</v>
      </c>
      <c r="IU108">
        <v>0</v>
      </c>
      <c r="IV108">
        <v>0</v>
      </c>
      <c r="IW108">
        <v>0</v>
      </c>
      <c r="IZ108">
        <v>1</v>
      </c>
      <c r="JA108">
        <v>0</v>
      </c>
      <c r="JB108">
        <v>0</v>
      </c>
      <c r="JC108">
        <v>0</v>
      </c>
      <c r="JD108">
        <v>0</v>
      </c>
      <c r="JE108">
        <v>0</v>
      </c>
      <c r="JF108">
        <v>1</v>
      </c>
      <c r="JG108">
        <v>0</v>
      </c>
      <c r="JH108">
        <v>0</v>
      </c>
      <c r="JI108">
        <v>0</v>
      </c>
      <c r="JJ108">
        <v>0</v>
      </c>
      <c r="JL108">
        <v>1</v>
      </c>
      <c r="JM108" cm="1">
        <f t="array" ref="JM108">IF(OR(JN108:JQ108 &lt;&gt; ""), 1, 0)</f>
        <v>1</v>
      </c>
      <c r="JN108">
        <v>1</v>
      </c>
      <c r="JO108">
        <v>1</v>
      </c>
      <c r="JP108">
        <v>1</v>
      </c>
      <c r="JQ108">
        <v>0</v>
      </c>
    </row>
    <row r="109" spans="1:277" x14ac:dyDescent="0.35">
      <c r="A109">
        <v>397203</v>
      </c>
      <c r="C109">
        <v>1</v>
      </c>
      <c r="D109" t="s">
        <v>718</v>
      </c>
      <c r="E109" t="str">
        <f>_xlfn.XLOOKUP(I109, [1]SchoolDistrictStudyWODuplicates!$K:$K, [1]SchoolDistrictStudyWODuplicates!$E:$E, "")</f>
        <v/>
      </c>
      <c r="G109" t="s">
        <v>719</v>
      </c>
      <c r="H109" s="5" t="e">
        <f>_xlfn.XLOOKUP(A109,#REF!,#REF!, "No")</f>
        <v>#REF!</v>
      </c>
      <c r="I109" s="7">
        <v>2636060</v>
      </c>
      <c r="J109" s="5" t="e">
        <f>_xlfn.XLOOKUP(I109,#REF!,#REF!,"Not Determined")</f>
        <v>#REF!</v>
      </c>
      <c r="K109" s="5" t="s">
        <v>668</v>
      </c>
      <c r="L109" t="s">
        <v>692</v>
      </c>
      <c r="M109" s="13" t="e">
        <f>_xlfn.XLOOKUP(I109,#REF!,#REF!, "No")</f>
        <v>#REF!</v>
      </c>
      <c r="N109" s="5" t="str">
        <f t="shared" si="22"/>
        <v>No</v>
      </c>
      <c r="O109" s="5" t="str">
        <f t="shared" si="23"/>
        <v>Yes</v>
      </c>
      <c r="P109" s="5" t="str">
        <f t="shared" si="24"/>
        <v>Yes</v>
      </c>
      <c r="Q109" s="5" t="str">
        <f t="shared" si="25"/>
        <v>Yes</v>
      </c>
      <c r="R109" s="5" t="str">
        <f t="shared" si="26"/>
        <v>No</v>
      </c>
      <c r="S109" s="5" t="str">
        <f t="shared" si="27"/>
        <v>No</v>
      </c>
      <c r="T109" s="5" t="str">
        <f t="shared" si="28"/>
        <v>No</v>
      </c>
      <c r="U109" s="5" t="str">
        <f t="shared" si="29"/>
        <v>No</v>
      </c>
      <c r="V109" s="5" t="str" cm="1">
        <f t="array" ref="V109">IF(OR(DB109:DG109 =1), "Yes", "No")</f>
        <v>No</v>
      </c>
      <c r="W109" s="5" t="str">
        <f t="shared" si="30"/>
        <v>Yes</v>
      </c>
      <c r="X109" s="5" t="str">
        <f t="shared" si="31"/>
        <v>No</v>
      </c>
      <c r="Y109" s="5" t="str">
        <f t="shared" si="32"/>
        <v>No</v>
      </c>
      <c r="Z109">
        <v>3</v>
      </c>
      <c r="AB109">
        <v>1</v>
      </c>
      <c r="AC109">
        <v>0</v>
      </c>
      <c r="AD109">
        <v>1</v>
      </c>
      <c r="AE109">
        <v>0</v>
      </c>
      <c r="AF109">
        <v>0</v>
      </c>
      <c r="AG109">
        <v>1</v>
      </c>
      <c r="AH109">
        <v>0</v>
      </c>
      <c r="AI109">
        <v>1</v>
      </c>
      <c r="AJ109">
        <v>0</v>
      </c>
      <c r="AK109">
        <v>1</v>
      </c>
      <c r="AM109">
        <v>0</v>
      </c>
      <c r="AN109">
        <v>1</v>
      </c>
      <c r="AO109">
        <v>0</v>
      </c>
      <c r="AQ109">
        <v>19</v>
      </c>
      <c r="AT109">
        <v>19</v>
      </c>
      <c r="AV109">
        <v>1</v>
      </c>
      <c r="AW109">
        <v>1</v>
      </c>
      <c r="AX109">
        <v>0</v>
      </c>
      <c r="AY109">
        <v>0</v>
      </c>
      <c r="AZ109">
        <v>0</v>
      </c>
      <c r="BA109">
        <v>0</v>
      </c>
      <c r="BC109">
        <v>2</v>
      </c>
      <c r="BE109">
        <v>5</v>
      </c>
      <c r="BF109" t="s">
        <v>720</v>
      </c>
      <c r="BG109">
        <v>1</v>
      </c>
      <c r="BH109">
        <v>1</v>
      </c>
      <c r="BI109">
        <v>5</v>
      </c>
      <c r="BJ109">
        <v>2</v>
      </c>
      <c r="BL109">
        <v>1</v>
      </c>
      <c r="BM109">
        <v>1</v>
      </c>
      <c r="BN109">
        <v>2</v>
      </c>
      <c r="BV109">
        <v>1</v>
      </c>
      <c r="BW109">
        <v>0</v>
      </c>
      <c r="BX109">
        <v>1</v>
      </c>
      <c r="BY109">
        <v>1</v>
      </c>
      <c r="BZ109">
        <v>1</v>
      </c>
      <c r="CA109">
        <v>0</v>
      </c>
      <c r="CB109">
        <v>0</v>
      </c>
      <c r="CC109">
        <v>0</v>
      </c>
      <c r="CD109">
        <v>0</v>
      </c>
      <c r="CE109">
        <v>0</v>
      </c>
      <c r="CF109">
        <v>0</v>
      </c>
      <c r="CG109">
        <v>1</v>
      </c>
      <c r="CH109">
        <v>0</v>
      </c>
      <c r="CI109">
        <v>0</v>
      </c>
      <c r="CJ109">
        <v>0</v>
      </c>
      <c r="CK109">
        <v>0</v>
      </c>
      <c r="CL109">
        <v>0</v>
      </c>
      <c r="CN109">
        <v>16</v>
      </c>
      <c r="CO109">
        <v>4</v>
      </c>
      <c r="CQ109">
        <v>6</v>
      </c>
      <c r="CR109">
        <v>6</v>
      </c>
      <c r="EB109">
        <v>0</v>
      </c>
      <c r="EC109">
        <v>1</v>
      </c>
      <c r="ED109">
        <v>0</v>
      </c>
      <c r="EE109">
        <v>0</v>
      </c>
      <c r="EF109">
        <v>1</v>
      </c>
      <c r="EG109">
        <v>1</v>
      </c>
      <c r="EH109">
        <v>0</v>
      </c>
      <c r="EI109">
        <v>0</v>
      </c>
      <c r="EJ109">
        <v>0</v>
      </c>
      <c r="EK109">
        <v>0</v>
      </c>
      <c r="EM109">
        <v>0</v>
      </c>
      <c r="EN109">
        <v>0</v>
      </c>
      <c r="EO109">
        <v>0</v>
      </c>
      <c r="EP109">
        <v>1</v>
      </c>
      <c r="EQ109">
        <v>0</v>
      </c>
      <c r="ER109">
        <v>0</v>
      </c>
      <c r="ES109">
        <v>0</v>
      </c>
      <c r="ET109">
        <v>0</v>
      </c>
      <c r="EU109">
        <v>1</v>
      </c>
      <c r="EV109">
        <v>0</v>
      </c>
      <c r="EW109">
        <v>1</v>
      </c>
      <c r="EX109">
        <v>0</v>
      </c>
      <c r="EY109">
        <v>0</v>
      </c>
      <c r="IZ109">
        <v>0</v>
      </c>
      <c r="JA109">
        <v>0</v>
      </c>
      <c r="JB109">
        <v>0</v>
      </c>
      <c r="JC109">
        <v>0</v>
      </c>
      <c r="JD109">
        <v>0</v>
      </c>
      <c r="JE109">
        <v>0</v>
      </c>
      <c r="JF109">
        <v>0</v>
      </c>
      <c r="JG109">
        <v>0</v>
      </c>
      <c r="JH109">
        <v>0</v>
      </c>
      <c r="JI109">
        <v>0</v>
      </c>
      <c r="JJ109">
        <v>1</v>
      </c>
      <c r="JL109">
        <v>1</v>
      </c>
      <c r="JM109" cm="1">
        <f t="array" ref="JM109">IF(OR(JN109:JQ109 &lt;&gt; ""), 1, 0)</f>
        <v>1</v>
      </c>
      <c r="JN109">
        <v>1</v>
      </c>
      <c r="JO109">
        <v>1</v>
      </c>
      <c r="JP109">
        <v>1</v>
      </c>
      <c r="JQ109">
        <v>0</v>
      </c>
    </row>
    <row r="110" spans="1:277" x14ac:dyDescent="0.35">
      <c r="A110">
        <v>370138</v>
      </c>
      <c r="C110">
        <v>1</v>
      </c>
      <c r="D110" t="s">
        <v>725</v>
      </c>
      <c r="E110" t="str">
        <f>_xlfn.XLOOKUP(I110, [1]SchoolDistrictStudyWODuplicates!$K:$K, [1]SchoolDistrictStudyWODuplicates!$E:$E, "")</f>
        <v/>
      </c>
      <c r="G110" t="s">
        <v>726</v>
      </c>
      <c r="H110" s="7">
        <v>2704440</v>
      </c>
      <c r="I110" s="7">
        <v>2704440</v>
      </c>
      <c r="J110" s="5" t="e">
        <f>_xlfn.XLOOKUP(I110,#REF!,#REF!,"Not Determined")</f>
        <v>#REF!</v>
      </c>
      <c r="K110" s="5" t="s">
        <v>743</v>
      </c>
      <c r="L110" t="s">
        <v>723</v>
      </c>
      <c r="M110" s="13" t="e">
        <f>_xlfn.XLOOKUP(I110,#REF!,#REF!, "No")</f>
        <v>#REF!</v>
      </c>
      <c r="N110" s="5" t="str">
        <f t="shared" si="22"/>
        <v>No</v>
      </c>
      <c r="O110" s="5" t="str">
        <f t="shared" si="23"/>
        <v>Yes</v>
      </c>
      <c r="P110" s="5" t="str">
        <f t="shared" si="24"/>
        <v>Yes</v>
      </c>
      <c r="Q110" s="5" t="str">
        <f t="shared" si="25"/>
        <v>Yes</v>
      </c>
      <c r="R110" s="5" t="str">
        <f t="shared" si="26"/>
        <v>Yes</v>
      </c>
      <c r="S110" s="5" t="str">
        <f t="shared" si="27"/>
        <v>Yes</v>
      </c>
      <c r="T110" s="5" t="str">
        <f t="shared" si="28"/>
        <v>Yes</v>
      </c>
      <c r="U110" s="5" t="str">
        <f t="shared" si="29"/>
        <v>No</v>
      </c>
      <c r="V110" s="5" t="str" cm="1">
        <f t="array" ref="V110">IF(OR(DB110:DG110 =1), "Yes", "No")</f>
        <v>No</v>
      </c>
      <c r="W110" s="5" t="str">
        <f t="shared" si="30"/>
        <v>No</v>
      </c>
      <c r="X110" s="5" t="str">
        <f t="shared" si="31"/>
        <v>No</v>
      </c>
      <c r="Y110" s="5" t="str">
        <f t="shared" si="32"/>
        <v>No</v>
      </c>
      <c r="Z110">
        <v>4</v>
      </c>
      <c r="AB110">
        <v>0</v>
      </c>
      <c r="AC110">
        <v>0</v>
      </c>
      <c r="AD110">
        <v>0</v>
      </c>
      <c r="AE110">
        <v>0</v>
      </c>
      <c r="AF110">
        <v>0</v>
      </c>
      <c r="AG110">
        <v>0</v>
      </c>
      <c r="AH110">
        <v>0</v>
      </c>
      <c r="AI110">
        <v>0</v>
      </c>
      <c r="AJ110">
        <v>1</v>
      </c>
      <c r="AK110">
        <v>1</v>
      </c>
      <c r="AM110">
        <v>1</v>
      </c>
      <c r="AN110">
        <v>1</v>
      </c>
      <c r="AO110">
        <v>0</v>
      </c>
      <c r="AP110">
        <v>12</v>
      </c>
      <c r="AQ110">
        <v>85</v>
      </c>
      <c r="AS110">
        <v>12</v>
      </c>
      <c r="AT110">
        <v>85</v>
      </c>
      <c r="AV110">
        <v>1</v>
      </c>
      <c r="AW110">
        <v>1</v>
      </c>
      <c r="AX110">
        <v>0</v>
      </c>
      <c r="AY110">
        <v>0</v>
      </c>
      <c r="AZ110">
        <v>0</v>
      </c>
      <c r="BA110">
        <v>0</v>
      </c>
      <c r="BC110">
        <v>2</v>
      </c>
      <c r="BE110">
        <v>4</v>
      </c>
      <c r="BG110">
        <v>1</v>
      </c>
      <c r="BH110">
        <v>1</v>
      </c>
      <c r="BI110">
        <v>5</v>
      </c>
      <c r="BJ110">
        <v>2</v>
      </c>
      <c r="BL110">
        <v>2</v>
      </c>
      <c r="BM110">
        <v>1</v>
      </c>
      <c r="BN110">
        <v>2</v>
      </c>
      <c r="BV110">
        <v>1</v>
      </c>
      <c r="BW110">
        <v>0</v>
      </c>
      <c r="BX110">
        <v>1</v>
      </c>
      <c r="BY110">
        <v>1</v>
      </c>
      <c r="BZ110">
        <v>1</v>
      </c>
      <c r="CA110">
        <v>1</v>
      </c>
      <c r="CB110">
        <v>1</v>
      </c>
      <c r="CC110">
        <v>0</v>
      </c>
      <c r="CD110">
        <v>1</v>
      </c>
      <c r="CE110">
        <v>0</v>
      </c>
      <c r="CF110">
        <v>0</v>
      </c>
      <c r="CG110">
        <v>1</v>
      </c>
      <c r="CH110">
        <v>1</v>
      </c>
      <c r="CI110">
        <v>1</v>
      </c>
      <c r="CJ110">
        <v>0</v>
      </c>
      <c r="CK110">
        <v>0</v>
      </c>
      <c r="CL110">
        <v>0</v>
      </c>
      <c r="CN110">
        <v>4</v>
      </c>
      <c r="CO110">
        <v>4</v>
      </c>
      <c r="CQ110">
        <v>3</v>
      </c>
      <c r="CR110">
        <v>2</v>
      </c>
      <c r="EB110">
        <v>0</v>
      </c>
      <c r="EC110">
        <v>0</v>
      </c>
      <c r="ED110">
        <v>1</v>
      </c>
      <c r="EE110">
        <v>1</v>
      </c>
      <c r="EF110">
        <v>0</v>
      </c>
      <c r="EG110">
        <v>0</v>
      </c>
      <c r="EH110">
        <v>0</v>
      </c>
      <c r="EI110">
        <v>0</v>
      </c>
      <c r="EJ110">
        <v>0</v>
      </c>
      <c r="EK110">
        <v>0</v>
      </c>
      <c r="EM110">
        <v>0</v>
      </c>
      <c r="EN110">
        <v>1</v>
      </c>
      <c r="EO110">
        <v>1</v>
      </c>
      <c r="EP110">
        <v>0</v>
      </c>
      <c r="EQ110">
        <v>0</v>
      </c>
      <c r="ER110">
        <v>0</v>
      </c>
      <c r="ES110">
        <v>0</v>
      </c>
      <c r="ET110">
        <v>0</v>
      </c>
      <c r="EU110">
        <v>1</v>
      </c>
      <c r="EV110">
        <v>1</v>
      </c>
      <c r="EW110">
        <v>0</v>
      </c>
      <c r="EX110">
        <v>0</v>
      </c>
      <c r="EY110">
        <v>0</v>
      </c>
      <c r="FB110" t="s">
        <v>727</v>
      </c>
      <c r="FC110">
        <v>1</v>
      </c>
      <c r="FD110">
        <v>1</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t="s">
        <v>434</v>
      </c>
      <c r="FZ110">
        <v>1</v>
      </c>
      <c r="GA110">
        <v>0</v>
      </c>
      <c r="GB110">
        <v>0</v>
      </c>
      <c r="GC110">
        <v>0</v>
      </c>
      <c r="GD110">
        <v>0</v>
      </c>
      <c r="GE110">
        <v>0</v>
      </c>
      <c r="GF110">
        <v>0</v>
      </c>
      <c r="GG110">
        <v>0</v>
      </c>
      <c r="GH110">
        <v>0</v>
      </c>
      <c r="GI110">
        <v>0</v>
      </c>
      <c r="GJ110">
        <v>0</v>
      </c>
      <c r="GK110">
        <v>0</v>
      </c>
      <c r="GL110">
        <v>0</v>
      </c>
      <c r="GM110">
        <v>0</v>
      </c>
      <c r="GN110">
        <v>0</v>
      </c>
      <c r="GO110">
        <v>0</v>
      </c>
      <c r="GP110">
        <v>0</v>
      </c>
      <c r="GQ110">
        <v>0</v>
      </c>
      <c r="GR110">
        <v>0</v>
      </c>
      <c r="HC110" t="s">
        <v>285</v>
      </c>
      <c r="HD110">
        <v>1</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c r="IK110">
        <v>0</v>
      </c>
      <c r="IL110">
        <v>0</v>
      </c>
      <c r="IM110">
        <v>0</v>
      </c>
      <c r="IN110">
        <v>0</v>
      </c>
      <c r="IO110">
        <v>0</v>
      </c>
      <c r="IP110">
        <v>0</v>
      </c>
      <c r="IQ110">
        <v>0</v>
      </c>
      <c r="IR110">
        <v>0</v>
      </c>
      <c r="IS110">
        <v>0</v>
      </c>
      <c r="IT110">
        <v>0</v>
      </c>
      <c r="IU110">
        <v>0</v>
      </c>
      <c r="IV110">
        <v>0</v>
      </c>
      <c r="IW110">
        <v>0</v>
      </c>
      <c r="IZ110">
        <v>1</v>
      </c>
      <c r="JA110">
        <v>0</v>
      </c>
      <c r="JB110">
        <v>0</v>
      </c>
      <c r="JC110">
        <v>0</v>
      </c>
      <c r="JD110">
        <v>0</v>
      </c>
      <c r="JE110">
        <v>0</v>
      </c>
      <c r="JF110">
        <v>0</v>
      </c>
      <c r="JG110">
        <v>0</v>
      </c>
      <c r="JH110">
        <v>0</v>
      </c>
      <c r="JI110">
        <v>0</v>
      </c>
      <c r="JJ110">
        <v>0</v>
      </c>
      <c r="JL110">
        <v>2</v>
      </c>
      <c r="JM110" cm="1">
        <f t="array" ref="JM110">IF(OR(JN110:JQ110 &lt;&gt; ""), 1, 0)</f>
        <v>0</v>
      </c>
    </row>
    <row r="111" spans="1:277" x14ac:dyDescent="0.35">
      <c r="A111">
        <v>397307</v>
      </c>
      <c r="C111">
        <v>1</v>
      </c>
      <c r="D111" t="s">
        <v>728</v>
      </c>
      <c r="E111" t="str">
        <f>_xlfn.XLOOKUP(I111, [1]SchoolDistrictStudyWODuplicates!$K:$K, [1]SchoolDistrictStudyWODuplicates!$E:$E, "")</f>
        <v/>
      </c>
      <c r="G111" t="s">
        <v>729</v>
      </c>
      <c r="H111" s="7">
        <v>2912010</v>
      </c>
      <c r="I111" s="7">
        <v>2912010</v>
      </c>
      <c r="J111" s="5" t="e">
        <f>_xlfn.XLOOKUP(I111,#REF!,#REF!,"Not Determined")</f>
        <v>#REF!</v>
      </c>
      <c r="K111" s="5" t="s">
        <v>763</v>
      </c>
      <c r="L111" t="s">
        <v>730</v>
      </c>
      <c r="M111" s="13" t="e">
        <f>_xlfn.XLOOKUP(I111,#REF!,#REF!, "No")</f>
        <v>#REF!</v>
      </c>
      <c r="N111" s="5" t="str">
        <f t="shared" si="22"/>
        <v>No</v>
      </c>
      <c r="O111" s="5" t="str">
        <f t="shared" si="23"/>
        <v>Yes</v>
      </c>
      <c r="P111" s="5" t="str">
        <f t="shared" si="24"/>
        <v>Yes</v>
      </c>
      <c r="Q111" s="5" t="str">
        <f t="shared" si="25"/>
        <v>Yes</v>
      </c>
      <c r="R111" s="5" t="str">
        <f t="shared" si="26"/>
        <v>Yes</v>
      </c>
      <c r="S111" s="5" t="str">
        <f t="shared" si="27"/>
        <v>Yes</v>
      </c>
      <c r="T111" s="5" t="str">
        <f t="shared" si="28"/>
        <v>No</v>
      </c>
      <c r="U111" s="5" t="str">
        <f t="shared" si="29"/>
        <v>No</v>
      </c>
      <c r="V111" s="5" t="str" cm="1">
        <f t="array" ref="V111">IF(OR(DB111:DG111 =1), "Yes", "No")</f>
        <v>No</v>
      </c>
      <c r="W111" s="5" t="str">
        <f t="shared" si="30"/>
        <v>Yes</v>
      </c>
      <c r="X111" s="5" t="str">
        <f t="shared" si="31"/>
        <v>No</v>
      </c>
      <c r="Y111" s="5" t="str">
        <f t="shared" si="32"/>
        <v>No</v>
      </c>
      <c r="Z111">
        <v>13</v>
      </c>
      <c r="AB111">
        <v>0</v>
      </c>
      <c r="AC111">
        <v>1</v>
      </c>
      <c r="AD111">
        <v>0</v>
      </c>
      <c r="AE111">
        <v>0</v>
      </c>
      <c r="AF111">
        <v>0</v>
      </c>
      <c r="AG111">
        <v>0</v>
      </c>
      <c r="AH111">
        <v>0</v>
      </c>
      <c r="AI111">
        <v>0</v>
      </c>
      <c r="AJ111">
        <v>0</v>
      </c>
      <c r="AK111">
        <v>1</v>
      </c>
      <c r="AM111">
        <v>1</v>
      </c>
      <c r="AN111">
        <v>0</v>
      </c>
      <c r="AO111">
        <v>0</v>
      </c>
      <c r="AP111">
        <v>10</v>
      </c>
      <c r="AS111">
        <v>10</v>
      </c>
      <c r="AV111">
        <v>1</v>
      </c>
      <c r="AW111">
        <v>1</v>
      </c>
      <c r="AX111">
        <v>0</v>
      </c>
      <c r="AY111">
        <v>0</v>
      </c>
      <c r="AZ111">
        <v>0</v>
      </c>
      <c r="BA111">
        <v>0</v>
      </c>
      <c r="BC111">
        <v>2</v>
      </c>
      <c r="BE111">
        <v>1</v>
      </c>
      <c r="BG111">
        <v>1</v>
      </c>
      <c r="BH111">
        <v>1</v>
      </c>
      <c r="BI111">
        <v>2</v>
      </c>
      <c r="BJ111">
        <v>1</v>
      </c>
      <c r="BK111">
        <v>6</v>
      </c>
      <c r="BL111">
        <v>2</v>
      </c>
      <c r="BM111">
        <v>1</v>
      </c>
      <c r="BN111">
        <v>1</v>
      </c>
      <c r="BO111">
        <v>1</v>
      </c>
      <c r="BP111">
        <v>0</v>
      </c>
      <c r="BQ111">
        <v>0</v>
      </c>
      <c r="BR111">
        <v>0</v>
      </c>
      <c r="BS111">
        <v>0</v>
      </c>
      <c r="BT111">
        <v>0</v>
      </c>
      <c r="BV111">
        <v>0</v>
      </c>
      <c r="BW111">
        <v>0</v>
      </c>
      <c r="BX111">
        <v>0</v>
      </c>
      <c r="BY111">
        <v>0</v>
      </c>
      <c r="BZ111">
        <v>0</v>
      </c>
      <c r="CA111">
        <v>0</v>
      </c>
      <c r="CB111">
        <v>0</v>
      </c>
      <c r="CC111">
        <v>0</v>
      </c>
      <c r="CD111">
        <v>0</v>
      </c>
      <c r="CE111">
        <v>0</v>
      </c>
      <c r="CF111">
        <v>0</v>
      </c>
      <c r="CG111">
        <v>0</v>
      </c>
      <c r="CH111">
        <v>0</v>
      </c>
      <c r="CI111">
        <v>0</v>
      </c>
      <c r="CJ111">
        <v>1</v>
      </c>
      <c r="CK111">
        <v>0</v>
      </c>
      <c r="CL111">
        <v>0</v>
      </c>
      <c r="CN111">
        <v>15</v>
      </c>
      <c r="CO111">
        <v>1</v>
      </c>
      <c r="CP111" t="s">
        <v>731</v>
      </c>
      <c r="CQ111">
        <v>1</v>
      </c>
      <c r="CR111">
        <v>2</v>
      </c>
      <c r="EB111">
        <v>0</v>
      </c>
      <c r="EC111">
        <v>0</v>
      </c>
      <c r="ED111">
        <v>0</v>
      </c>
      <c r="EE111">
        <v>0</v>
      </c>
      <c r="EF111">
        <v>0</v>
      </c>
      <c r="EG111">
        <v>0</v>
      </c>
      <c r="EH111">
        <v>0</v>
      </c>
      <c r="EI111">
        <v>0</v>
      </c>
      <c r="EJ111">
        <v>0</v>
      </c>
      <c r="EK111">
        <v>1</v>
      </c>
      <c r="EM111">
        <v>0</v>
      </c>
      <c r="EN111">
        <v>0</v>
      </c>
      <c r="EO111">
        <v>0</v>
      </c>
      <c r="EP111">
        <v>0</v>
      </c>
      <c r="EQ111">
        <v>0</v>
      </c>
      <c r="ER111">
        <v>0</v>
      </c>
      <c r="ES111">
        <v>0</v>
      </c>
      <c r="ET111">
        <v>0</v>
      </c>
      <c r="EU111">
        <v>0</v>
      </c>
      <c r="EV111">
        <v>0</v>
      </c>
      <c r="EW111">
        <v>0</v>
      </c>
      <c r="EX111">
        <v>0</v>
      </c>
      <c r="EY111">
        <v>1</v>
      </c>
      <c r="IZ111">
        <v>0</v>
      </c>
      <c r="JA111">
        <v>0</v>
      </c>
      <c r="JB111">
        <v>0</v>
      </c>
      <c r="JC111">
        <v>0</v>
      </c>
      <c r="JD111">
        <v>0</v>
      </c>
      <c r="JE111">
        <v>0</v>
      </c>
      <c r="JF111">
        <v>0</v>
      </c>
      <c r="JG111">
        <v>0</v>
      </c>
      <c r="JH111">
        <v>0</v>
      </c>
      <c r="JI111">
        <v>0</v>
      </c>
      <c r="JJ111">
        <v>1</v>
      </c>
      <c r="JL111">
        <v>1</v>
      </c>
      <c r="JM111" cm="1">
        <f t="array" ref="JM111">IF(OR(JN111:JQ111 &lt;&gt; ""), 1, 0)</f>
        <v>1</v>
      </c>
      <c r="JN111">
        <v>0</v>
      </c>
      <c r="JO111">
        <v>0</v>
      </c>
      <c r="JP111">
        <v>1</v>
      </c>
      <c r="JQ111">
        <v>0</v>
      </c>
    </row>
    <row r="112" spans="1:277" x14ac:dyDescent="0.35">
      <c r="A112">
        <v>405346</v>
      </c>
      <c r="C112">
        <v>1</v>
      </c>
      <c r="D112" t="s">
        <v>732</v>
      </c>
      <c r="E112" t="str">
        <f>_xlfn.XLOOKUP(I112, [1]SchoolDistrictStudyWODuplicates!$K:$K, [1]SchoolDistrictStudyWODuplicates!$E:$E, "")</f>
        <v/>
      </c>
      <c r="G112" t="s">
        <v>733</v>
      </c>
      <c r="H112" s="7">
        <v>2912300</v>
      </c>
      <c r="I112" s="7">
        <v>2912300</v>
      </c>
      <c r="J112" s="5" t="e">
        <f>_xlfn.XLOOKUP(I112,#REF!,#REF!,"Not Determined")</f>
        <v>#REF!</v>
      </c>
      <c r="K112" s="5" t="s">
        <v>763</v>
      </c>
      <c r="L112" t="s">
        <v>730</v>
      </c>
      <c r="M112" s="13" t="e">
        <f>_xlfn.XLOOKUP(I112,#REF!,#REF!, "No")</f>
        <v>#REF!</v>
      </c>
      <c r="N112" s="5" t="str">
        <f t="shared" si="22"/>
        <v>No</v>
      </c>
      <c r="O112" s="5" t="str">
        <f t="shared" si="23"/>
        <v>Yes</v>
      </c>
      <c r="P112" s="5" t="str">
        <f t="shared" si="24"/>
        <v>No</v>
      </c>
      <c r="Q112" s="5" t="str">
        <f t="shared" si="25"/>
        <v>Yes</v>
      </c>
      <c r="R112" s="5" t="str">
        <f t="shared" si="26"/>
        <v>Yes</v>
      </c>
      <c r="S112" s="5" t="str">
        <f t="shared" si="27"/>
        <v>Yes</v>
      </c>
      <c r="T112" s="5" t="str">
        <f t="shared" si="28"/>
        <v>No</v>
      </c>
      <c r="U112" s="5" t="str">
        <f t="shared" si="29"/>
        <v>No</v>
      </c>
      <c r="V112" s="5" t="str" cm="1">
        <f t="array" ref="V112">IF(OR(DB112:DG112 =1), "Yes", "No")</f>
        <v>No</v>
      </c>
      <c r="W112" s="5" t="str">
        <f t="shared" si="30"/>
        <v>No</v>
      </c>
      <c r="X112" s="5" t="str">
        <f t="shared" si="31"/>
        <v>No</v>
      </c>
      <c r="Y112" s="5" t="str">
        <f t="shared" si="32"/>
        <v>No</v>
      </c>
      <c r="Z112">
        <v>3</v>
      </c>
      <c r="AB112">
        <v>0</v>
      </c>
      <c r="AC112">
        <v>0</v>
      </c>
      <c r="AD112">
        <v>1</v>
      </c>
      <c r="AE112">
        <v>0</v>
      </c>
      <c r="AF112">
        <v>0</v>
      </c>
      <c r="AG112">
        <v>0</v>
      </c>
      <c r="AH112">
        <v>1</v>
      </c>
      <c r="AI112">
        <v>1</v>
      </c>
      <c r="AJ112">
        <v>0</v>
      </c>
      <c r="AK112">
        <v>1</v>
      </c>
      <c r="AM112">
        <v>1</v>
      </c>
      <c r="AN112">
        <v>1</v>
      </c>
      <c r="AO112">
        <v>0</v>
      </c>
      <c r="AP112">
        <v>30</v>
      </c>
      <c r="AQ112">
        <v>70</v>
      </c>
      <c r="AS112">
        <v>30</v>
      </c>
      <c r="AT112">
        <v>70</v>
      </c>
      <c r="AV112">
        <v>1</v>
      </c>
      <c r="AW112">
        <v>1</v>
      </c>
      <c r="AX112">
        <v>0</v>
      </c>
      <c r="AY112">
        <v>0</v>
      </c>
      <c r="AZ112">
        <v>0</v>
      </c>
      <c r="BA112">
        <v>0</v>
      </c>
      <c r="BC112">
        <v>1</v>
      </c>
      <c r="BE112">
        <v>1</v>
      </c>
      <c r="BG112">
        <v>1</v>
      </c>
      <c r="BH112">
        <v>1</v>
      </c>
      <c r="BI112">
        <v>1</v>
      </c>
      <c r="BJ112">
        <v>2</v>
      </c>
      <c r="BL112">
        <v>2</v>
      </c>
      <c r="BM112">
        <v>2</v>
      </c>
      <c r="BN112">
        <v>1</v>
      </c>
      <c r="BO112">
        <v>1</v>
      </c>
      <c r="BP112">
        <v>0</v>
      </c>
      <c r="BQ112">
        <v>0</v>
      </c>
      <c r="BR112">
        <v>0</v>
      </c>
      <c r="BS112">
        <v>0</v>
      </c>
      <c r="BT112">
        <v>0</v>
      </c>
      <c r="BV112">
        <v>1</v>
      </c>
      <c r="BW112">
        <v>0</v>
      </c>
      <c r="BX112">
        <v>0</v>
      </c>
      <c r="BY112">
        <v>0</v>
      </c>
      <c r="BZ112">
        <v>0</v>
      </c>
      <c r="CA112">
        <v>0</v>
      </c>
      <c r="CB112">
        <v>0</v>
      </c>
      <c r="CC112">
        <v>0</v>
      </c>
      <c r="CD112">
        <v>1</v>
      </c>
      <c r="CE112">
        <v>0</v>
      </c>
      <c r="CF112">
        <v>0</v>
      </c>
      <c r="CG112">
        <v>0</v>
      </c>
      <c r="CH112">
        <v>0</v>
      </c>
      <c r="CI112">
        <v>1</v>
      </c>
      <c r="CJ112">
        <v>0</v>
      </c>
      <c r="CK112">
        <v>0</v>
      </c>
      <c r="CL112">
        <v>0</v>
      </c>
      <c r="CN112">
        <v>1</v>
      </c>
      <c r="CO112">
        <v>4</v>
      </c>
      <c r="CQ112">
        <v>1</v>
      </c>
      <c r="CR112">
        <v>1</v>
      </c>
      <c r="EB112">
        <v>0</v>
      </c>
      <c r="EC112">
        <v>0</v>
      </c>
      <c r="ED112">
        <v>0</v>
      </c>
      <c r="EE112">
        <v>0</v>
      </c>
      <c r="EF112">
        <v>0</v>
      </c>
      <c r="EG112">
        <v>1</v>
      </c>
      <c r="EH112">
        <v>0</v>
      </c>
      <c r="EI112">
        <v>0</v>
      </c>
      <c r="EJ112">
        <v>0</v>
      </c>
      <c r="EK112">
        <v>0</v>
      </c>
      <c r="EM112">
        <v>0</v>
      </c>
      <c r="EN112">
        <v>1</v>
      </c>
      <c r="EO112">
        <v>0</v>
      </c>
      <c r="EP112">
        <v>1</v>
      </c>
      <c r="EQ112">
        <v>0</v>
      </c>
      <c r="ER112">
        <v>0</v>
      </c>
      <c r="ES112">
        <v>0</v>
      </c>
      <c r="ET112">
        <v>0</v>
      </c>
      <c r="EU112">
        <v>0</v>
      </c>
      <c r="EV112">
        <v>0</v>
      </c>
      <c r="EW112">
        <v>1</v>
      </c>
      <c r="EX112">
        <v>0</v>
      </c>
      <c r="EY112">
        <v>0</v>
      </c>
      <c r="FB112" t="s">
        <v>734</v>
      </c>
      <c r="FC112">
        <v>1</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IZ112">
        <v>1</v>
      </c>
      <c r="JA112">
        <v>0</v>
      </c>
      <c r="JB112">
        <v>0</v>
      </c>
      <c r="JC112">
        <v>1</v>
      </c>
      <c r="JD112">
        <v>1</v>
      </c>
      <c r="JE112">
        <v>0</v>
      </c>
      <c r="JF112">
        <v>0</v>
      </c>
      <c r="JG112">
        <v>0</v>
      </c>
      <c r="JH112">
        <v>0</v>
      </c>
      <c r="JI112">
        <v>0</v>
      </c>
      <c r="JJ112">
        <v>0</v>
      </c>
      <c r="JL112">
        <v>2</v>
      </c>
      <c r="JM112" cm="1">
        <f t="array" ref="JM112">IF(OR(JN112:JQ112 &lt;&gt; ""), 1, 0)</f>
        <v>0</v>
      </c>
    </row>
    <row r="113" spans="1:277" x14ac:dyDescent="0.35">
      <c r="A113">
        <v>405533</v>
      </c>
      <c r="C113">
        <v>1</v>
      </c>
      <c r="D113" t="s">
        <v>735</v>
      </c>
      <c r="E113" t="str">
        <f>_xlfn.XLOOKUP(I113, [1]SchoolDistrictStudyWODuplicates!$K:$K, [1]SchoolDistrictStudyWODuplicates!$E:$E, "")</f>
        <v/>
      </c>
      <c r="G113" t="s">
        <v>736</v>
      </c>
      <c r="H113" s="7">
        <v>2916230</v>
      </c>
      <c r="I113" s="7">
        <v>2916230</v>
      </c>
      <c r="J113" s="5" t="e">
        <f>_xlfn.XLOOKUP(I113,#REF!,#REF!,"Not Determined")</f>
        <v>#REF!</v>
      </c>
      <c r="K113" s="5" t="s">
        <v>763</v>
      </c>
      <c r="L113" t="s">
        <v>730</v>
      </c>
      <c r="M113" s="13" t="e">
        <f>_xlfn.XLOOKUP(I113,#REF!,#REF!, "No")</f>
        <v>#REF!</v>
      </c>
      <c r="N113" s="5" t="str">
        <f t="shared" si="22"/>
        <v>No</v>
      </c>
      <c r="O113" s="5" t="str">
        <f t="shared" si="23"/>
        <v>Yes</v>
      </c>
      <c r="P113" s="5" t="str">
        <f t="shared" si="24"/>
        <v>Yes</v>
      </c>
      <c r="Q113" s="5" t="str">
        <f t="shared" si="25"/>
        <v>Yes</v>
      </c>
      <c r="R113" s="5" t="str">
        <f t="shared" si="26"/>
        <v>Yes</v>
      </c>
      <c r="S113" s="5" t="str">
        <f t="shared" si="27"/>
        <v>Yes</v>
      </c>
      <c r="T113" s="5" t="str">
        <f t="shared" si="28"/>
        <v>Yes</v>
      </c>
      <c r="U113" s="5" t="str">
        <f t="shared" si="29"/>
        <v>Yes</v>
      </c>
      <c r="V113" s="5" t="str" cm="1">
        <f t="array" ref="V113">IF(OR(DB113:DG113 =1), "Yes", "No")</f>
        <v>No</v>
      </c>
      <c r="W113" s="5" t="str">
        <f t="shared" si="30"/>
        <v>Yes</v>
      </c>
      <c r="X113" s="5" t="str">
        <f t="shared" si="31"/>
        <v>No</v>
      </c>
      <c r="Y113" s="5" t="str">
        <f t="shared" si="32"/>
        <v>No</v>
      </c>
      <c r="Z113">
        <v>3</v>
      </c>
      <c r="AB113">
        <v>1</v>
      </c>
      <c r="AC113">
        <v>0</v>
      </c>
      <c r="AD113">
        <v>1</v>
      </c>
      <c r="AE113">
        <v>0</v>
      </c>
      <c r="AF113">
        <v>0</v>
      </c>
      <c r="AG113">
        <v>0</v>
      </c>
      <c r="AH113">
        <v>0</v>
      </c>
      <c r="AI113">
        <v>0</v>
      </c>
      <c r="AJ113">
        <v>0</v>
      </c>
      <c r="AK113">
        <v>1</v>
      </c>
      <c r="AM113">
        <v>1</v>
      </c>
      <c r="AN113">
        <v>1</v>
      </c>
      <c r="AO113">
        <v>0</v>
      </c>
      <c r="AP113">
        <v>3</v>
      </c>
      <c r="AQ113">
        <v>12</v>
      </c>
      <c r="AS113">
        <v>3</v>
      </c>
      <c r="AT113">
        <v>12</v>
      </c>
      <c r="AV113">
        <v>1</v>
      </c>
      <c r="AW113">
        <v>1</v>
      </c>
      <c r="AX113">
        <v>0</v>
      </c>
      <c r="AY113">
        <v>0</v>
      </c>
      <c r="AZ113">
        <v>0</v>
      </c>
      <c r="BA113">
        <v>0</v>
      </c>
      <c r="BC113">
        <v>1</v>
      </c>
      <c r="BE113">
        <v>1</v>
      </c>
      <c r="BG113">
        <v>1</v>
      </c>
      <c r="BH113">
        <v>1</v>
      </c>
      <c r="BI113">
        <v>4</v>
      </c>
      <c r="BJ113">
        <v>1</v>
      </c>
      <c r="BK113">
        <v>4</v>
      </c>
      <c r="BL113">
        <v>2</v>
      </c>
      <c r="BM113">
        <v>1</v>
      </c>
      <c r="BN113">
        <v>2</v>
      </c>
      <c r="BV113">
        <v>1</v>
      </c>
      <c r="BW113">
        <v>1</v>
      </c>
      <c r="BX113">
        <v>0</v>
      </c>
      <c r="BY113">
        <v>1</v>
      </c>
      <c r="BZ113">
        <v>1</v>
      </c>
      <c r="CA113">
        <v>0</v>
      </c>
      <c r="CB113">
        <v>0</v>
      </c>
      <c r="CC113">
        <v>0</v>
      </c>
      <c r="CD113">
        <v>1</v>
      </c>
      <c r="CE113">
        <v>0</v>
      </c>
      <c r="CF113">
        <v>1</v>
      </c>
      <c r="CG113">
        <v>1</v>
      </c>
      <c r="CH113">
        <v>0</v>
      </c>
      <c r="CI113">
        <v>1</v>
      </c>
      <c r="CJ113">
        <v>0</v>
      </c>
      <c r="CK113">
        <v>1</v>
      </c>
      <c r="CL113">
        <v>0</v>
      </c>
      <c r="CN113">
        <v>16</v>
      </c>
      <c r="CO113">
        <v>4</v>
      </c>
      <c r="CQ113">
        <v>3</v>
      </c>
      <c r="CR113">
        <v>4</v>
      </c>
      <c r="EB113">
        <v>0</v>
      </c>
      <c r="EC113">
        <v>1</v>
      </c>
      <c r="ED113">
        <v>1</v>
      </c>
      <c r="EE113">
        <v>0</v>
      </c>
      <c r="EF113">
        <v>0</v>
      </c>
      <c r="EG113">
        <v>1</v>
      </c>
      <c r="EH113">
        <v>0</v>
      </c>
      <c r="EI113">
        <v>0</v>
      </c>
      <c r="EJ113">
        <v>0</v>
      </c>
      <c r="EK113">
        <v>0</v>
      </c>
      <c r="EM113">
        <v>0</v>
      </c>
      <c r="EN113">
        <v>0</v>
      </c>
      <c r="EO113">
        <v>0</v>
      </c>
      <c r="EP113">
        <v>1</v>
      </c>
      <c r="EQ113">
        <v>0</v>
      </c>
      <c r="ER113">
        <v>0</v>
      </c>
      <c r="ES113">
        <v>0</v>
      </c>
      <c r="ET113">
        <v>0</v>
      </c>
      <c r="EU113">
        <v>1</v>
      </c>
      <c r="EV113">
        <v>1</v>
      </c>
      <c r="EW113">
        <v>1</v>
      </c>
      <c r="EX113">
        <v>0</v>
      </c>
      <c r="EY113">
        <v>0</v>
      </c>
      <c r="HC113" t="s">
        <v>737</v>
      </c>
      <c r="HD113">
        <v>0</v>
      </c>
      <c r="HE113">
        <v>0</v>
      </c>
      <c r="HF113">
        <v>0</v>
      </c>
      <c r="HG113">
        <v>0</v>
      </c>
      <c r="HH113">
        <v>0</v>
      </c>
      <c r="HI113">
        <v>0</v>
      </c>
      <c r="HJ113">
        <v>0</v>
      </c>
      <c r="HK113">
        <v>0</v>
      </c>
      <c r="HL113">
        <v>0</v>
      </c>
      <c r="HM113">
        <v>0</v>
      </c>
      <c r="HN113">
        <v>0</v>
      </c>
      <c r="HO113">
        <v>0</v>
      </c>
      <c r="HP113">
        <v>0</v>
      </c>
      <c r="HQ113">
        <v>0</v>
      </c>
      <c r="HR113">
        <v>0</v>
      </c>
      <c r="HS113">
        <v>0</v>
      </c>
      <c r="HT113">
        <v>1</v>
      </c>
      <c r="HU113">
        <v>0</v>
      </c>
      <c r="HV113">
        <v>0</v>
      </c>
      <c r="HW113">
        <v>0</v>
      </c>
      <c r="HX113">
        <v>0</v>
      </c>
      <c r="HY113">
        <v>0</v>
      </c>
      <c r="HZ113">
        <v>0</v>
      </c>
      <c r="IA113">
        <v>0</v>
      </c>
      <c r="IB113">
        <v>0</v>
      </c>
      <c r="IC113">
        <v>0</v>
      </c>
      <c r="ID113">
        <v>0</v>
      </c>
      <c r="IE113">
        <v>0</v>
      </c>
      <c r="IF113">
        <v>0</v>
      </c>
      <c r="IG113">
        <v>0</v>
      </c>
      <c r="IH113">
        <v>0</v>
      </c>
      <c r="II113">
        <v>0</v>
      </c>
      <c r="IJ113">
        <v>0</v>
      </c>
      <c r="IK113">
        <v>0</v>
      </c>
      <c r="IL113">
        <v>0</v>
      </c>
      <c r="IM113">
        <v>0</v>
      </c>
      <c r="IN113">
        <v>0</v>
      </c>
      <c r="IO113">
        <v>0</v>
      </c>
      <c r="IP113">
        <v>0</v>
      </c>
      <c r="IQ113">
        <v>0</v>
      </c>
      <c r="IR113">
        <v>0</v>
      </c>
      <c r="IS113">
        <v>0</v>
      </c>
      <c r="IT113">
        <v>0</v>
      </c>
      <c r="IU113">
        <v>0</v>
      </c>
      <c r="IV113">
        <v>0</v>
      </c>
      <c r="IW113">
        <v>0</v>
      </c>
      <c r="IZ113">
        <v>1</v>
      </c>
      <c r="JA113">
        <v>0</v>
      </c>
      <c r="JB113">
        <v>0</v>
      </c>
      <c r="JC113">
        <v>1</v>
      </c>
      <c r="JD113">
        <v>1</v>
      </c>
      <c r="JE113">
        <v>0</v>
      </c>
      <c r="JF113">
        <v>0</v>
      </c>
      <c r="JG113">
        <v>0</v>
      </c>
      <c r="JH113">
        <v>0</v>
      </c>
      <c r="JI113">
        <v>0</v>
      </c>
      <c r="JJ113">
        <v>0</v>
      </c>
      <c r="JL113">
        <v>1</v>
      </c>
      <c r="JM113" cm="1">
        <f t="array" ref="JM113">IF(OR(JN113:JQ113 &lt;&gt; ""), 1, 0)</f>
        <v>1</v>
      </c>
      <c r="JN113">
        <v>1</v>
      </c>
      <c r="JO113">
        <v>0</v>
      </c>
      <c r="JP113">
        <v>0</v>
      </c>
      <c r="JQ113">
        <v>0</v>
      </c>
    </row>
    <row r="114" spans="1:277" x14ac:dyDescent="0.35">
      <c r="A114">
        <v>405452</v>
      </c>
      <c r="C114">
        <v>1</v>
      </c>
      <c r="D114" t="s">
        <v>738</v>
      </c>
      <c r="E114" t="str">
        <f>_xlfn.XLOOKUP(I114, [1]SchoolDistrictStudyWODuplicates!$K:$K, [1]SchoolDistrictStudyWODuplicates!$E:$E, "")</f>
        <v/>
      </c>
      <c r="G114" t="s">
        <v>739</v>
      </c>
      <c r="H114" s="7">
        <v>2923160</v>
      </c>
      <c r="I114" s="7">
        <v>2923160</v>
      </c>
      <c r="J114" s="5" t="e">
        <f>_xlfn.XLOOKUP(I114,#REF!,#REF!,"Not Determined")</f>
        <v>#REF!</v>
      </c>
      <c r="K114" s="5" t="s">
        <v>763</v>
      </c>
      <c r="L114" t="s">
        <v>730</v>
      </c>
      <c r="M114" s="13" t="e">
        <f>_xlfn.XLOOKUP(I114,#REF!,#REF!, "No")</f>
        <v>#REF!</v>
      </c>
      <c r="N114" s="5" t="str">
        <f t="shared" si="22"/>
        <v>No</v>
      </c>
      <c r="O114" s="5" t="str">
        <f t="shared" si="23"/>
        <v>Yes</v>
      </c>
      <c r="P114" s="5" t="str">
        <f t="shared" si="24"/>
        <v>Yes</v>
      </c>
      <c r="Q114" s="5" t="str">
        <f t="shared" si="25"/>
        <v>Yes</v>
      </c>
      <c r="R114" s="5" t="str">
        <f t="shared" si="26"/>
        <v>Yes</v>
      </c>
      <c r="S114" s="5" t="str">
        <f t="shared" si="27"/>
        <v>Yes</v>
      </c>
      <c r="T114" s="5" t="str">
        <f t="shared" si="28"/>
        <v>Yes</v>
      </c>
      <c r="U114" s="5" t="str">
        <f t="shared" si="29"/>
        <v>Yes</v>
      </c>
      <c r="V114" s="5" t="str" cm="1">
        <f t="array" ref="V114">IF(OR(DB114:DG114 =1), "Yes", "No")</f>
        <v>No</v>
      </c>
      <c r="W114" s="5" t="str">
        <f t="shared" si="30"/>
        <v>Yes</v>
      </c>
      <c r="X114" s="5" t="str">
        <f t="shared" si="31"/>
        <v>No</v>
      </c>
      <c r="Y114" s="5" t="str">
        <f t="shared" si="32"/>
        <v>No</v>
      </c>
      <c r="Z114">
        <v>3</v>
      </c>
      <c r="AB114">
        <v>0</v>
      </c>
      <c r="AC114">
        <v>1</v>
      </c>
      <c r="AD114">
        <v>1</v>
      </c>
      <c r="AE114">
        <v>0</v>
      </c>
      <c r="AF114">
        <v>0</v>
      </c>
      <c r="AG114">
        <v>0</v>
      </c>
      <c r="AH114">
        <v>0</v>
      </c>
      <c r="AI114">
        <v>0</v>
      </c>
      <c r="AJ114">
        <v>0</v>
      </c>
      <c r="AK114">
        <v>1</v>
      </c>
      <c r="AM114">
        <v>0</v>
      </c>
      <c r="AN114">
        <v>1</v>
      </c>
      <c r="AO114">
        <v>0</v>
      </c>
      <c r="AQ114">
        <v>30</v>
      </c>
      <c r="AT114">
        <v>30</v>
      </c>
      <c r="AV114">
        <v>1</v>
      </c>
      <c r="AW114">
        <v>0</v>
      </c>
      <c r="AX114">
        <v>0</v>
      </c>
      <c r="AY114">
        <v>0</v>
      </c>
      <c r="AZ114">
        <v>0</v>
      </c>
      <c r="BA114">
        <v>0</v>
      </c>
      <c r="BC114">
        <v>1</v>
      </c>
      <c r="BE114">
        <v>5</v>
      </c>
      <c r="BF114" t="s">
        <v>740</v>
      </c>
      <c r="BG114">
        <v>1</v>
      </c>
      <c r="BH114">
        <v>1</v>
      </c>
      <c r="BI114">
        <v>4</v>
      </c>
      <c r="BJ114">
        <v>1</v>
      </c>
      <c r="BK114">
        <v>4</v>
      </c>
      <c r="BL114">
        <v>2</v>
      </c>
      <c r="BM114">
        <v>1</v>
      </c>
      <c r="BN114">
        <v>2</v>
      </c>
      <c r="BV114">
        <v>0</v>
      </c>
      <c r="BW114">
        <v>0</v>
      </c>
      <c r="BX114">
        <v>0</v>
      </c>
      <c r="BY114">
        <v>0</v>
      </c>
      <c r="BZ114">
        <v>1</v>
      </c>
      <c r="CA114">
        <v>1</v>
      </c>
      <c r="CB114">
        <v>0</v>
      </c>
      <c r="CC114">
        <v>0</v>
      </c>
      <c r="CD114">
        <v>1</v>
      </c>
      <c r="CE114">
        <v>0</v>
      </c>
      <c r="CF114">
        <v>1</v>
      </c>
      <c r="CG114">
        <v>1</v>
      </c>
      <c r="CH114">
        <v>0</v>
      </c>
      <c r="CI114">
        <v>1</v>
      </c>
      <c r="CJ114">
        <v>0</v>
      </c>
      <c r="CK114">
        <v>0</v>
      </c>
      <c r="CL114">
        <v>0</v>
      </c>
      <c r="CN114">
        <v>9</v>
      </c>
      <c r="CO114">
        <v>4</v>
      </c>
      <c r="CQ114">
        <v>3</v>
      </c>
      <c r="CR114">
        <v>3</v>
      </c>
      <c r="EB114">
        <v>1</v>
      </c>
      <c r="EC114">
        <v>0</v>
      </c>
      <c r="ED114">
        <v>1</v>
      </c>
      <c r="EE114">
        <v>1</v>
      </c>
      <c r="EF114">
        <v>1</v>
      </c>
      <c r="EG114">
        <v>0</v>
      </c>
      <c r="EH114">
        <v>0</v>
      </c>
      <c r="EI114">
        <v>0</v>
      </c>
      <c r="EJ114">
        <v>0</v>
      </c>
      <c r="EK114">
        <v>0</v>
      </c>
      <c r="EM114">
        <v>0</v>
      </c>
      <c r="EN114">
        <v>1</v>
      </c>
      <c r="EO114">
        <v>0</v>
      </c>
      <c r="EP114">
        <v>1</v>
      </c>
      <c r="EQ114">
        <v>1</v>
      </c>
      <c r="ER114">
        <v>0</v>
      </c>
      <c r="ES114">
        <v>0</v>
      </c>
      <c r="ET114">
        <v>1</v>
      </c>
      <c r="EU114">
        <v>1</v>
      </c>
      <c r="EV114">
        <v>1</v>
      </c>
      <c r="EW114">
        <v>1</v>
      </c>
      <c r="EX114">
        <v>0</v>
      </c>
      <c r="EY114">
        <v>0</v>
      </c>
      <c r="FB114" t="s">
        <v>285</v>
      </c>
      <c r="FC114">
        <v>0</v>
      </c>
      <c r="FD114">
        <v>1</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HC114" t="s">
        <v>737</v>
      </c>
      <c r="HD114">
        <v>0</v>
      </c>
      <c r="HE114">
        <v>0</v>
      </c>
      <c r="HF114">
        <v>0</v>
      </c>
      <c r="HG114">
        <v>0</v>
      </c>
      <c r="HH114">
        <v>0</v>
      </c>
      <c r="HI114">
        <v>0</v>
      </c>
      <c r="HJ114">
        <v>0</v>
      </c>
      <c r="HK114">
        <v>0</v>
      </c>
      <c r="HL114">
        <v>0</v>
      </c>
      <c r="HM114">
        <v>0</v>
      </c>
      <c r="HN114">
        <v>0</v>
      </c>
      <c r="HO114">
        <v>0</v>
      </c>
      <c r="HP114">
        <v>0</v>
      </c>
      <c r="HQ114">
        <v>0</v>
      </c>
      <c r="HR114">
        <v>0</v>
      </c>
      <c r="HS114">
        <v>0</v>
      </c>
      <c r="HT114">
        <v>1</v>
      </c>
      <c r="HU114">
        <v>0</v>
      </c>
      <c r="HV114">
        <v>0</v>
      </c>
      <c r="HW114">
        <v>0</v>
      </c>
      <c r="HX114">
        <v>0</v>
      </c>
      <c r="HY114">
        <v>0</v>
      </c>
      <c r="HZ114">
        <v>0</v>
      </c>
      <c r="IA114">
        <v>0</v>
      </c>
      <c r="IB114">
        <v>0</v>
      </c>
      <c r="IC114">
        <v>0</v>
      </c>
      <c r="ID114">
        <v>0</v>
      </c>
      <c r="IE114">
        <v>0</v>
      </c>
      <c r="IF114">
        <v>0</v>
      </c>
      <c r="IG114">
        <v>0</v>
      </c>
      <c r="IH114">
        <v>0</v>
      </c>
      <c r="II114">
        <v>0</v>
      </c>
      <c r="IJ114">
        <v>0</v>
      </c>
      <c r="IK114">
        <v>0</v>
      </c>
      <c r="IL114">
        <v>0</v>
      </c>
      <c r="IM114">
        <v>0</v>
      </c>
      <c r="IN114">
        <v>0</v>
      </c>
      <c r="IO114">
        <v>0</v>
      </c>
      <c r="IP114">
        <v>0</v>
      </c>
      <c r="IQ114">
        <v>0</v>
      </c>
      <c r="IR114">
        <v>0</v>
      </c>
      <c r="IS114">
        <v>0</v>
      </c>
      <c r="IT114">
        <v>0</v>
      </c>
      <c r="IU114">
        <v>0</v>
      </c>
      <c r="IV114">
        <v>0</v>
      </c>
      <c r="IW114">
        <v>0</v>
      </c>
      <c r="IZ114">
        <v>1</v>
      </c>
      <c r="JA114">
        <v>0</v>
      </c>
      <c r="JB114">
        <v>1</v>
      </c>
      <c r="JC114">
        <v>0</v>
      </c>
      <c r="JD114">
        <v>0</v>
      </c>
      <c r="JE114">
        <v>0</v>
      </c>
      <c r="JF114">
        <v>1</v>
      </c>
      <c r="JG114">
        <v>0</v>
      </c>
      <c r="JH114">
        <v>0</v>
      </c>
      <c r="JI114">
        <v>0</v>
      </c>
      <c r="JJ114">
        <v>0</v>
      </c>
      <c r="JL114">
        <v>1</v>
      </c>
      <c r="JM114" cm="1">
        <f t="array" ref="JM114">IF(OR(JN114:JQ114 &lt;&gt; ""), 1, 0)</f>
        <v>1</v>
      </c>
      <c r="JN114">
        <v>1</v>
      </c>
      <c r="JO114">
        <v>0</v>
      </c>
      <c r="JP114">
        <v>0</v>
      </c>
      <c r="JQ114">
        <v>0</v>
      </c>
    </row>
    <row r="115" spans="1:277" x14ac:dyDescent="0.35">
      <c r="A115">
        <v>374908</v>
      </c>
      <c r="C115">
        <v>1</v>
      </c>
      <c r="D115" t="s">
        <v>741</v>
      </c>
      <c r="E115" t="str">
        <f>_xlfn.XLOOKUP(I115, [1]SchoolDistrictStudyWODuplicates!$K:$K, [1]SchoolDistrictStudyWODuplicates!$E:$E, "")</f>
        <v/>
      </c>
      <c r="G115" t="s">
        <v>742</v>
      </c>
      <c r="H115" s="7">
        <v>2929580</v>
      </c>
      <c r="I115" s="7">
        <v>2929580</v>
      </c>
      <c r="J115" s="5" t="e">
        <f>_xlfn.XLOOKUP(I115,#REF!,#REF!,"Not Determined")</f>
        <v>#REF!</v>
      </c>
      <c r="K115" s="5" t="s">
        <v>763</v>
      </c>
      <c r="L115" t="s">
        <v>730</v>
      </c>
      <c r="M115" s="13" t="e">
        <f>_xlfn.XLOOKUP(I115,#REF!,#REF!, "No")</f>
        <v>#REF!</v>
      </c>
      <c r="N115" s="5" t="str">
        <f t="shared" si="22"/>
        <v>No</v>
      </c>
      <c r="O115" s="5" t="str">
        <f t="shared" si="23"/>
        <v>Yes</v>
      </c>
      <c r="P115" s="5" t="str">
        <f t="shared" si="24"/>
        <v>Yes</v>
      </c>
      <c r="Q115" s="5" t="str">
        <f t="shared" si="25"/>
        <v>Yes</v>
      </c>
      <c r="R115" s="5" t="str">
        <f t="shared" si="26"/>
        <v>Yes</v>
      </c>
      <c r="S115" s="5" t="str">
        <f t="shared" si="27"/>
        <v>Yes</v>
      </c>
      <c r="T115" s="5" t="str">
        <f t="shared" si="28"/>
        <v>No</v>
      </c>
      <c r="U115" s="5" t="str">
        <f t="shared" si="29"/>
        <v>Yes</v>
      </c>
      <c r="V115" s="5" t="str" cm="1">
        <f t="array" ref="V115">IF(OR(DB115:DG115 =1), "Yes", "No")</f>
        <v>No</v>
      </c>
      <c r="W115" s="5" t="str">
        <f t="shared" si="30"/>
        <v>No</v>
      </c>
      <c r="X115" s="5" t="str">
        <f t="shared" si="31"/>
        <v>No</v>
      </c>
      <c r="Y115" s="5" t="str">
        <f t="shared" si="32"/>
        <v>No</v>
      </c>
      <c r="Z115">
        <v>3</v>
      </c>
      <c r="AB115">
        <v>1</v>
      </c>
      <c r="AC115">
        <v>0</v>
      </c>
      <c r="AD115">
        <v>1</v>
      </c>
      <c r="AE115">
        <v>0</v>
      </c>
      <c r="AF115">
        <v>0</v>
      </c>
      <c r="AG115">
        <v>0</v>
      </c>
      <c r="AH115">
        <v>0</v>
      </c>
      <c r="AI115">
        <v>0</v>
      </c>
      <c r="AJ115">
        <v>0</v>
      </c>
      <c r="AK115">
        <v>1</v>
      </c>
      <c r="AM115">
        <v>1</v>
      </c>
      <c r="AN115">
        <v>0</v>
      </c>
      <c r="AO115">
        <v>0</v>
      </c>
      <c r="AP115">
        <v>0</v>
      </c>
      <c r="AV115">
        <v>1</v>
      </c>
      <c r="AW115">
        <v>0</v>
      </c>
      <c r="AX115">
        <v>0</v>
      </c>
      <c r="AY115">
        <v>0</v>
      </c>
      <c r="AZ115">
        <v>0</v>
      </c>
      <c r="BA115">
        <v>0</v>
      </c>
      <c r="BC115">
        <v>1</v>
      </c>
      <c r="BE115">
        <v>1</v>
      </c>
      <c r="BG115">
        <v>1</v>
      </c>
      <c r="BH115">
        <v>1</v>
      </c>
      <c r="BI115">
        <v>4</v>
      </c>
      <c r="BJ115">
        <v>1</v>
      </c>
      <c r="BK115">
        <v>4</v>
      </c>
      <c r="BL115">
        <v>2</v>
      </c>
      <c r="BM115">
        <v>1</v>
      </c>
      <c r="BN115">
        <v>2</v>
      </c>
      <c r="BV115">
        <v>0</v>
      </c>
      <c r="BW115">
        <v>0</v>
      </c>
      <c r="BX115">
        <v>1</v>
      </c>
      <c r="BY115">
        <v>0</v>
      </c>
      <c r="BZ115">
        <v>0</v>
      </c>
      <c r="CA115">
        <v>1</v>
      </c>
      <c r="CB115">
        <v>0</v>
      </c>
      <c r="CC115">
        <v>0</v>
      </c>
      <c r="CD115">
        <v>1</v>
      </c>
      <c r="CE115">
        <v>1</v>
      </c>
      <c r="CF115">
        <v>0</v>
      </c>
      <c r="CG115">
        <v>1</v>
      </c>
      <c r="CH115">
        <v>1</v>
      </c>
      <c r="CI115">
        <v>1</v>
      </c>
      <c r="CJ115">
        <v>0</v>
      </c>
      <c r="CK115">
        <v>1</v>
      </c>
      <c r="CL115">
        <v>0</v>
      </c>
      <c r="CN115">
        <v>16</v>
      </c>
      <c r="CO115">
        <v>4</v>
      </c>
      <c r="CQ115">
        <v>2</v>
      </c>
      <c r="CR115">
        <v>3</v>
      </c>
      <c r="EB115">
        <v>1</v>
      </c>
      <c r="EC115">
        <v>0</v>
      </c>
      <c r="ED115">
        <v>1</v>
      </c>
      <c r="EE115">
        <v>1</v>
      </c>
      <c r="EF115">
        <v>0</v>
      </c>
      <c r="EG115">
        <v>0</v>
      </c>
      <c r="EH115">
        <v>0</v>
      </c>
      <c r="EI115">
        <v>0</v>
      </c>
      <c r="EJ115">
        <v>0</v>
      </c>
      <c r="EK115">
        <v>0</v>
      </c>
      <c r="EM115">
        <v>0</v>
      </c>
      <c r="EN115">
        <v>0</v>
      </c>
      <c r="EO115">
        <v>0</v>
      </c>
      <c r="EP115">
        <v>1</v>
      </c>
      <c r="EQ115">
        <v>0</v>
      </c>
      <c r="ER115">
        <v>0</v>
      </c>
      <c r="ES115">
        <v>0</v>
      </c>
      <c r="ET115">
        <v>0</v>
      </c>
      <c r="EU115">
        <v>0</v>
      </c>
      <c r="EV115">
        <v>0</v>
      </c>
      <c r="EW115">
        <v>1</v>
      </c>
      <c r="EX115">
        <v>0</v>
      </c>
      <c r="EY115">
        <v>0</v>
      </c>
      <c r="IZ115">
        <v>1</v>
      </c>
      <c r="JA115">
        <v>0</v>
      </c>
      <c r="JB115">
        <v>0</v>
      </c>
      <c r="JC115">
        <v>0</v>
      </c>
      <c r="JD115">
        <v>0</v>
      </c>
      <c r="JE115">
        <v>0</v>
      </c>
      <c r="JF115">
        <v>0</v>
      </c>
      <c r="JG115">
        <v>0</v>
      </c>
      <c r="JH115">
        <v>0</v>
      </c>
      <c r="JI115">
        <v>0</v>
      </c>
      <c r="JJ115">
        <v>0</v>
      </c>
      <c r="JL115">
        <v>2</v>
      </c>
      <c r="JM115" cm="1">
        <f t="array" ref="JM115">IF(OR(JN115:JQ115 &lt;&gt; ""), 1, 0)</f>
        <v>0</v>
      </c>
    </row>
    <row r="116" spans="1:277" x14ac:dyDescent="0.35">
      <c r="A116">
        <v>405541</v>
      </c>
      <c r="C116">
        <v>1</v>
      </c>
      <c r="D116" t="s">
        <v>745</v>
      </c>
      <c r="E116" t="str">
        <f>_xlfn.XLOOKUP(I116, [1]SchoolDistrictStudyWODuplicates!$K:$K, [1]SchoolDistrictStudyWODuplicates!$E:$E, "")</f>
        <v/>
      </c>
      <c r="G116" t="s">
        <v>746</v>
      </c>
      <c r="H116" s="5" t="e">
        <f>_xlfn.XLOOKUP(A116,#REF!,#REF!, "No")</f>
        <v>#REF!</v>
      </c>
      <c r="I116" s="7">
        <v>2711130</v>
      </c>
      <c r="J116" s="5" t="e">
        <f>_xlfn.XLOOKUP(I116,#REF!,#REF!,"Not Determined")</f>
        <v>#REF!</v>
      </c>
      <c r="K116" s="5" t="s">
        <v>743</v>
      </c>
      <c r="L116" t="s">
        <v>743</v>
      </c>
      <c r="M116" s="13" t="e">
        <f>_xlfn.XLOOKUP(I116,#REF!,#REF!, "No")</f>
        <v>#REF!</v>
      </c>
      <c r="N116" s="5" t="str">
        <f t="shared" si="22"/>
        <v>No</v>
      </c>
      <c r="O116" s="5" t="str">
        <f t="shared" si="23"/>
        <v>Yes</v>
      </c>
      <c r="P116" s="5" t="str">
        <f t="shared" si="24"/>
        <v>Yes</v>
      </c>
      <c r="Q116" s="5" t="str">
        <f t="shared" si="25"/>
        <v>Yes</v>
      </c>
      <c r="R116" s="5" t="str">
        <f t="shared" si="26"/>
        <v>Yes</v>
      </c>
      <c r="S116" s="5" t="str">
        <f t="shared" si="27"/>
        <v>Yes</v>
      </c>
      <c r="T116" s="5" t="str">
        <f t="shared" si="28"/>
        <v>Yes</v>
      </c>
      <c r="U116" s="5" t="str">
        <f t="shared" si="29"/>
        <v>Yes</v>
      </c>
      <c r="V116" s="5" t="str" cm="1">
        <f t="array" ref="V116">IF(OR(DB116:DG116 =1), "Yes", "No")</f>
        <v>No</v>
      </c>
      <c r="W116" s="5" t="str">
        <f t="shared" si="30"/>
        <v>No</v>
      </c>
      <c r="X116" s="5" t="str">
        <f t="shared" si="31"/>
        <v>No</v>
      </c>
      <c r="Y116" s="5" t="str">
        <f t="shared" si="32"/>
        <v>No</v>
      </c>
      <c r="Z116">
        <v>3</v>
      </c>
      <c r="AB116">
        <v>1</v>
      </c>
      <c r="AC116">
        <v>0</v>
      </c>
      <c r="AD116">
        <v>1</v>
      </c>
      <c r="AE116">
        <v>0</v>
      </c>
      <c r="AF116">
        <v>0</v>
      </c>
      <c r="AG116">
        <v>0</v>
      </c>
      <c r="AH116">
        <v>0</v>
      </c>
      <c r="AI116">
        <v>1</v>
      </c>
      <c r="AJ116">
        <v>0</v>
      </c>
      <c r="AK116">
        <v>1</v>
      </c>
      <c r="AM116">
        <v>1</v>
      </c>
      <c r="AN116">
        <v>1</v>
      </c>
      <c r="AO116">
        <v>0</v>
      </c>
      <c r="AP116">
        <v>2</v>
      </c>
      <c r="AQ116">
        <v>22</v>
      </c>
      <c r="AS116">
        <v>2</v>
      </c>
      <c r="AT116">
        <v>22</v>
      </c>
      <c r="AV116">
        <v>1</v>
      </c>
      <c r="AW116">
        <v>1</v>
      </c>
      <c r="AX116">
        <v>0</v>
      </c>
      <c r="AY116">
        <v>0</v>
      </c>
      <c r="AZ116">
        <v>0</v>
      </c>
      <c r="BA116">
        <v>0</v>
      </c>
      <c r="BC116">
        <v>1</v>
      </c>
      <c r="BE116">
        <v>1</v>
      </c>
      <c r="BG116">
        <v>1</v>
      </c>
      <c r="BH116">
        <v>1</v>
      </c>
      <c r="BI116">
        <v>4</v>
      </c>
      <c r="BJ116">
        <v>2</v>
      </c>
      <c r="BL116">
        <v>2</v>
      </c>
      <c r="BM116">
        <v>1</v>
      </c>
      <c r="BN116">
        <v>2</v>
      </c>
      <c r="BV116">
        <v>0</v>
      </c>
      <c r="BW116">
        <v>0</v>
      </c>
      <c r="BX116">
        <v>1</v>
      </c>
      <c r="BY116">
        <v>1</v>
      </c>
      <c r="BZ116">
        <v>0</v>
      </c>
      <c r="CA116">
        <v>0</v>
      </c>
      <c r="CB116">
        <v>1</v>
      </c>
      <c r="CC116">
        <v>0</v>
      </c>
      <c r="CD116">
        <v>1</v>
      </c>
      <c r="CE116">
        <v>0</v>
      </c>
      <c r="CF116">
        <v>0</v>
      </c>
      <c r="CG116">
        <v>1</v>
      </c>
      <c r="CH116">
        <v>1</v>
      </c>
      <c r="CI116">
        <v>0</v>
      </c>
      <c r="CJ116">
        <v>0</v>
      </c>
      <c r="CK116">
        <v>0</v>
      </c>
      <c r="CL116">
        <v>0</v>
      </c>
      <c r="CN116">
        <v>9</v>
      </c>
      <c r="CO116">
        <v>4</v>
      </c>
      <c r="CQ116">
        <v>3</v>
      </c>
      <c r="CR116">
        <v>3</v>
      </c>
      <c r="EB116">
        <v>0</v>
      </c>
      <c r="EC116">
        <v>1</v>
      </c>
      <c r="ED116">
        <v>0</v>
      </c>
      <c r="EE116">
        <v>1</v>
      </c>
      <c r="EF116">
        <v>0</v>
      </c>
      <c r="EG116">
        <v>1</v>
      </c>
      <c r="EH116">
        <v>0</v>
      </c>
      <c r="EI116">
        <v>0</v>
      </c>
      <c r="EJ116">
        <v>0</v>
      </c>
      <c r="EK116">
        <v>0</v>
      </c>
      <c r="EM116">
        <v>0</v>
      </c>
      <c r="EN116">
        <v>0</v>
      </c>
      <c r="EO116">
        <v>1</v>
      </c>
      <c r="EP116">
        <v>1</v>
      </c>
      <c r="EQ116">
        <v>1</v>
      </c>
      <c r="ER116">
        <v>0</v>
      </c>
      <c r="ES116">
        <v>0</v>
      </c>
      <c r="ET116">
        <v>0</v>
      </c>
      <c r="EU116">
        <v>0</v>
      </c>
      <c r="EV116">
        <v>0</v>
      </c>
      <c r="EW116">
        <v>0</v>
      </c>
      <c r="EX116">
        <v>0</v>
      </c>
      <c r="EY116">
        <v>0</v>
      </c>
      <c r="FY116" t="s">
        <v>300</v>
      </c>
      <c r="FZ116">
        <v>1</v>
      </c>
      <c r="GA116">
        <v>0</v>
      </c>
      <c r="GB116">
        <v>0</v>
      </c>
      <c r="GC116">
        <v>0</v>
      </c>
      <c r="GD116">
        <v>0</v>
      </c>
      <c r="GE116">
        <v>0</v>
      </c>
      <c r="GF116">
        <v>0</v>
      </c>
      <c r="GG116">
        <v>0</v>
      </c>
      <c r="GH116">
        <v>0</v>
      </c>
      <c r="GI116">
        <v>0</v>
      </c>
      <c r="GJ116">
        <v>0</v>
      </c>
      <c r="GK116">
        <v>0</v>
      </c>
      <c r="GL116">
        <v>0</v>
      </c>
      <c r="GM116">
        <v>0</v>
      </c>
      <c r="GN116">
        <v>0</v>
      </c>
      <c r="GO116">
        <v>0</v>
      </c>
      <c r="GP116">
        <v>0</v>
      </c>
      <c r="GQ116">
        <v>0</v>
      </c>
      <c r="GR116">
        <v>0</v>
      </c>
      <c r="IZ116">
        <v>1</v>
      </c>
      <c r="JA116">
        <v>1</v>
      </c>
      <c r="JB116">
        <v>1</v>
      </c>
      <c r="JC116">
        <v>0</v>
      </c>
      <c r="JD116">
        <v>0</v>
      </c>
      <c r="JE116">
        <v>0</v>
      </c>
      <c r="JF116">
        <v>0</v>
      </c>
      <c r="JG116">
        <v>0</v>
      </c>
      <c r="JH116">
        <v>0</v>
      </c>
      <c r="JI116">
        <v>0</v>
      </c>
      <c r="JJ116">
        <v>0</v>
      </c>
      <c r="JL116">
        <v>2</v>
      </c>
      <c r="JM116" cm="1">
        <f t="array" ref="JM116">IF(OR(JN116:JQ116 &lt;&gt; ""), 1, 0)</f>
        <v>0</v>
      </c>
    </row>
    <row r="117" spans="1:277" x14ac:dyDescent="0.35">
      <c r="A117">
        <v>393313</v>
      </c>
      <c r="C117">
        <v>1</v>
      </c>
      <c r="D117" t="s">
        <v>747</v>
      </c>
      <c r="E117" t="str">
        <f>_xlfn.XLOOKUP(I117, [1]SchoolDistrictStudyWODuplicates!$K:$K, [1]SchoolDistrictStudyWODuplicates!$E:$E, "")</f>
        <v>ISD 318</v>
      </c>
      <c r="G117" t="s">
        <v>748</v>
      </c>
      <c r="H117" s="7">
        <v>2713170</v>
      </c>
      <c r="I117" s="7">
        <v>2713170</v>
      </c>
      <c r="J117" s="5" t="e">
        <f>_xlfn.XLOOKUP(I117,#REF!,#REF!,"Not Determined")</f>
        <v>#REF!</v>
      </c>
      <c r="K117" s="5" t="s">
        <v>743</v>
      </c>
      <c r="L117" t="s">
        <v>749</v>
      </c>
      <c r="M117" s="13" t="e">
        <f>_xlfn.XLOOKUP(I117,#REF!,#REF!, "No")</f>
        <v>#REF!</v>
      </c>
      <c r="N117" s="5" t="str">
        <f t="shared" si="22"/>
        <v>No</v>
      </c>
      <c r="O117" s="5" t="str">
        <f t="shared" si="23"/>
        <v>Yes</v>
      </c>
      <c r="P117" s="5" t="str">
        <f t="shared" si="24"/>
        <v>Yes</v>
      </c>
      <c r="Q117" s="5" t="str">
        <f t="shared" si="25"/>
        <v>Yes</v>
      </c>
      <c r="R117" s="5" t="str">
        <f t="shared" si="26"/>
        <v>Yes</v>
      </c>
      <c r="S117" s="5" t="str">
        <f t="shared" si="27"/>
        <v>Yes</v>
      </c>
      <c r="T117" s="5" t="str">
        <f t="shared" si="28"/>
        <v>No</v>
      </c>
      <c r="U117" s="5" t="str">
        <f t="shared" si="29"/>
        <v>Yes</v>
      </c>
      <c r="V117" s="5" t="str" cm="1">
        <f t="array" ref="V117">IF(OR(DB117:DG117 =1), "Yes", "No")</f>
        <v>No</v>
      </c>
      <c r="W117" s="5" t="str">
        <f t="shared" si="30"/>
        <v>No</v>
      </c>
      <c r="X117" s="5" t="str">
        <f t="shared" si="31"/>
        <v>No</v>
      </c>
      <c r="Y117" s="5" t="str">
        <f t="shared" si="32"/>
        <v>No</v>
      </c>
      <c r="Z117">
        <v>15</v>
      </c>
      <c r="AA117" t="s">
        <v>750</v>
      </c>
      <c r="AB117">
        <v>0</v>
      </c>
      <c r="AC117">
        <v>0</v>
      </c>
      <c r="AD117">
        <v>1</v>
      </c>
      <c r="AE117">
        <v>0</v>
      </c>
      <c r="AF117">
        <v>0</v>
      </c>
      <c r="AG117">
        <v>0</v>
      </c>
      <c r="AH117">
        <v>0</v>
      </c>
      <c r="AI117">
        <v>0</v>
      </c>
      <c r="AJ117">
        <v>0</v>
      </c>
      <c r="AK117">
        <v>1</v>
      </c>
      <c r="AM117">
        <v>1</v>
      </c>
      <c r="AN117">
        <v>1</v>
      </c>
      <c r="AO117">
        <v>1</v>
      </c>
      <c r="AP117">
        <v>5</v>
      </c>
      <c r="AQ117">
        <v>38</v>
      </c>
      <c r="AR117">
        <v>26</v>
      </c>
      <c r="AS117">
        <v>5</v>
      </c>
      <c r="AT117">
        <v>38</v>
      </c>
      <c r="AU117">
        <v>26</v>
      </c>
      <c r="AV117">
        <v>1</v>
      </c>
      <c r="AW117">
        <v>1</v>
      </c>
      <c r="AX117">
        <v>0</v>
      </c>
      <c r="AY117">
        <v>0</v>
      </c>
      <c r="AZ117">
        <v>0</v>
      </c>
      <c r="BA117">
        <v>0</v>
      </c>
      <c r="BC117">
        <v>1</v>
      </c>
      <c r="BE117">
        <v>1</v>
      </c>
      <c r="BG117">
        <v>1</v>
      </c>
      <c r="BH117">
        <v>1</v>
      </c>
      <c r="BI117">
        <v>4</v>
      </c>
      <c r="BJ117">
        <v>2</v>
      </c>
      <c r="BL117">
        <v>2</v>
      </c>
      <c r="BM117">
        <v>1</v>
      </c>
      <c r="BN117">
        <v>1</v>
      </c>
      <c r="BO117">
        <v>0</v>
      </c>
      <c r="BP117">
        <v>0</v>
      </c>
      <c r="BQ117">
        <v>0</v>
      </c>
      <c r="BR117">
        <v>0</v>
      </c>
      <c r="BS117">
        <v>0</v>
      </c>
      <c r="BT117">
        <v>1</v>
      </c>
      <c r="BU117" t="s">
        <v>751</v>
      </c>
      <c r="BV117">
        <v>1</v>
      </c>
      <c r="BW117">
        <v>0</v>
      </c>
      <c r="BX117">
        <v>1</v>
      </c>
      <c r="BY117">
        <v>1</v>
      </c>
      <c r="BZ117">
        <v>1</v>
      </c>
      <c r="CA117">
        <v>0</v>
      </c>
      <c r="CB117">
        <v>0</v>
      </c>
      <c r="CC117">
        <v>1</v>
      </c>
      <c r="CD117">
        <v>1</v>
      </c>
      <c r="CE117">
        <v>0</v>
      </c>
      <c r="CF117">
        <v>0</v>
      </c>
      <c r="CG117">
        <v>0</v>
      </c>
      <c r="CH117">
        <v>0</v>
      </c>
      <c r="CI117">
        <v>1</v>
      </c>
      <c r="CJ117">
        <v>0</v>
      </c>
      <c r="CK117">
        <v>0</v>
      </c>
      <c r="CL117">
        <v>0</v>
      </c>
      <c r="CN117">
        <v>4</v>
      </c>
      <c r="CO117">
        <v>4</v>
      </c>
      <c r="CQ117">
        <v>2</v>
      </c>
      <c r="CR117">
        <v>3</v>
      </c>
      <c r="EB117">
        <v>0</v>
      </c>
      <c r="EC117">
        <v>0</v>
      </c>
      <c r="ED117">
        <v>1</v>
      </c>
      <c r="EE117">
        <v>0</v>
      </c>
      <c r="EF117">
        <v>0</v>
      </c>
      <c r="EG117">
        <v>1</v>
      </c>
      <c r="EH117">
        <v>0</v>
      </c>
      <c r="EI117">
        <v>0</v>
      </c>
      <c r="EJ117">
        <v>0</v>
      </c>
      <c r="EK117">
        <v>0</v>
      </c>
      <c r="EM117">
        <v>0</v>
      </c>
      <c r="EN117">
        <v>1</v>
      </c>
      <c r="EO117">
        <v>0</v>
      </c>
      <c r="EP117">
        <v>1</v>
      </c>
      <c r="EQ117">
        <v>1</v>
      </c>
      <c r="ER117">
        <v>0</v>
      </c>
      <c r="ES117">
        <v>0</v>
      </c>
      <c r="ET117">
        <v>1</v>
      </c>
      <c r="EU117">
        <v>1</v>
      </c>
      <c r="EV117">
        <v>1</v>
      </c>
      <c r="EW117">
        <v>1</v>
      </c>
      <c r="EX117">
        <v>0</v>
      </c>
      <c r="EY117">
        <v>0</v>
      </c>
      <c r="FB117" t="s">
        <v>547</v>
      </c>
      <c r="FC117">
        <v>1</v>
      </c>
      <c r="FD117">
        <v>1</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HC117" t="s">
        <v>752</v>
      </c>
      <c r="HD117">
        <v>0</v>
      </c>
      <c r="HE117">
        <v>0</v>
      </c>
      <c r="HF117">
        <v>0</v>
      </c>
      <c r="HG117">
        <v>0</v>
      </c>
      <c r="HH117">
        <v>0</v>
      </c>
      <c r="HI117">
        <v>0</v>
      </c>
      <c r="HJ117">
        <v>0</v>
      </c>
      <c r="HK117">
        <v>0</v>
      </c>
      <c r="HL117">
        <v>0</v>
      </c>
      <c r="HM117">
        <v>0</v>
      </c>
      <c r="HN117">
        <v>0</v>
      </c>
      <c r="HO117">
        <v>0</v>
      </c>
      <c r="HP117">
        <v>0</v>
      </c>
      <c r="HQ117">
        <v>0</v>
      </c>
      <c r="HR117">
        <v>0</v>
      </c>
      <c r="HS117">
        <v>1</v>
      </c>
      <c r="HT117">
        <v>0</v>
      </c>
      <c r="HU117">
        <v>0</v>
      </c>
      <c r="HV117">
        <v>1</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0</v>
      </c>
      <c r="IW117">
        <v>0</v>
      </c>
      <c r="IZ117">
        <v>1</v>
      </c>
      <c r="JA117">
        <v>0</v>
      </c>
      <c r="JB117">
        <v>0</v>
      </c>
      <c r="JC117">
        <v>0</v>
      </c>
      <c r="JD117">
        <v>0</v>
      </c>
      <c r="JE117">
        <v>1</v>
      </c>
      <c r="JF117">
        <v>0</v>
      </c>
      <c r="JG117">
        <v>0</v>
      </c>
      <c r="JH117">
        <v>0</v>
      </c>
      <c r="JI117">
        <v>0</v>
      </c>
      <c r="JJ117">
        <v>0</v>
      </c>
      <c r="JL117">
        <v>2</v>
      </c>
      <c r="JM117" cm="1">
        <f t="array" ref="JM117">IF(OR(JN117:JQ117 &lt;&gt; ""), 1, 0)</f>
        <v>0</v>
      </c>
    </row>
    <row r="118" spans="1:277" x14ac:dyDescent="0.35">
      <c r="A118">
        <v>360985</v>
      </c>
      <c r="C118">
        <v>1</v>
      </c>
      <c r="D118" t="s">
        <v>753</v>
      </c>
      <c r="E118" t="str">
        <f>_xlfn.XLOOKUP(I118, [1]SchoolDistrictStudyWODuplicates!$K:$K, [1]SchoolDistrictStudyWODuplicates!$E:$E, "")</f>
        <v>Holdingford Public Schools</v>
      </c>
      <c r="G118" t="s">
        <v>754</v>
      </c>
      <c r="H118" s="7">
        <v>2714190</v>
      </c>
      <c r="I118" s="7">
        <v>2714190</v>
      </c>
      <c r="J118" s="5" t="e">
        <f>_xlfn.XLOOKUP(I118,#REF!,#REF!,"Not Determined")</f>
        <v>#REF!</v>
      </c>
      <c r="K118" s="5" t="s">
        <v>743</v>
      </c>
      <c r="L118" t="s">
        <v>743</v>
      </c>
      <c r="M118" s="13" t="e">
        <f>_xlfn.XLOOKUP(I118,#REF!,#REF!, "No")</f>
        <v>#REF!</v>
      </c>
      <c r="N118" s="5" t="str">
        <f t="shared" si="22"/>
        <v>No</v>
      </c>
      <c r="O118" s="5" t="str">
        <f t="shared" si="23"/>
        <v>Yes</v>
      </c>
      <c r="P118" s="5" t="str">
        <f t="shared" si="24"/>
        <v>Yes</v>
      </c>
      <c r="Q118" s="5" t="str">
        <f t="shared" si="25"/>
        <v>Yes</v>
      </c>
      <c r="R118" s="5" t="str">
        <f t="shared" si="26"/>
        <v>Yes</v>
      </c>
      <c r="S118" s="5" t="str">
        <f t="shared" si="27"/>
        <v>Yes</v>
      </c>
      <c r="T118" s="5" t="str">
        <f t="shared" si="28"/>
        <v>Yes</v>
      </c>
      <c r="U118" s="5" t="str">
        <f t="shared" si="29"/>
        <v>No</v>
      </c>
      <c r="V118" s="5" t="str" cm="1">
        <f t="array" ref="V118">IF(OR(DB118:DG118 =1), "Yes", "No")</f>
        <v>No</v>
      </c>
      <c r="W118" s="5" t="str">
        <f t="shared" si="30"/>
        <v>Yes</v>
      </c>
      <c r="X118" s="5" t="str">
        <f t="shared" si="31"/>
        <v>No</v>
      </c>
      <c r="Y118" s="5" t="str">
        <f t="shared" si="32"/>
        <v>No</v>
      </c>
      <c r="Z118">
        <v>3</v>
      </c>
      <c r="AB118">
        <v>0</v>
      </c>
      <c r="AC118">
        <v>0</v>
      </c>
      <c r="AD118">
        <v>1</v>
      </c>
      <c r="AE118">
        <v>0</v>
      </c>
      <c r="AF118">
        <v>0</v>
      </c>
      <c r="AG118">
        <v>0</v>
      </c>
      <c r="AH118">
        <v>0</v>
      </c>
      <c r="AI118">
        <v>0</v>
      </c>
      <c r="AJ118">
        <v>0</v>
      </c>
      <c r="AK118">
        <v>1</v>
      </c>
      <c r="AM118">
        <v>0</v>
      </c>
      <c r="AN118">
        <v>1</v>
      </c>
      <c r="AO118">
        <v>0</v>
      </c>
      <c r="AQ118">
        <v>18</v>
      </c>
      <c r="AT118">
        <v>18</v>
      </c>
      <c r="AV118">
        <v>1</v>
      </c>
      <c r="AW118">
        <v>0</v>
      </c>
      <c r="AX118">
        <v>0</v>
      </c>
      <c r="AY118">
        <v>0</v>
      </c>
      <c r="AZ118">
        <v>0</v>
      </c>
      <c r="BA118">
        <v>0</v>
      </c>
      <c r="BC118">
        <v>1</v>
      </c>
      <c r="BE118">
        <v>1</v>
      </c>
      <c r="BG118">
        <v>1</v>
      </c>
      <c r="BH118">
        <v>1</v>
      </c>
      <c r="BI118">
        <v>4</v>
      </c>
      <c r="BJ118">
        <v>2</v>
      </c>
      <c r="BL118">
        <v>2</v>
      </c>
      <c r="BM118">
        <v>1</v>
      </c>
      <c r="BN118">
        <v>2</v>
      </c>
      <c r="BV118">
        <v>1</v>
      </c>
      <c r="BW118">
        <v>0</v>
      </c>
      <c r="BX118">
        <v>1</v>
      </c>
      <c r="BY118">
        <v>1</v>
      </c>
      <c r="BZ118">
        <v>1</v>
      </c>
      <c r="CA118">
        <v>0</v>
      </c>
      <c r="CB118">
        <v>0</v>
      </c>
      <c r="CC118">
        <v>0</v>
      </c>
      <c r="CD118">
        <v>0</v>
      </c>
      <c r="CE118">
        <v>0</v>
      </c>
      <c r="CF118">
        <v>1</v>
      </c>
      <c r="CG118">
        <v>0</v>
      </c>
      <c r="CH118">
        <v>0</v>
      </c>
      <c r="CI118">
        <v>1</v>
      </c>
      <c r="CJ118">
        <v>0</v>
      </c>
      <c r="CK118">
        <v>0</v>
      </c>
      <c r="CL118">
        <v>0</v>
      </c>
      <c r="CN118">
        <v>4</v>
      </c>
      <c r="CO118">
        <v>4</v>
      </c>
      <c r="CQ118">
        <v>3</v>
      </c>
      <c r="CR118">
        <v>2</v>
      </c>
      <c r="EB118">
        <v>0</v>
      </c>
      <c r="EC118">
        <v>1</v>
      </c>
      <c r="ED118">
        <v>1</v>
      </c>
      <c r="EE118">
        <v>0</v>
      </c>
      <c r="EF118">
        <v>0</v>
      </c>
      <c r="EG118">
        <v>1</v>
      </c>
      <c r="EH118">
        <v>0</v>
      </c>
      <c r="EI118">
        <v>0</v>
      </c>
      <c r="EJ118">
        <v>0</v>
      </c>
      <c r="EK118">
        <v>0</v>
      </c>
      <c r="EM118">
        <v>0</v>
      </c>
      <c r="EN118">
        <v>1</v>
      </c>
      <c r="EO118">
        <v>0</v>
      </c>
      <c r="EP118">
        <v>0</v>
      </c>
      <c r="EQ118">
        <v>0</v>
      </c>
      <c r="ER118">
        <v>0</v>
      </c>
      <c r="ES118">
        <v>0</v>
      </c>
      <c r="ET118">
        <v>0</v>
      </c>
      <c r="EU118">
        <v>0</v>
      </c>
      <c r="EV118">
        <v>0</v>
      </c>
      <c r="EW118">
        <v>0</v>
      </c>
      <c r="EX118">
        <v>0</v>
      </c>
      <c r="EY118">
        <v>0</v>
      </c>
      <c r="FB118" t="s">
        <v>400</v>
      </c>
      <c r="FC118">
        <v>0</v>
      </c>
      <c r="FD118">
        <v>1</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IZ118">
        <v>0</v>
      </c>
      <c r="JA118">
        <v>0</v>
      </c>
      <c r="JB118">
        <v>0</v>
      </c>
      <c r="JC118">
        <v>0</v>
      </c>
      <c r="JD118">
        <v>0</v>
      </c>
      <c r="JE118">
        <v>0</v>
      </c>
      <c r="JF118">
        <v>0</v>
      </c>
      <c r="JG118">
        <v>0</v>
      </c>
      <c r="JH118">
        <v>0</v>
      </c>
      <c r="JI118">
        <v>0</v>
      </c>
      <c r="JJ118">
        <v>1</v>
      </c>
      <c r="JL118">
        <v>1</v>
      </c>
      <c r="JM118" cm="1">
        <f t="array" ref="JM118">IF(OR(JN118:JQ118 &lt;&gt; ""), 1, 0)</f>
        <v>1</v>
      </c>
      <c r="JN118">
        <v>1</v>
      </c>
      <c r="JO118">
        <v>0</v>
      </c>
      <c r="JP118">
        <v>0</v>
      </c>
      <c r="JQ118">
        <v>0</v>
      </c>
    </row>
    <row r="119" spans="1:277" x14ac:dyDescent="0.35">
      <c r="A119">
        <v>393099</v>
      </c>
      <c r="C119">
        <v>1</v>
      </c>
      <c r="D119" t="s">
        <v>755</v>
      </c>
      <c r="E119" t="str">
        <f>_xlfn.XLOOKUP(I119, [1]SchoolDistrictStudyWODuplicates!$K:$K, [1]SchoolDistrictStudyWODuplicates!$E:$E, "")</f>
        <v>ISD 15</v>
      </c>
      <c r="G119" t="s">
        <v>756</v>
      </c>
      <c r="H119" s="5" t="e">
        <f>_xlfn.XLOOKUP(A119,#REF!,#REF!, "No")</f>
        <v>#REF!</v>
      </c>
      <c r="I119" s="7">
        <v>2733540</v>
      </c>
      <c r="J119" s="5" t="e">
        <f>_xlfn.XLOOKUP(I119,#REF!,#REF!,"Not Determined")</f>
        <v>#REF!</v>
      </c>
      <c r="K119" s="5" t="s">
        <v>743</v>
      </c>
      <c r="L119" t="s">
        <v>743</v>
      </c>
      <c r="M119" s="13" t="e">
        <f>_xlfn.XLOOKUP(I119,#REF!,#REF!, "No")</f>
        <v>#REF!</v>
      </c>
      <c r="N119" s="5" t="str">
        <f t="shared" si="22"/>
        <v>No</v>
      </c>
      <c r="O119" s="5" t="str">
        <f t="shared" si="23"/>
        <v>Yes</v>
      </c>
      <c r="P119" s="5" t="str">
        <f t="shared" si="24"/>
        <v>Yes</v>
      </c>
      <c r="Q119" s="5" t="str">
        <f t="shared" si="25"/>
        <v>Yes</v>
      </c>
      <c r="R119" s="5" t="str">
        <f t="shared" si="26"/>
        <v>Yes</v>
      </c>
      <c r="S119" s="5" t="str">
        <f t="shared" si="27"/>
        <v>Yes</v>
      </c>
      <c r="T119" s="5" t="str">
        <f t="shared" si="28"/>
        <v>Yes</v>
      </c>
      <c r="U119" s="5" t="str">
        <f t="shared" si="29"/>
        <v>Yes</v>
      </c>
      <c r="V119" s="5" t="str" cm="1">
        <f t="array" ref="V119">IF(OR(DB119:DG119 =1), "Yes", "No")</f>
        <v>No</v>
      </c>
      <c r="W119" s="5" t="str">
        <f t="shared" si="30"/>
        <v>No</v>
      </c>
      <c r="X119" s="5" t="str">
        <f t="shared" si="31"/>
        <v>No</v>
      </c>
      <c r="Y119" s="5" t="str">
        <f t="shared" si="32"/>
        <v>No</v>
      </c>
      <c r="Z119">
        <v>3</v>
      </c>
      <c r="AB119">
        <v>1</v>
      </c>
      <c r="AC119">
        <v>0</v>
      </c>
      <c r="AD119">
        <v>1</v>
      </c>
      <c r="AE119">
        <v>0</v>
      </c>
      <c r="AF119">
        <v>0</v>
      </c>
      <c r="AG119">
        <v>0</v>
      </c>
      <c r="AH119">
        <v>0</v>
      </c>
      <c r="AI119">
        <v>0</v>
      </c>
      <c r="AJ119">
        <v>0</v>
      </c>
      <c r="AK119">
        <v>1</v>
      </c>
      <c r="AM119">
        <v>1</v>
      </c>
      <c r="AN119">
        <v>1</v>
      </c>
      <c r="AO119">
        <v>0</v>
      </c>
      <c r="AP119">
        <v>5</v>
      </c>
      <c r="AQ119">
        <v>49</v>
      </c>
      <c r="AS119">
        <v>5</v>
      </c>
      <c r="AT119">
        <v>49</v>
      </c>
      <c r="AV119">
        <v>0</v>
      </c>
      <c r="AW119">
        <v>1</v>
      </c>
      <c r="AX119">
        <v>0</v>
      </c>
      <c r="AY119">
        <v>1</v>
      </c>
      <c r="AZ119">
        <v>0</v>
      </c>
      <c r="BA119">
        <v>0</v>
      </c>
      <c r="BC119">
        <v>4</v>
      </c>
      <c r="BE119">
        <v>1</v>
      </c>
      <c r="BG119">
        <v>1</v>
      </c>
      <c r="BH119">
        <v>1</v>
      </c>
      <c r="BI119">
        <v>3</v>
      </c>
      <c r="BJ119">
        <v>2</v>
      </c>
      <c r="BL119">
        <v>2</v>
      </c>
      <c r="BM119">
        <v>1</v>
      </c>
      <c r="BN119">
        <v>2</v>
      </c>
      <c r="BV119">
        <v>0</v>
      </c>
      <c r="BW119">
        <v>0</v>
      </c>
      <c r="BX119">
        <v>1</v>
      </c>
      <c r="BY119">
        <v>1</v>
      </c>
      <c r="BZ119">
        <v>1</v>
      </c>
      <c r="CA119">
        <v>0</v>
      </c>
      <c r="CB119">
        <v>0</v>
      </c>
      <c r="CC119">
        <v>0</v>
      </c>
      <c r="CD119">
        <v>1</v>
      </c>
      <c r="CE119">
        <v>0</v>
      </c>
      <c r="CF119">
        <v>0</v>
      </c>
      <c r="CG119">
        <v>0</v>
      </c>
      <c r="CH119">
        <v>0</v>
      </c>
      <c r="CI119">
        <v>1</v>
      </c>
      <c r="CJ119">
        <v>0</v>
      </c>
      <c r="CK119">
        <v>0</v>
      </c>
      <c r="CL119">
        <v>0</v>
      </c>
      <c r="CN119">
        <v>4</v>
      </c>
      <c r="CO119">
        <v>4</v>
      </c>
      <c r="CQ119">
        <v>4</v>
      </c>
      <c r="CR119">
        <v>3</v>
      </c>
      <c r="EB119">
        <v>1</v>
      </c>
      <c r="EC119">
        <v>1</v>
      </c>
      <c r="ED119">
        <v>1</v>
      </c>
      <c r="EE119">
        <v>0</v>
      </c>
      <c r="EF119">
        <v>1</v>
      </c>
      <c r="EG119">
        <v>0</v>
      </c>
      <c r="EH119">
        <v>0</v>
      </c>
      <c r="EI119">
        <v>0</v>
      </c>
      <c r="EJ119">
        <v>0</v>
      </c>
      <c r="EK119">
        <v>0</v>
      </c>
      <c r="EM119">
        <v>1</v>
      </c>
      <c r="EN119">
        <v>1</v>
      </c>
      <c r="EO119">
        <v>0</v>
      </c>
      <c r="EP119">
        <v>0</v>
      </c>
      <c r="EQ119">
        <v>0</v>
      </c>
      <c r="ER119">
        <v>0</v>
      </c>
      <c r="ES119">
        <v>0</v>
      </c>
      <c r="ET119">
        <v>0</v>
      </c>
      <c r="EU119">
        <v>0</v>
      </c>
      <c r="EV119">
        <v>0</v>
      </c>
      <c r="EW119">
        <v>1</v>
      </c>
      <c r="EX119">
        <v>0</v>
      </c>
      <c r="EY119">
        <v>0</v>
      </c>
      <c r="EZ119" t="s">
        <v>285</v>
      </c>
      <c r="FA119">
        <v>11</v>
      </c>
      <c r="FB119" t="s">
        <v>757</v>
      </c>
      <c r="FC119">
        <v>0</v>
      </c>
      <c r="FD119">
        <v>0</v>
      </c>
      <c r="FE119">
        <v>0</v>
      </c>
      <c r="FF119">
        <v>0</v>
      </c>
      <c r="FG119">
        <v>0</v>
      </c>
      <c r="FH119">
        <v>0</v>
      </c>
      <c r="FI119">
        <v>0</v>
      </c>
      <c r="FJ119">
        <v>0</v>
      </c>
      <c r="FK119">
        <v>0</v>
      </c>
      <c r="FL119">
        <v>0</v>
      </c>
      <c r="FM119">
        <v>0</v>
      </c>
      <c r="FN119">
        <v>0</v>
      </c>
      <c r="FO119">
        <v>0</v>
      </c>
      <c r="FP119">
        <v>0</v>
      </c>
      <c r="FQ119">
        <v>0</v>
      </c>
      <c r="FR119">
        <v>1</v>
      </c>
      <c r="FS119">
        <v>0</v>
      </c>
      <c r="FT119">
        <v>0</v>
      </c>
      <c r="FU119">
        <v>0</v>
      </c>
      <c r="FV119">
        <v>0</v>
      </c>
      <c r="FW119">
        <v>0</v>
      </c>
      <c r="FX119">
        <v>0</v>
      </c>
      <c r="IZ119">
        <v>1</v>
      </c>
      <c r="JA119">
        <v>0</v>
      </c>
      <c r="JB119">
        <v>0</v>
      </c>
      <c r="JC119">
        <v>0</v>
      </c>
      <c r="JD119">
        <v>0</v>
      </c>
      <c r="JE119">
        <v>0</v>
      </c>
      <c r="JF119">
        <v>1</v>
      </c>
      <c r="JG119">
        <v>0</v>
      </c>
      <c r="JH119">
        <v>0</v>
      </c>
      <c r="JI119">
        <v>0</v>
      </c>
      <c r="JJ119">
        <v>0</v>
      </c>
      <c r="JL119">
        <v>2</v>
      </c>
      <c r="JM119" cm="1">
        <f t="array" ref="JM119">IF(OR(JN119:JQ119 &lt;&gt; ""), 1, 0)</f>
        <v>0</v>
      </c>
    </row>
    <row r="120" spans="1:277" x14ac:dyDescent="0.35">
      <c r="A120">
        <v>362354</v>
      </c>
      <c r="C120">
        <v>1</v>
      </c>
      <c r="D120" t="s">
        <v>758</v>
      </c>
      <c r="E120" t="str">
        <f>_xlfn.XLOOKUP(I120, [1]SchoolDistrictStudyWODuplicates!$K:$K, [1]SchoolDistrictStudyWODuplicates!$E:$E, "")</f>
        <v/>
      </c>
      <c r="G120" t="s">
        <v>759</v>
      </c>
      <c r="H120" s="7">
        <v>2742750</v>
      </c>
      <c r="I120" s="7">
        <v>2742750</v>
      </c>
      <c r="J120" s="5" t="e">
        <f>_xlfn.XLOOKUP(I120,#REF!,#REF!,"Not Determined")</f>
        <v>#REF!</v>
      </c>
      <c r="K120" s="5" t="s">
        <v>743</v>
      </c>
      <c r="L120" t="s">
        <v>743</v>
      </c>
      <c r="M120" s="13" t="e">
        <f>_xlfn.XLOOKUP(I120,#REF!,#REF!, "No")</f>
        <v>#REF!</v>
      </c>
      <c r="N120" s="5" t="str">
        <f t="shared" si="22"/>
        <v>No</v>
      </c>
      <c r="O120" s="5" t="str">
        <f t="shared" si="23"/>
        <v>Yes</v>
      </c>
      <c r="P120" s="5" t="str">
        <f t="shared" si="24"/>
        <v>Yes</v>
      </c>
      <c r="Q120" s="5" t="str">
        <f t="shared" si="25"/>
        <v>Yes</v>
      </c>
      <c r="R120" s="5" t="str">
        <f t="shared" si="26"/>
        <v>Yes</v>
      </c>
      <c r="S120" s="5" t="str">
        <f t="shared" si="27"/>
        <v>Yes</v>
      </c>
      <c r="T120" s="5" t="str">
        <f t="shared" si="28"/>
        <v>Yes</v>
      </c>
      <c r="U120" s="5" t="str">
        <f t="shared" si="29"/>
        <v>Yes</v>
      </c>
      <c r="V120" s="5" t="str" cm="1">
        <f t="array" ref="V120">IF(OR(DB120:DG120 =1), "Yes", "No")</f>
        <v>No</v>
      </c>
      <c r="W120" s="5" t="str">
        <f t="shared" si="30"/>
        <v>No</v>
      </c>
      <c r="X120" s="5" t="str">
        <f t="shared" si="31"/>
        <v>No</v>
      </c>
      <c r="Y120" s="5" t="str">
        <f t="shared" si="32"/>
        <v>No</v>
      </c>
      <c r="Z120">
        <v>3</v>
      </c>
      <c r="AB120">
        <v>1</v>
      </c>
      <c r="AC120">
        <v>0</v>
      </c>
      <c r="AD120">
        <v>1</v>
      </c>
      <c r="AE120">
        <v>0</v>
      </c>
      <c r="AF120">
        <v>0</v>
      </c>
      <c r="AG120">
        <v>0</v>
      </c>
      <c r="AH120">
        <v>0</v>
      </c>
      <c r="AI120">
        <v>1</v>
      </c>
      <c r="AJ120">
        <v>0</v>
      </c>
      <c r="AK120">
        <v>1</v>
      </c>
      <c r="AM120">
        <v>0</v>
      </c>
      <c r="AN120">
        <v>1</v>
      </c>
      <c r="AO120">
        <v>0</v>
      </c>
      <c r="AQ120">
        <v>9</v>
      </c>
      <c r="AT120">
        <v>9</v>
      </c>
      <c r="AV120">
        <v>0</v>
      </c>
      <c r="AW120">
        <v>1</v>
      </c>
      <c r="AX120">
        <v>0</v>
      </c>
      <c r="AY120">
        <v>0</v>
      </c>
      <c r="AZ120">
        <v>0</v>
      </c>
      <c r="BA120">
        <v>0</v>
      </c>
      <c r="BC120">
        <v>2</v>
      </c>
      <c r="BE120">
        <v>3</v>
      </c>
      <c r="BG120">
        <v>1</v>
      </c>
      <c r="BH120">
        <v>1</v>
      </c>
      <c r="BI120">
        <v>4</v>
      </c>
      <c r="BJ120">
        <v>1</v>
      </c>
      <c r="BK120">
        <v>4</v>
      </c>
      <c r="BL120">
        <v>2</v>
      </c>
      <c r="BM120">
        <v>1</v>
      </c>
      <c r="BN120">
        <v>2</v>
      </c>
      <c r="BV120">
        <v>1</v>
      </c>
      <c r="BW120">
        <v>0</v>
      </c>
      <c r="BX120">
        <v>1</v>
      </c>
      <c r="BY120">
        <v>1</v>
      </c>
      <c r="BZ120">
        <v>1</v>
      </c>
      <c r="CA120">
        <v>0</v>
      </c>
      <c r="CB120">
        <v>0</v>
      </c>
      <c r="CC120">
        <v>0</v>
      </c>
      <c r="CD120">
        <v>1</v>
      </c>
      <c r="CE120">
        <v>0</v>
      </c>
      <c r="CF120">
        <v>0</v>
      </c>
      <c r="CG120">
        <v>0</v>
      </c>
      <c r="CH120">
        <v>0</v>
      </c>
      <c r="CI120">
        <v>1</v>
      </c>
      <c r="CJ120">
        <v>0</v>
      </c>
      <c r="CK120">
        <v>1</v>
      </c>
      <c r="CL120">
        <v>0</v>
      </c>
      <c r="CN120">
        <v>16</v>
      </c>
      <c r="CO120">
        <v>4</v>
      </c>
      <c r="CQ120">
        <v>4</v>
      </c>
      <c r="CR120">
        <v>4</v>
      </c>
      <c r="EB120">
        <v>1</v>
      </c>
      <c r="EC120">
        <v>0</v>
      </c>
      <c r="ED120">
        <v>1</v>
      </c>
      <c r="EE120">
        <v>0</v>
      </c>
      <c r="EF120">
        <v>1</v>
      </c>
      <c r="EG120">
        <v>0</v>
      </c>
      <c r="EH120">
        <v>0</v>
      </c>
      <c r="EI120">
        <v>0</v>
      </c>
      <c r="EJ120">
        <v>0</v>
      </c>
      <c r="EK120">
        <v>0</v>
      </c>
      <c r="EM120">
        <v>0</v>
      </c>
      <c r="EN120">
        <v>1</v>
      </c>
      <c r="EO120">
        <v>0</v>
      </c>
      <c r="EP120">
        <v>0</v>
      </c>
      <c r="EQ120">
        <v>0</v>
      </c>
      <c r="ER120">
        <v>0</v>
      </c>
      <c r="ES120">
        <v>0</v>
      </c>
      <c r="ET120">
        <v>0</v>
      </c>
      <c r="EU120">
        <v>0</v>
      </c>
      <c r="EV120">
        <v>0</v>
      </c>
      <c r="EW120">
        <v>0</v>
      </c>
      <c r="EX120">
        <v>0</v>
      </c>
      <c r="EY120">
        <v>0</v>
      </c>
      <c r="FB120" t="s">
        <v>760</v>
      </c>
      <c r="FC120">
        <v>1</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IZ120">
        <v>1</v>
      </c>
      <c r="JA120">
        <v>0</v>
      </c>
      <c r="JB120">
        <v>1</v>
      </c>
      <c r="JC120">
        <v>1</v>
      </c>
      <c r="JD120">
        <v>0</v>
      </c>
      <c r="JE120">
        <v>0</v>
      </c>
      <c r="JF120">
        <v>0</v>
      </c>
      <c r="JG120">
        <v>0</v>
      </c>
      <c r="JH120">
        <v>0</v>
      </c>
      <c r="JI120">
        <v>0</v>
      </c>
      <c r="JJ120">
        <v>0</v>
      </c>
      <c r="JL120">
        <v>2</v>
      </c>
      <c r="JM120" cm="1">
        <f t="array" ref="JM120">IF(OR(JN120:JQ120 &lt;&gt; ""), 1, 0)</f>
        <v>0</v>
      </c>
    </row>
    <row r="121" spans="1:277" x14ac:dyDescent="0.35">
      <c r="A121">
        <v>405497</v>
      </c>
      <c r="C121">
        <v>1</v>
      </c>
      <c r="D121" t="s">
        <v>761</v>
      </c>
      <c r="E121" t="str">
        <f>_xlfn.XLOOKUP(I121, [1]SchoolDistrictStudyWODuplicates!$K:$K, [1]SchoolDistrictStudyWODuplicates!$E:$E, "")</f>
        <v/>
      </c>
      <c r="G121" t="s">
        <v>762</v>
      </c>
      <c r="H121" s="5" t="e">
        <f>_xlfn.XLOOKUP(A121,#REF!,#REF!, "No")</f>
        <v>#REF!</v>
      </c>
      <c r="I121" s="7">
        <v>2904620</v>
      </c>
      <c r="J121" s="5" t="e">
        <f>_xlfn.XLOOKUP(I121,#REF!,#REF!,"Not Determined")</f>
        <v>#REF!</v>
      </c>
      <c r="K121" s="5" t="s">
        <v>763</v>
      </c>
      <c r="L121" t="s">
        <v>763</v>
      </c>
      <c r="M121" s="13" t="e">
        <f>_xlfn.XLOOKUP(I121,#REF!,#REF!, "No")</f>
        <v>#REF!</v>
      </c>
      <c r="N121" s="5" t="str">
        <f t="shared" si="22"/>
        <v>No</v>
      </c>
      <c r="O121" s="5" t="str">
        <f t="shared" si="23"/>
        <v>Yes</v>
      </c>
      <c r="P121" s="5" t="str">
        <f t="shared" si="24"/>
        <v>No</v>
      </c>
      <c r="Q121" s="5" t="str">
        <f t="shared" si="25"/>
        <v>No</v>
      </c>
      <c r="R121" s="5" t="str">
        <f t="shared" si="26"/>
        <v>Yes</v>
      </c>
      <c r="S121" s="5" t="str">
        <f t="shared" si="27"/>
        <v>Yes</v>
      </c>
      <c r="T121" s="5" t="str">
        <f t="shared" si="28"/>
        <v>Yes</v>
      </c>
      <c r="U121" s="5" t="str">
        <f t="shared" si="29"/>
        <v>Yes</v>
      </c>
      <c r="V121" s="5" t="str" cm="1">
        <f t="array" ref="V121">IF(OR(DB121:DG121 =1), "Yes", "No")</f>
        <v>No</v>
      </c>
      <c r="W121" s="5" t="str">
        <f t="shared" si="30"/>
        <v>No</v>
      </c>
      <c r="X121" s="5" t="str">
        <f t="shared" si="31"/>
        <v>No</v>
      </c>
      <c r="Y121" s="5" t="str">
        <f t="shared" si="32"/>
        <v>No</v>
      </c>
      <c r="Z121">
        <v>7</v>
      </c>
      <c r="AB121">
        <v>0</v>
      </c>
      <c r="AC121">
        <v>0</v>
      </c>
      <c r="AD121">
        <v>0</v>
      </c>
      <c r="AE121">
        <v>0</v>
      </c>
      <c r="AF121">
        <v>1</v>
      </c>
      <c r="AG121">
        <v>0</v>
      </c>
      <c r="AH121">
        <v>0</v>
      </c>
      <c r="AI121">
        <v>0</v>
      </c>
      <c r="AJ121">
        <v>0</v>
      </c>
      <c r="AK121">
        <v>1</v>
      </c>
      <c r="AM121">
        <v>1</v>
      </c>
      <c r="AN121">
        <v>1</v>
      </c>
      <c r="AO121">
        <v>1</v>
      </c>
      <c r="AP121">
        <v>12</v>
      </c>
      <c r="AQ121">
        <v>60</v>
      </c>
      <c r="AR121">
        <v>2</v>
      </c>
      <c r="AS121">
        <v>12</v>
      </c>
      <c r="AT121">
        <v>60</v>
      </c>
      <c r="AU121">
        <v>2</v>
      </c>
      <c r="AV121">
        <v>1</v>
      </c>
      <c r="AW121">
        <v>1</v>
      </c>
      <c r="AX121">
        <v>0</v>
      </c>
      <c r="AY121">
        <v>0</v>
      </c>
      <c r="AZ121">
        <v>0</v>
      </c>
      <c r="BA121">
        <v>0</v>
      </c>
      <c r="BC121">
        <v>1</v>
      </c>
      <c r="BE121">
        <v>2</v>
      </c>
      <c r="BG121">
        <v>2</v>
      </c>
      <c r="BJ121">
        <v>2</v>
      </c>
      <c r="BL121">
        <v>2</v>
      </c>
      <c r="BM121">
        <v>2</v>
      </c>
      <c r="BN121">
        <v>1</v>
      </c>
      <c r="BO121">
        <v>0</v>
      </c>
      <c r="BP121">
        <v>0</v>
      </c>
      <c r="BQ121">
        <v>1</v>
      </c>
      <c r="BR121">
        <v>0</v>
      </c>
      <c r="BS121">
        <v>0</v>
      </c>
      <c r="BT121">
        <v>0</v>
      </c>
      <c r="BV121">
        <v>0</v>
      </c>
      <c r="BW121">
        <v>0</v>
      </c>
      <c r="BX121">
        <v>1</v>
      </c>
      <c r="BY121">
        <v>1</v>
      </c>
      <c r="BZ121">
        <v>0</v>
      </c>
      <c r="CA121">
        <v>0</v>
      </c>
      <c r="CB121">
        <v>0</v>
      </c>
      <c r="CC121">
        <v>1</v>
      </c>
      <c r="CD121">
        <v>0</v>
      </c>
      <c r="CE121">
        <v>0</v>
      </c>
      <c r="CF121">
        <v>1</v>
      </c>
      <c r="CG121">
        <v>1</v>
      </c>
      <c r="CH121">
        <v>0</v>
      </c>
      <c r="CI121">
        <v>1</v>
      </c>
      <c r="CJ121">
        <v>0</v>
      </c>
      <c r="CK121">
        <v>0</v>
      </c>
      <c r="CL121">
        <v>0</v>
      </c>
      <c r="CN121">
        <v>5</v>
      </c>
      <c r="CO121">
        <v>3</v>
      </c>
      <c r="CP121" t="s">
        <v>764</v>
      </c>
      <c r="CQ121">
        <v>3</v>
      </c>
      <c r="CR121">
        <v>3</v>
      </c>
      <c r="EB121">
        <v>0</v>
      </c>
      <c r="EC121">
        <v>0</v>
      </c>
      <c r="ED121">
        <v>0</v>
      </c>
      <c r="EE121">
        <v>0</v>
      </c>
      <c r="EF121">
        <v>0</v>
      </c>
      <c r="EG121">
        <v>1</v>
      </c>
      <c r="EH121">
        <v>0</v>
      </c>
      <c r="EI121">
        <v>0</v>
      </c>
      <c r="EJ121">
        <v>0</v>
      </c>
      <c r="EK121">
        <v>0</v>
      </c>
      <c r="EM121">
        <v>0</v>
      </c>
      <c r="EN121">
        <v>0</v>
      </c>
      <c r="EO121">
        <v>0</v>
      </c>
      <c r="EP121">
        <v>1</v>
      </c>
      <c r="EQ121">
        <v>0</v>
      </c>
      <c r="ER121">
        <v>0</v>
      </c>
      <c r="ES121">
        <v>0</v>
      </c>
      <c r="ET121">
        <v>0</v>
      </c>
      <c r="EU121">
        <v>0</v>
      </c>
      <c r="EV121">
        <v>0</v>
      </c>
      <c r="EW121">
        <v>0</v>
      </c>
      <c r="EX121">
        <v>0</v>
      </c>
      <c r="EY121">
        <v>0</v>
      </c>
      <c r="IZ121">
        <v>1</v>
      </c>
      <c r="JA121">
        <v>0</v>
      </c>
      <c r="JB121">
        <v>0</v>
      </c>
      <c r="JC121">
        <v>0</v>
      </c>
      <c r="JD121">
        <v>0</v>
      </c>
      <c r="JE121">
        <v>0</v>
      </c>
      <c r="JF121">
        <v>0</v>
      </c>
      <c r="JG121">
        <v>0</v>
      </c>
      <c r="JH121">
        <v>0</v>
      </c>
      <c r="JI121">
        <v>0</v>
      </c>
      <c r="JJ121">
        <v>0</v>
      </c>
      <c r="JL121">
        <v>2</v>
      </c>
      <c r="JM121" cm="1">
        <f t="array" ref="JM121">IF(OR(JN121:JQ121 &lt;&gt; ""), 1, 0)</f>
        <v>0</v>
      </c>
    </row>
    <row r="122" spans="1:277" x14ac:dyDescent="0.35">
      <c r="A122">
        <v>405359</v>
      </c>
      <c r="C122">
        <v>1</v>
      </c>
      <c r="D122" t="s">
        <v>765</v>
      </c>
      <c r="E122" t="str">
        <f>_xlfn.XLOOKUP(I122, [1]SchoolDistrictStudyWODuplicates!$K:$K, [1]SchoolDistrictStudyWODuplicates!$E:$E, "")</f>
        <v/>
      </c>
      <c r="G122" t="s">
        <v>766</v>
      </c>
      <c r="H122" s="7">
        <v>2905130</v>
      </c>
      <c r="I122" s="7">
        <v>2905130</v>
      </c>
      <c r="J122" s="5" t="e">
        <f>_xlfn.XLOOKUP(I122,#REF!,#REF!,"Not Determined")</f>
        <v>#REF!</v>
      </c>
      <c r="K122" s="5" t="s">
        <v>763</v>
      </c>
      <c r="L122" t="s">
        <v>763</v>
      </c>
      <c r="M122" s="13" t="e">
        <f>_xlfn.XLOOKUP(I122,#REF!,#REF!, "No")</f>
        <v>#REF!</v>
      </c>
      <c r="N122" s="5" t="str">
        <f t="shared" si="22"/>
        <v>No</v>
      </c>
      <c r="O122" s="5" t="str">
        <f t="shared" si="23"/>
        <v>Yes</v>
      </c>
      <c r="P122" s="5" t="str">
        <f t="shared" si="24"/>
        <v>Yes</v>
      </c>
      <c r="Q122" s="5" t="str">
        <f t="shared" si="25"/>
        <v>Yes</v>
      </c>
      <c r="R122" s="5" t="str">
        <f t="shared" si="26"/>
        <v>No</v>
      </c>
      <c r="S122" s="5" t="str">
        <f t="shared" si="27"/>
        <v>No</v>
      </c>
      <c r="T122" s="5" t="str">
        <f t="shared" si="28"/>
        <v>No</v>
      </c>
      <c r="U122" s="5" t="str">
        <f t="shared" si="29"/>
        <v>No</v>
      </c>
      <c r="V122" s="5" t="str" cm="1">
        <f t="array" ref="V122">IF(OR(DB122:DG122 =1), "Yes", "No")</f>
        <v>No</v>
      </c>
      <c r="W122" s="5" t="str">
        <f t="shared" si="30"/>
        <v>No</v>
      </c>
      <c r="X122" s="5" t="str">
        <f t="shared" si="31"/>
        <v>No</v>
      </c>
      <c r="Y122" s="5" t="str">
        <f t="shared" si="32"/>
        <v>No</v>
      </c>
      <c r="Z122">
        <v>6</v>
      </c>
      <c r="AB122">
        <v>1</v>
      </c>
      <c r="AC122">
        <v>0</v>
      </c>
      <c r="AD122">
        <v>0</v>
      </c>
      <c r="AE122">
        <v>1</v>
      </c>
      <c r="AF122">
        <v>0</v>
      </c>
      <c r="AG122">
        <v>0</v>
      </c>
      <c r="AH122">
        <v>0</v>
      </c>
      <c r="AI122">
        <v>0</v>
      </c>
      <c r="AJ122">
        <v>0</v>
      </c>
      <c r="AK122">
        <v>1</v>
      </c>
      <c r="AM122">
        <v>1</v>
      </c>
      <c r="AN122">
        <v>1</v>
      </c>
      <c r="AO122">
        <v>0</v>
      </c>
      <c r="AP122" t="s">
        <v>767</v>
      </c>
      <c r="AQ122" t="s">
        <v>768</v>
      </c>
      <c r="AV122">
        <v>1</v>
      </c>
      <c r="AW122">
        <v>1</v>
      </c>
      <c r="AX122">
        <v>0</v>
      </c>
      <c r="AY122">
        <v>0</v>
      </c>
      <c r="AZ122">
        <v>0</v>
      </c>
      <c r="BA122">
        <v>0</v>
      </c>
      <c r="BC122">
        <v>1</v>
      </c>
      <c r="BE122">
        <v>3</v>
      </c>
      <c r="BG122">
        <v>1</v>
      </c>
      <c r="BH122">
        <v>1</v>
      </c>
      <c r="BI122">
        <v>4</v>
      </c>
      <c r="BJ122">
        <v>1</v>
      </c>
      <c r="BK122">
        <v>4</v>
      </c>
      <c r="BL122">
        <v>2</v>
      </c>
      <c r="BM122">
        <v>1</v>
      </c>
      <c r="BN122">
        <v>2</v>
      </c>
      <c r="BV122">
        <v>1</v>
      </c>
      <c r="BW122">
        <v>0</v>
      </c>
      <c r="BX122">
        <v>0</v>
      </c>
      <c r="BY122">
        <v>0</v>
      </c>
      <c r="BZ122">
        <v>0</v>
      </c>
      <c r="CA122">
        <v>0</v>
      </c>
      <c r="CB122">
        <v>0</v>
      </c>
      <c r="CC122">
        <v>0</v>
      </c>
      <c r="CD122">
        <v>0</v>
      </c>
      <c r="CE122">
        <v>0</v>
      </c>
      <c r="CF122">
        <v>0</v>
      </c>
      <c r="CG122">
        <v>1</v>
      </c>
      <c r="CH122">
        <v>0</v>
      </c>
      <c r="CI122">
        <v>0</v>
      </c>
      <c r="CJ122">
        <v>0</v>
      </c>
      <c r="CK122">
        <v>1</v>
      </c>
      <c r="CL122">
        <v>0</v>
      </c>
      <c r="CN122">
        <v>16</v>
      </c>
      <c r="CO122">
        <v>4</v>
      </c>
      <c r="CQ122">
        <v>6</v>
      </c>
      <c r="CR122">
        <v>6</v>
      </c>
      <c r="EB122">
        <v>0</v>
      </c>
      <c r="EC122">
        <v>0</v>
      </c>
      <c r="ED122">
        <v>1</v>
      </c>
      <c r="EE122">
        <v>0</v>
      </c>
      <c r="EF122">
        <v>0</v>
      </c>
      <c r="EG122">
        <v>0</v>
      </c>
      <c r="EH122">
        <v>0</v>
      </c>
      <c r="EI122">
        <v>0</v>
      </c>
      <c r="EJ122">
        <v>0</v>
      </c>
      <c r="EK122">
        <v>0</v>
      </c>
      <c r="EM122">
        <v>0</v>
      </c>
      <c r="EN122">
        <v>0</v>
      </c>
      <c r="EO122">
        <v>0</v>
      </c>
      <c r="EP122">
        <v>1</v>
      </c>
      <c r="EQ122">
        <v>0</v>
      </c>
      <c r="ER122">
        <v>0</v>
      </c>
      <c r="ES122">
        <v>0</v>
      </c>
      <c r="ET122">
        <v>1</v>
      </c>
      <c r="EU122">
        <v>0</v>
      </c>
      <c r="EV122">
        <v>0</v>
      </c>
      <c r="EW122">
        <v>0</v>
      </c>
      <c r="EX122">
        <v>0</v>
      </c>
      <c r="EY122">
        <v>0</v>
      </c>
      <c r="IZ122">
        <v>1</v>
      </c>
      <c r="JA122">
        <v>0</v>
      </c>
      <c r="JB122">
        <v>1</v>
      </c>
      <c r="JC122">
        <v>0</v>
      </c>
      <c r="JD122">
        <v>0</v>
      </c>
      <c r="JE122">
        <v>0</v>
      </c>
      <c r="JF122">
        <v>0</v>
      </c>
      <c r="JG122">
        <v>0</v>
      </c>
      <c r="JH122">
        <v>0</v>
      </c>
      <c r="JI122">
        <v>0</v>
      </c>
      <c r="JJ122">
        <v>0</v>
      </c>
      <c r="JL122">
        <v>2</v>
      </c>
      <c r="JM122" cm="1">
        <f t="array" ref="JM122">IF(OR(JN122:JQ122 &lt;&gt; ""), 1, 0)</f>
        <v>0</v>
      </c>
    </row>
    <row r="123" spans="1:277" x14ac:dyDescent="0.35">
      <c r="A123">
        <v>405196</v>
      </c>
      <c r="C123">
        <v>1</v>
      </c>
      <c r="D123" t="s">
        <v>769</v>
      </c>
      <c r="E123" t="str">
        <f>_xlfn.XLOOKUP(I123, [1]SchoolDistrictStudyWODuplicates!$K:$K, [1]SchoolDistrictStudyWODuplicates!$E:$E, "")</f>
        <v/>
      </c>
      <c r="G123" t="s">
        <v>770</v>
      </c>
      <c r="H123" s="7">
        <v>2905760</v>
      </c>
      <c r="I123" s="7">
        <v>2905760</v>
      </c>
      <c r="J123" s="5" t="e">
        <f>_xlfn.XLOOKUP(I123,#REF!,#REF!,"Not Determined")</f>
        <v>#REF!</v>
      </c>
      <c r="K123" s="5" t="s">
        <v>763</v>
      </c>
      <c r="L123" t="s">
        <v>763</v>
      </c>
      <c r="M123" s="13" t="e">
        <f>_xlfn.XLOOKUP(I123,#REF!,#REF!, "No")</f>
        <v>#REF!</v>
      </c>
      <c r="N123" s="5" t="str">
        <f t="shared" si="22"/>
        <v>No</v>
      </c>
      <c r="O123" s="5" t="str">
        <f t="shared" si="23"/>
        <v>No</v>
      </c>
      <c r="P123" s="5" t="str">
        <f t="shared" si="24"/>
        <v>No</v>
      </c>
      <c r="Q123" s="5" t="str">
        <f t="shared" si="25"/>
        <v>No</v>
      </c>
      <c r="R123" s="5" t="str">
        <f t="shared" si="26"/>
        <v>No</v>
      </c>
      <c r="S123" s="5" t="str">
        <f t="shared" si="27"/>
        <v>No</v>
      </c>
      <c r="T123" s="5" t="str">
        <f t="shared" si="28"/>
        <v>No</v>
      </c>
      <c r="U123" s="5" t="str">
        <f t="shared" si="29"/>
        <v>No</v>
      </c>
      <c r="V123" s="5" t="str" cm="1">
        <f t="array" ref="V123">IF(OR(DB123:DG123 =1), "Yes", "No")</f>
        <v>No</v>
      </c>
      <c r="W123" s="5" t="str">
        <f t="shared" si="30"/>
        <v>No</v>
      </c>
      <c r="X123" s="5" t="str">
        <f t="shared" si="31"/>
        <v>No</v>
      </c>
      <c r="Y123" s="5" t="str">
        <f t="shared" si="32"/>
        <v>No</v>
      </c>
      <c r="Z123">
        <v>10</v>
      </c>
      <c r="AB123">
        <v>0</v>
      </c>
      <c r="AC123">
        <v>0</v>
      </c>
      <c r="AD123">
        <v>1</v>
      </c>
      <c r="AE123">
        <v>0</v>
      </c>
      <c r="AF123">
        <v>0</v>
      </c>
      <c r="AG123">
        <v>0</v>
      </c>
      <c r="AH123">
        <v>0</v>
      </c>
      <c r="AI123">
        <v>0</v>
      </c>
      <c r="AJ123">
        <v>0</v>
      </c>
      <c r="AK123">
        <v>1</v>
      </c>
      <c r="JM123" cm="1">
        <f t="array" ref="JM123">IF(OR(JN123:JQ123 &lt;&gt; ""), 1, 0)</f>
        <v>0</v>
      </c>
    </row>
    <row r="124" spans="1:277" x14ac:dyDescent="0.35">
      <c r="A124">
        <v>397195</v>
      </c>
      <c r="C124">
        <v>1</v>
      </c>
      <c r="D124" t="s">
        <v>771</v>
      </c>
      <c r="E124" t="str">
        <f>_xlfn.XLOOKUP(I124, [1]SchoolDistrictStudyWODuplicates!$K:$K, [1]SchoolDistrictStudyWODuplicates!$E:$E, "")</f>
        <v/>
      </c>
      <c r="G124" t="s">
        <v>772</v>
      </c>
      <c r="H124" s="7">
        <v>2907470</v>
      </c>
      <c r="I124" s="7">
        <v>2907470</v>
      </c>
      <c r="J124" s="5" t="e">
        <f>_xlfn.XLOOKUP(I124,#REF!,#REF!,"Not Determined")</f>
        <v>#REF!</v>
      </c>
      <c r="K124" s="5" t="s">
        <v>763</v>
      </c>
      <c r="L124" t="s">
        <v>763</v>
      </c>
      <c r="M124" s="13" t="e">
        <f>_xlfn.XLOOKUP(I124,#REF!,#REF!, "No")</f>
        <v>#REF!</v>
      </c>
      <c r="N124" s="5" t="str">
        <f t="shared" si="22"/>
        <v>No</v>
      </c>
      <c r="O124" s="5" t="str">
        <f t="shared" si="23"/>
        <v>Yes</v>
      </c>
      <c r="P124" s="5" t="str">
        <f t="shared" si="24"/>
        <v>Yes</v>
      </c>
      <c r="Q124" s="5" t="str">
        <f t="shared" si="25"/>
        <v>Yes</v>
      </c>
      <c r="R124" s="5" t="str">
        <f t="shared" si="26"/>
        <v>Yes</v>
      </c>
      <c r="S124" s="5" t="str">
        <f t="shared" si="27"/>
        <v>Yes</v>
      </c>
      <c r="T124" s="5" t="str">
        <f t="shared" si="28"/>
        <v>Yes</v>
      </c>
      <c r="U124" s="5" t="str">
        <f t="shared" si="29"/>
        <v>Yes</v>
      </c>
      <c r="V124" s="5" t="str" cm="1">
        <f t="array" ref="V124">IF(OR(DB124:DG124 =1), "Yes", "No")</f>
        <v>No</v>
      </c>
      <c r="W124" s="5" t="str">
        <f t="shared" si="30"/>
        <v>Yes</v>
      </c>
      <c r="X124" s="5" t="str">
        <f t="shared" si="31"/>
        <v>No</v>
      </c>
      <c r="Y124" s="5" t="str">
        <f t="shared" si="32"/>
        <v>No</v>
      </c>
      <c r="Z124">
        <v>1</v>
      </c>
      <c r="AB124">
        <v>1</v>
      </c>
      <c r="AC124">
        <v>0</v>
      </c>
      <c r="AD124">
        <v>0</v>
      </c>
      <c r="AE124">
        <v>0</v>
      </c>
      <c r="AF124">
        <v>0</v>
      </c>
      <c r="AG124">
        <v>0</v>
      </c>
      <c r="AH124">
        <v>0</v>
      </c>
      <c r="AI124">
        <v>0</v>
      </c>
      <c r="AJ124">
        <v>0</v>
      </c>
      <c r="AK124">
        <v>1</v>
      </c>
      <c r="AM124">
        <v>0</v>
      </c>
      <c r="AN124">
        <v>0</v>
      </c>
      <c r="AO124">
        <v>1</v>
      </c>
      <c r="AR124">
        <v>13</v>
      </c>
      <c r="AU124">
        <v>13</v>
      </c>
      <c r="AV124">
        <v>1</v>
      </c>
      <c r="AW124">
        <v>0</v>
      </c>
      <c r="AX124">
        <v>0</v>
      </c>
      <c r="AY124">
        <v>0</v>
      </c>
      <c r="AZ124">
        <v>0</v>
      </c>
      <c r="BA124">
        <v>0</v>
      </c>
      <c r="BC124">
        <v>1</v>
      </c>
      <c r="BE124">
        <v>1</v>
      </c>
      <c r="BG124">
        <v>1</v>
      </c>
      <c r="BH124">
        <v>1</v>
      </c>
      <c r="BI124">
        <v>4</v>
      </c>
      <c r="BJ124">
        <v>1</v>
      </c>
      <c r="BK124">
        <v>4</v>
      </c>
      <c r="BL124">
        <v>1</v>
      </c>
      <c r="BM124">
        <v>1</v>
      </c>
      <c r="BN124">
        <v>2</v>
      </c>
      <c r="BV124">
        <v>0</v>
      </c>
      <c r="BW124">
        <v>0</v>
      </c>
      <c r="BX124">
        <v>0</v>
      </c>
      <c r="BY124">
        <v>0</v>
      </c>
      <c r="BZ124">
        <v>0</v>
      </c>
      <c r="CA124">
        <v>0</v>
      </c>
      <c r="CB124">
        <v>0</v>
      </c>
      <c r="CC124">
        <v>0</v>
      </c>
      <c r="CD124">
        <v>0</v>
      </c>
      <c r="CE124">
        <v>0</v>
      </c>
      <c r="CF124">
        <v>0</v>
      </c>
      <c r="CG124">
        <v>0</v>
      </c>
      <c r="CH124">
        <v>0</v>
      </c>
      <c r="CI124">
        <v>0</v>
      </c>
      <c r="CJ124">
        <v>0</v>
      </c>
      <c r="CK124">
        <v>1</v>
      </c>
      <c r="CL124">
        <v>0</v>
      </c>
      <c r="CN124">
        <v>16</v>
      </c>
      <c r="CO124">
        <v>4</v>
      </c>
      <c r="CQ124">
        <v>5</v>
      </c>
      <c r="CR124">
        <v>5</v>
      </c>
      <c r="EB124">
        <v>0</v>
      </c>
      <c r="EC124">
        <v>0</v>
      </c>
      <c r="ED124">
        <v>0</v>
      </c>
      <c r="EE124">
        <v>1</v>
      </c>
      <c r="EF124">
        <v>1</v>
      </c>
      <c r="EG124">
        <v>1</v>
      </c>
      <c r="EH124">
        <v>0</v>
      </c>
      <c r="EI124">
        <v>0</v>
      </c>
      <c r="EJ124">
        <v>0</v>
      </c>
      <c r="EK124">
        <v>0</v>
      </c>
      <c r="EM124">
        <v>0</v>
      </c>
      <c r="EN124">
        <v>0</v>
      </c>
      <c r="EO124">
        <v>0</v>
      </c>
      <c r="EP124">
        <v>1</v>
      </c>
      <c r="EQ124">
        <v>1</v>
      </c>
      <c r="ER124">
        <v>0</v>
      </c>
      <c r="ES124">
        <v>0</v>
      </c>
      <c r="ET124">
        <v>0</v>
      </c>
      <c r="EU124">
        <v>0</v>
      </c>
      <c r="EV124">
        <v>0</v>
      </c>
      <c r="EW124">
        <v>1</v>
      </c>
      <c r="EX124">
        <v>0</v>
      </c>
      <c r="EY124">
        <v>0</v>
      </c>
      <c r="IZ124">
        <v>1</v>
      </c>
      <c r="JA124">
        <v>1</v>
      </c>
      <c r="JB124">
        <v>0</v>
      </c>
      <c r="JC124">
        <v>0</v>
      </c>
      <c r="JD124">
        <v>0</v>
      </c>
      <c r="JE124">
        <v>0</v>
      </c>
      <c r="JF124">
        <v>0</v>
      </c>
      <c r="JG124">
        <v>0</v>
      </c>
      <c r="JH124">
        <v>0</v>
      </c>
      <c r="JI124">
        <v>0</v>
      </c>
      <c r="JJ124">
        <v>0</v>
      </c>
      <c r="JL124">
        <v>1</v>
      </c>
      <c r="JM124" cm="1">
        <f t="array" ref="JM124">IF(OR(JN124:JQ124 &lt;&gt; ""), 1, 0)</f>
        <v>1</v>
      </c>
      <c r="JN124">
        <v>1</v>
      </c>
      <c r="JO124">
        <v>0</v>
      </c>
      <c r="JP124">
        <v>0</v>
      </c>
      <c r="JQ124">
        <v>0</v>
      </c>
    </row>
    <row r="125" spans="1:277" x14ac:dyDescent="0.35">
      <c r="A125">
        <v>392994</v>
      </c>
      <c r="C125">
        <v>1</v>
      </c>
      <c r="D125" t="s">
        <v>773</v>
      </c>
      <c r="E125" t="str">
        <f>_xlfn.XLOOKUP(I125, [1]SchoolDistrictStudyWODuplicates!$K:$K, [1]SchoolDistrictStudyWODuplicates!$E:$E, "")</f>
        <v>Logan-Rogersville</v>
      </c>
      <c r="G125" t="s">
        <v>774</v>
      </c>
      <c r="H125" s="7">
        <v>2919170</v>
      </c>
      <c r="I125" s="7">
        <v>2919170</v>
      </c>
      <c r="J125" s="5" t="e">
        <f>_xlfn.XLOOKUP(I125,#REF!,#REF!,"Not Determined")</f>
        <v>#REF!</v>
      </c>
      <c r="K125" s="5" t="s">
        <v>763</v>
      </c>
      <c r="L125" t="s">
        <v>763</v>
      </c>
      <c r="M125" s="13" t="e">
        <f>_xlfn.XLOOKUP(I125,#REF!,#REF!, "No")</f>
        <v>#REF!</v>
      </c>
      <c r="N125" s="5" t="str">
        <f t="shared" si="22"/>
        <v>No</v>
      </c>
      <c r="O125" s="5" t="str">
        <f t="shared" si="23"/>
        <v>Yes</v>
      </c>
      <c r="P125" s="5" t="str">
        <f t="shared" si="24"/>
        <v>Yes</v>
      </c>
      <c r="Q125" s="5" t="str">
        <f t="shared" si="25"/>
        <v>Yes</v>
      </c>
      <c r="R125" s="5" t="str">
        <f t="shared" si="26"/>
        <v>Yes</v>
      </c>
      <c r="S125" s="5" t="str">
        <f t="shared" si="27"/>
        <v>Yes</v>
      </c>
      <c r="T125" s="5" t="str">
        <f t="shared" si="28"/>
        <v>Yes</v>
      </c>
      <c r="U125" s="5" t="str">
        <f t="shared" si="29"/>
        <v>No</v>
      </c>
      <c r="V125" s="5" t="str" cm="1">
        <f t="array" ref="V125">IF(OR(DB125:DG125 =1), "Yes", "No")</f>
        <v>No</v>
      </c>
      <c r="W125" s="5" t="str">
        <f t="shared" si="30"/>
        <v>No</v>
      </c>
      <c r="X125" s="5" t="str">
        <f t="shared" si="31"/>
        <v>No</v>
      </c>
      <c r="Y125" s="5" t="str">
        <f t="shared" si="32"/>
        <v>No</v>
      </c>
      <c r="Z125">
        <v>3</v>
      </c>
      <c r="AB125">
        <v>0</v>
      </c>
      <c r="AC125">
        <v>0</v>
      </c>
      <c r="AD125">
        <v>0</v>
      </c>
      <c r="AE125">
        <v>0</v>
      </c>
      <c r="AF125">
        <v>0</v>
      </c>
      <c r="AG125">
        <v>0</v>
      </c>
      <c r="AH125">
        <v>0</v>
      </c>
      <c r="AI125">
        <v>1</v>
      </c>
      <c r="AJ125">
        <v>0</v>
      </c>
      <c r="AK125">
        <v>1</v>
      </c>
      <c r="AM125">
        <v>0</v>
      </c>
      <c r="AN125">
        <v>1</v>
      </c>
      <c r="AO125">
        <v>0</v>
      </c>
      <c r="AQ125">
        <v>71</v>
      </c>
      <c r="AT125">
        <v>71</v>
      </c>
      <c r="AV125">
        <v>1</v>
      </c>
      <c r="AW125">
        <v>0</v>
      </c>
      <c r="AX125">
        <v>0</v>
      </c>
      <c r="AY125">
        <v>0</v>
      </c>
      <c r="AZ125">
        <v>0</v>
      </c>
      <c r="BA125">
        <v>0</v>
      </c>
      <c r="BC125">
        <v>1</v>
      </c>
      <c r="BE125">
        <v>1</v>
      </c>
      <c r="BG125">
        <v>1</v>
      </c>
      <c r="BH125">
        <v>1</v>
      </c>
      <c r="BI125">
        <v>4</v>
      </c>
      <c r="BJ125">
        <v>1</v>
      </c>
      <c r="BK125">
        <v>4</v>
      </c>
      <c r="BL125">
        <v>1</v>
      </c>
      <c r="BM125">
        <v>1</v>
      </c>
      <c r="BN125">
        <v>1</v>
      </c>
      <c r="BO125">
        <v>1</v>
      </c>
      <c r="BP125">
        <v>0</v>
      </c>
      <c r="BQ125">
        <v>0</v>
      </c>
      <c r="BR125">
        <v>0</v>
      </c>
      <c r="BS125">
        <v>0</v>
      </c>
      <c r="BT125">
        <v>0</v>
      </c>
      <c r="BV125">
        <v>0</v>
      </c>
      <c r="BW125">
        <v>1</v>
      </c>
      <c r="BX125">
        <v>1</v>
      </c>
      <c r="BY125">
        <v>0</v>
      </c>
      <c r="BZ125">
        <v>1</v>
      </c>
      <c r="CA125">
        <v>0</v>
      </c>
      <c r="CB125">
        <v>0</v>
      </c>
      <c r="CC125">
        <v>0</v>
      </c>
      <c r="CD125">
        <v>1</v>
      </c>
      <c r="CE125">
        <v>0</v>
      </c>
      <c r="CF125">
        <v>0</v>
      </c>
      <c r="CG125">
        <v>1</v>
      </c>
      <c r="CH125">
        <v>1</v>
      </c>
      <c r="CI125">
        <v>1</v>
      </c>
      <c r="CJ125">
        <v>0</v>
      </c>
      <c r="CK125">
        <v>0</v>
      </c>
      <c r="CL125">
        <v>0</v>
      </c>
      <c r="CN125">
        <v>9</v>
      </c>
      <c r="CO125">
        <v>3</v>
      </c>
      <c r="CP125">
        <v>2</v>
      </c>
      <c r="CQ125">
        <v>3</v>
      </c>
      <c r="CR125">
        <v>2</v>
      </c>
      <c r="EB125">
        <v>0</v>
      </c>
      <c r="EC125">
        <v>0</v>
      </c>
      <c r="ED125">
        <v>1</v>
      </c>
      <c r="EE125">
        <v>0</v>
      </c>
      <c r="EF125">
        <v>0</v>
      </c>
      <c r="EG125">
        <v>0</v>
      </c>
      <c r="EH125">
        <v>0</v>
      </c>
      <c r="EI125">
        <v>0</v>
      </c>
      <c r="EJ125">
        <v>0</v>
      </c>
      <c r="EK125">
        <v>0</v>
      </c>
      <c r="EM125">
        <v>0</v>
      </c>
      <c r="EN125">
        <v>1</v>
      </c>
      <c r="EO125">
        <v>0</v>
      </c>
      <c r="EP125">
        <v>0</v>
      </c>
      <c r="EQ125">
        <v>0</v>
      </c>
      <c r="ER125">
        <v>0</v>
      </c>
      <c r="ES125">
        <v>0</v>
      </c>
      <c r="ET125">
        <v>0</v>
      </c>
      <c r="EU125">
        <v>0</v>
      </c>
      <c r="EV125">
        <v>0</v>
      </c>
      <c r="EW125">
        <v>1</v>
      </c>
      <c r="EX125">
        <v>0</v>
      </c>
      <c r="EY125">
        <v>0</v>
      </c>
      <c r="FB125" t="s">
        <v>775</v>
      </c>
      <c r="FC125">
        <v>0</v>
      </c>
      <c r="FD125">
        <v>0</v>
      </c>
      <c r="FE125">
        <v>0</v>
      </c>
      <c r="FF125">
        <v>0</v>
      </c>
      <c r="FG125">
        <v>0</v>
      </c>
      <c r="FH125">
        <v>0</v>
      </c>
      <c r="FI125">
        <v>0</v>
      </c>
      <c r="FJ125">
        <v>0</v>
      </c>
      <c r="FK125">
        <v>0</v>
      </c>
      <c r="FL125">
        <v>0</v>
      </c>
      <c r="FM125">
        <v>0</v>
      </c>
      <c r="FN125">
        <v>0</v>
      </c>
      <c r="FO125">
        <v>0</v>
      </c>
      <c r="FP125">
        <v>0</v>
      </c>
      <c r="FQ125">
        <v>0</v>
      </c>
      <c r="FR125">
        <v>1</v>
      </c>
      <c r="FS125">
        <v>0</v>
      </c>
      <c r="FT125">
        <v>0</v>
      </c>
      <c r="FU125">
        <v>0</v>
      </c>
      <c r="FV125">
        <v>0</v>
      </c>
      <c r="FW125">
        <v>0</v>
      </c>
      <c r="FX125">
        <v>0</v>
      </c>
      <c r="IZ125">
        <v>1</v>
      </c>
      <c r="JA125">
        <v>0</v>
      </c>
      <c r="JB125">
        <v>0</v>
      </c>
      <c r="JC125">
        <v>0</v>
      </c>
      <c r="JD125">
        <v>0</v>
      </c>
      <c r="JE125">
        <v>1</v>
      </c>
      <c r="JF125">
        <v>1</v>
      </c>
      <c r="JG125">
        <v>0</v>
      </c>
      <c r="JH125">
        <v>0</v>
      </c>
      <c r="JI125">
        <v>0</v>
      </c>
      <c r="JJ125">
        <v>0</v>
      </c>
      <c r="JL125">
        <v>2</v>
      </c>
      <c r="JM125" cm="1">
        <f t="array" ref="JM125">IF(OR(JN125:JQ125 &lt;&gt; ""), 1, 0)</f>
        <v>0</v>
      </c>
    </row>
    <row r="126" spans="1:277" x14ac:dyDescent="0.35">
      <c r="A126">
        <v>363303</v>
      </c>
      <c r="C126">
        <v>1</v>
      </c>
      <c r="D126" t="s">
        <v>776</v>
      </c>
      <c r="E126" t="str">
        <f>_xlfn.XLOOKUP(I126, [1]SchoolDistrictStudyWODuplicates!$K:$K, [1]SchoolDistrictStudyWODuplicates!$E:$E, "")</f>
        <v/>
      </c>
      <c r="G126" t="s">
        <v>777</v>
      </c>
      <c r="H126" s="5" t="e">
        <f>_xlfn.XLOOKUP(A126,#REF!,#REF!, "No")</f>
        <v>#REF!</v>
      </c>
      <c r="I126" s="7">
        <v>3003330</v>
      </c>
      <c r="J126" s="5" t="e">
        <f>_xlfn.XLOOKUP(I126,#REF!,#REF!,"Not Determined")</f>
        <v>#REF!</v>
      </c>
      <c r="K126" s="5" t="s">
        <v>783</v>
      </c>
      <c r="L126" t="s">
        <v>778</v>
      </c>
      <c r="M126" s="13" t="e">
        <f>_xlfn.XLOOKUP(I126,#REF!,#REF!, "No")</f>
        <v>#REF!</v>
      </c>
      <c r="N126" s="5" t="str">
        <f t="shared" si="22"/>
        <v>No</v>
      </c>
      <c r="O126" s="5" t="str">
        <f t="shared" si="23"/>
        <v>Yes</v>
      </c>
      <c r="P126" s="5" t="str">
        <f t="shared" si="24"/>
        <v>Yes</v>
      </c>
      <c r="Q126" s="5" t="str">
        <f t="shared" si="25"/>
        <v>Yes</v>
      </c>
      <c r="R126" s="5" t="str">
        <f t="shared" si="26"/>
        <v>Yes</v>
      </c>
      <c r="S126" s="5" t="str">
        <f t="shared" si="27"/>
        <v>Yes</v>
      </c>
      <c r="T126" s="5" t="str">
        <f t="shared" si="28"/>
        <v>No</v>
      </c>
      <c r="U126" s="5" t="str">
        <f t="shared" si="29"/>
        <v>Yes</v>
      </c>
      <c r="V126" s="5" t="str" cm="1">
        <f t="array" ref="V126">IF(OR(DB126:DG126 =1), "Yes", "No")</f>
        <v>No</v>
      </c>
      <c r="W126" s="5" t="str">
        <f t="shared" si="30"/>
        <v>No</v>
      </c>
      <c r="X126" s="5" t="str">
        <f t="shared" si="31"/>
        <v>No</v>
      </c>
      <c r="Y126" s="5" t="str">
        <f t="shared" si="32"/>
        <v>No</v>
      </c>
      <c r="Z126">
        <v>4</v>
      </c>
      <c r="AB126">
        <v>0</v>
      </c>
      <c r="AC126">
        <v>0</v>
      </c>
      <c r="AD126">
        <v>1</v>
      </c>
      <c r="AE126">
        <v>1</v>
      </c>
      <c r="AF126">
        <v>1</v>
      </c>
      <c r="AG126">
        <v>0</v>
      </c>
      <c r="AH126">
        <v>0</v>
      </c>
      <c r="AI126">
        <v>0</v>
      </c>
      <c r="AJ126">
        <v>0</v>
      </c>
      <c r="AK126">
        <v>1</v>
      </c>
      <c r="AM126">
        <v>0</v>
      </c>
      <c r="AN126">
        <v>1</v>
      </c>
      <c r="AO126">
        <v>0</v>
      </c>
      <c r="AQ126">
        <v>50</v>
      </c>
      <c r="AT126">
        <v>50</v>
      </c>
      <c r="AV126">
        <v>1</v>
      </c>
      <c r="AW126">
        <v>1</v>
      </c>
      <c r="AX126">
        <v>0</v>
      </c>
      <c r="AY126">
        <v>0</v>
      </c>
      <c r="AZ126">
        <v>0</v>
      </c>
      <c r="BA126">
        <v>0</v>
      </c>
      <c r="BC126">
        <v>2</v>
      </c>
      <c r="BE126">
        <v>1</v>
      </c>
      <c r="BG126">
        <v>1</v>
      </c>
      <c r="BH126">
        <v>1</v>
      </c>
      <c r="BI126">
        <v>4</v>
      </c>
      <c r="BJ126">
        <v>2</v>
      </c>
      <c r="BL126">
        <v>2</v>
      </c>
      <c r="BM126">
        <v>1</v>
      </c>
      <c r="BN126">
        <v>2</v>
      </c>
      <c r="BV126">
        <v>0</v>
      </c>
      <c r="BW126">
        <v>0</v>
      </c>
      <c r="BX126">
        <v>1</v>
      </c>
      <c r="BY126">
        <v>1</v>
      </c>
      <c r="BZ126">
        <v>0</v>
      </c>
      <c r="CA126">
        <v>0</v>
      </c>
      <c r="CB126">
        <v>0</v>
      </c>
      <c r="CC126">
        <v>0</v>
      </c>
      <c r="CD126">
        <v>0</v>
      </c>
      <c r="CE126">
        <v>0</v>
      </c>
      <c r="CF126">
        <v>0</v>
      </c>
      <c r="CG126">
        <v>0</v>
      </c>
      <c r="CH126">
        <v>0</v>
      </c>
      <c r="CI126">
        <v>1</v>
      </c>
      <c r="CJ126">
        <v>0</v>
      </c>
      <c r="CK126">
        <v>0</v>
      </c>
      <c r="CL126">
        <v>0</v>
      </c>
      <c r="CN126">
        <v>9</v>
      </c>
      <c r="CO126">
        <v>4</v>
      </c>
      <c r="CQ126">
        <v>1</v>
      </c>
      <c r="CR126">
        <v>3</v>
      </c>
      <c r="EB126">
        <v>0</v>
      </c>
      <c r="EC126">
        <v>0</v>
      </c>
      <c r="ED126">
        <v>0</v>
      </c>
      <c r="EE126">
        <v>0</v>
      </c>
      <c r="EF126">
        <v>0</v>
      </c>
      <c r="EG126">
        <v>0</v>
      </c>
      <c r="EH126">
        <v>0</v>
      </c>
      <c r="EI126">
        <v>0</v>
      </c>
      <c r="EJ126">
        <v>0</v>
      </c>
      <c r="EK126">
        <v>1</v>
      </c>
      <c r="EM126">
        <v>0</v>
      </c>
      <c r="EN126">
        <v>0</v>
      </c>
      <c r="EO126">
        <v>0</v>
      </c>
      <c r="EP126">
        <v>0</v>
      </c>
      <c r="EQ126">
        <v>1</v>
      </c>
      <c r="ER126">
        <v>0</v>
      </c>
      <c r="ES126">
        <v>0</v>
      </c>
      <c r="ET126">
        <v>1</v>
      </c>
      <c r="EU126">
        <v>0</v>
      </c>
      <c r="EV126">
        <v>0</v>
      </c>
      <c r="EW126">
        <v>0</v>
      </c>
      <c r="EX126">
        <v>0</v>
      </c>
      <c r="EY126">
        <v>0</v>
      </c>
      <c r="IZ126">
        <v>0</v>
      </c>
      <c r="JA126">
        <v>0</v>
      </c>
      <c r="JB126">
        <v>0</v>
      </c>
      <c r="JC126">
        <v>0</v>
      </c>
      <c r="JD126">
        <v>0</v>
      </c>
      <c r="JE126">
        <v>0</v>
      </c>
      <c r="JF126">
        <v>0</v>
      </c>
      <c r="JG126">
        <v>0</v>
      </c>
      <c r="JH126">
        <v>0</v>
      </c>
      <c r="JI126">
        <v>0</v>
      </c>
      <c r="JJ126">
        <v>1</v>
      </c>
      <c r="JL126">
        <v>2</v>
      </c>
      <c r="JM126" cm="1">
        <f t="array" ref="JM126">IF(OR(JN126:JQ126 &lt;&gt; ""), 1, 0)</f>
        <v>0</v>
      </c>
    </row>
    <row r="127" spans="1:277" x14ac:dyDescent="0.35">
      <c r="A127">
        <v>405241</v>
      </c>
      <c r="C127">
        <v>1</v>
      </c>
      <c r="D127" t="s">
        <v>779</v>
      </c>
      <c r="E127" t="str">
        <f>_xlfn.XLOOKUP(I127, [1]SchoolDistrictStudyWODuplicates!$K:$K, [1]SchoolDistrictStudyWODuplicates!$E:$E, "")</f>
        <v/>
      </c>
      <c r="G127" t="s">
        <v>780</v>
      </c>
      <c r="H127" s="7">
        <v>3011520</v>
      </c>
      <c r="I127" s="7">
        <v>3011520</v>
      </c>
      <c r="J127" s="5" t="e">
        <f>_xlfn.XLOOKUP(I127,#REF!,#REF!,"Not Determined")</f>
        <v>#REF!</v>
      </c>
      <c r="K127" s="5" t="s">
        <v>783</v>
      </c>
      <c r="L127" t="s">
        <v>778</v>
      </c>
      <c r="M127" s="13" t="e">
        <f>_xlfn.XLOOKUP(I127,#REF!,#REF!, "No")</f>
        <v>#REF!</v>
      </c>
      <c r="N127" s="5" t="str">
        <f t="shared" si="22"/>
        <v>No</v>
      </c>
      <c r="O127" s="5" t="str">
        <f t="shared" si="23"/>
        <v>Yes</v>
      </c>
      <c r="P127" s="5" t="str">
        <f t="shared" si="24"/>
        <v>Yes</v>
      </c>
      <c r="Q127" s="5" t="str">
        <f t="shared" si="25"/>
        <v>Yes</v>
      </c>
      <c r="R127" s="5" t="str">
        <f t="shared" si="26"/>
        <v>Yes</v>
      </c>
      <c r="S127" s="5" t="str">
        <f t="shared" si="27"/>
        <v>Yes</v>
      </c>
      <c r="T127" s="5" t="str">
        <f t="shared" si="28"/>
        <v>No</v>
      </c>
      <c r="U127" s="5" t="str">
        <f t="shared" si="29"/>
        <v>No</v>
      </c>
      <c r="V127" s="5" t="str" cm="1">
        <f t="array" ref="V127">IF(OR(DB127:DG127 =1), "Yes", "No")</f>
        <v>No</v>
      </c>
      <c r="W127" s="5" t="str">
        <f t="shared" si="30"/>
        <v>No</v>
      </c>
      <c r="X127" s="5" t="str">
        <f t="shared" si="31"/>
        <v>No</v>
      </c>
      <c r="Y127" s="5" t="str">
        <f t="shared" si="32"/>
        <v>No</v>
      </c>
      <c r="Z127">
        <v>3</v>
      </c>
      <c r="AB127">
        <v>1</v>
      </c>
      <c r="AC127">
        <v>0</v>
      </c>
      <c r="AD127">
        <v>1</v>
      </c>
      <c r="AE127">
        <v>0</v>
      </c>
      <c r="AF127">
        <v>0</v>
      </c>
      <c r="AG127">
        <v>0</v>
      </c>
      <c r="AH127">
        <v>0</v>
      </c>
      <c r="AI127">
        <v>1</v>
      </c>
      <c r="AJ127">
        <v>1</v>
      </c>
      <c r="AK127">
        <v>1</v>
      </c>
      <c r="AM127">
        <v>1</v>
      </c>
      <c r="AN127">
        <v>1</v>
      </c>
      <c r="AO127">
        <v>1</v>
      </c>
      <c r="AP127">
        <v>3</v>
      </c>
      <c r="AQ127">
        <v>11</v>
      </c>
      <c r="AR127">
        <v>8</v>
      </c>
      <c r="AS127">
        <v>3</v>
      </c>
      <c r="AT127">
        <v>11</v>
      </c>
      <c r="AU127">
        <v>8</v>
      </c>
      <c r="AV127">
        <v>1</v>
      </c>
      <c r="AW127">
        <v>1</v>
      </c>
      <c r="AX127">
        <v>0</v>
      </c>
      <c r="AY127">
        <v>1</v>
      </c>
      <c r="AZ127">
        <v>0</v>
      </c>
      <c r="BA127">
        <v>0</v>
      </c>
      <c r="BC127">
        <v>1</v>
      </c>
      <c r="BE127">
        <v>1</v>
      </c>
      <c r="BG127">
        <v>1</v>
      </c>
      <c r="BH127">
        <v>1</v>
      </c>
      <c r="BI127">
        <v>3</v>
      </c>
      <c r="BJ127">
        <v>2</v>
      </c>
      <c r="BL127">
        <v>2</v>
      </c>
      <c r="BM127">
        <v>1</v>
      </c>
      <c r="BN127">
        <v>2</v>
      </c>
      <c r="BV127">
        <v>1</v>
      </c>
      <c r="BW127">
        <v>1</v>
      </c>
      <c r="BX127">
        <v>0</v>
      </c>
      <c r="BY127">
        <v>0</v>
      </c>
      <c r="BZ127">
        <v>1</v>
      </c>
      <c r="CA127">
        <v>0</v>
      </c>
      <c r="CB127">
        <v>0</v>
      </c>
      <c r="CC127">
        <v>0</v>
      </c>
      <c r="CD127">
        <v>1</v>
      </c>
      <c r="CE127">
        <v>0</v>
      </c>
      <c r="CF127">
        <v>1</v>
      </c>
      <c r="CG127">
        <v>1</v>
      </c>
      <c r="CH127">
        <v>0</v>
      </c>
      <c r="CI127">
        <v>1</v>
      </c>
      <c r="CJ127">
        <v>0</v>
      </c>
      <c r="CK127">
        <v>0</v>
      </c>
      <c r="CL127">
        <v>0</v>
      </c>
      <c r="CN127">
        <v>9</v>
      </c>
      <c r="CO127">
        <v>4</v>
      </c>
      <c r="CQ127">
        <v>2</v>
      </c>
      <c r="CR127">
        <v>1</v>
      </c>
      <c r="EB127">
        <v>0</v>
      </c>
      <c r="EC127">
        <v>0</v>
      </c>
      <c r="ED127">
        <v>0</v>
      </c>
      <c r="EE127">
        <v>0</v>
      </c>
      <c r="EF127">
        <v>0</v>
      </c>
      <c r="EG127">
        <v>1</v>
      </c>
      <c r="EH127">
        <v>0</v>
      </c>
      <c r="EI127">
        <v>0</v>
      </c>
      <c r="EJ127">
        <v>0</v>
      </c>
      <c r="EK127">
        <v>0</v>
      </c>
      <c r="EM127">
        <v>0</v>
      </c>
      <c r="EN127">
        <v>0</v>
      </c>
      <c r="EO127">
        <v>0</v>
      </c>
      <c r="EP127">
        <v>1</v>
      </c>
      <c r="EQ127">
        <v>0</v>
      </c>
      <c r="ER127">
        <v>0</v>
      </c>
      <c r="ES127">
        <v>0</v>
      </c>
      <c r="ET127">
        <v>0</v>
      </c>
      <c r="EU127">
        <v>0</v>
      </c>
      <c r="EV127">
        <v>0</v>
      </c>
      <c r="EW127">
        <v>1</v>
      </c>
      <c r="EX127">
        <v>0</v>
      </c>
      <c r="EY127">
        <v>0</v>
      </c>
      <c r="IZ127">
        <v>0</v>
      </c>
      <c r="JA127">
        <v>0</v>
      </c>
      <c r="JB127">
        <v>1</v>
      </c>
      <c r="JC127">
        <v>0</v>
      </c>
      <c r="JD127">
        <v>0</v>
      </c>
      <c r="JE127">
        <v>1</v>
      </c>
      <c r="JF127">
        <v>1</v>
      </c>
      <c r="JG127">
        <v>0</v>
      </c>
      <c r="JH127">
        <v>0</v>
      </c>
      <c r="JI127">
        <v>0</v>
      </c>
      <c r="JJ127">
        <v>0</v>
      </c>
      <c r="JL127">
        <v>2</v>
      </c>
      <c r="JM127" cm="1">
        <f t="array" ref="JM127">IF(OR(JN127:JQ127 &lt;&gt; ""), 1, 0)</f>
        <v>0</v>
      </c>
    </row>
    <row r="128" spans="1:277" x14ac:dyDescent="0.35">
      <c r="A128">
        <v>393198</v>
      </c>
      <c r="C128">
        <v>1</v>
      </c>
      <c r="D128" t="s">
        <v>781</v>
      </c>
      <c r="E128" t="str">
        <f>_xlfn.XLOOKUP(I128, [1]SchoolDistrictStudyWODuplicates!$K:$K, [1]SchoolDistrictStudyWODuplicates!$E:$E, "")</f>
        <v/>
      </c>
      <c r="G128" t="s">
        <v>782</v>
      </c>
      <c r="H128" s="7">
        <v>3010080</v>
      </c>
      <c r="I128" s="7">
        <v>3010080</v>
      </c>
      <c r="J128" s="5" t="e">
        <f>_xlfn.XLOOKUP(I128,#REF!,#REF!,"Not Determined")</f>
        <v>#REF!</v>
      </c>
      <c r="K128" s="5" t="s">
        <v>783</v>
      </c>
      <c r="L128" t="s">
        <v>783</v>
      </c>
      <c r="M128" s="13" t="e">
        <f>_xlfn.XLOOKUP(I128,#REF!,#REF!, "No")</f>
        <v>#REF!</v>
      </c>
      <c r="N128" s="5" t="str">
        <f t="shared" si="22"/>
        <v>No</v>
      </c>
      <c r="O128" s="5" t="str">
        <f t="shared" si="23"/>
        <v>Yes</v>
      </c>
      <c r="P128" s="5" t="str">
        <f t="shared" si="24"/>
        <v>Yes</v>
      </c>
      <c r="Q128" s="5" t="str">
        <f t="shared" si="25"/>
        <v>Yes</v>
      </c>
      <c r="R128" s="5" t="str">
        <f t="shared" si="26"/>
        <v>No</v>
      </c>
      <c r="S128" s="5" t="str">
        <f t="shared" si="27"/>
        <v>Yes</v>
      </c>
      <c r="T128" s="5" t="str">
        <f t="shared" si="28"/>
        <v>No</v>
      </c>
      <c r="U128" s="5" t="str">
        <f t="shared" si="29"/>
        <v>Yes</v>
      </c>
      <c r="V128" s="5" t="str" cm="1">
        <f t="array" ref="V128">IF(OR(DB128:DG128 =1), "Yes", "No")</f>
        <v>No</v>
      </c>
      <c r="W128" s="5" t="str">
        <f t="shared" si="30"/>
        <v>No</v>
      </c>
      <c r="X128" s="5" t="str">
        <f t="shared" si="31"/>
        <v>No</v>
      </c>
      <c r="Y128" s="5" t="str">
        <f t="shared" si="32"/>
        <v>No</v>
      </c>
      <c r="Z128">
        <v>3</v>
      </c>
      <c r="AB128">
        <v>1</v>
      </c>
      <c r="AC128">
        <v>0</v>
      </c>
      <c r="AD128">
        <v>1</v>
      </c>
      <c r="AE128">
        <v>0</v>
      </c>
      <c r="AF128">
        <v>0</v>
      </c>
      <c r="AG128">
        <v>0</v>
      </c>
      <c r="AH128">
        <v>0</v>
      </c>
      <c r="AI128">
        <v>1</v>
      </c>
      <c r="AJ128">
        <v>0</v>
      </c>
      <c r="AK128">
        <v>1</v>
      </c>
      <c r="AM128">
        <v>0</v>
      </c>
      <c r="AN128">
        <v>1</v>
      </c>
      <c r="AO128">
        <v>1</v>
      </c>
      <c r="AQ128">
        <v>11</v>
      </c>
      <c r="AR128">
        <v>2</v>
      </c>
      <c r="AT128">
        <v>11</v>
      </c>
      <c r="AU128">
        <v>2</v>
      </c>
      <c r="AV128">
        <v>1</v>
      </c>
      <c r="AW128">
        <v>1</v>
      </c>
      <c r="AX128">
        <v>0</v>
      </c>
      <c r="AY128">
        <v>1</v>
      </c>
      <c r="AZ128">
        <v>0</v>
      </c>
      <c r="BA128">
        <v>0</v>
      </c>
      <c r="BC128">
        <v>4</v>
      </c>
      <c r="BE128">
        <v>1</v>
      </c>
      <c r="BG128">
        <v>1</v>
      </c>
      <c r="BH128">
        <v>1</v>
      </c>
      <c r="BI128">
        <v>2</v>
      </c>
      <c r="BJ128">
        <v>1</v>
      </c>
      <c r="BK128">
        <v>6</v>
      </c>
      <c r="BL128">
        <v>1</v>
      </c>
      <c r="BM128">
        <v>1</v>
      </c>
      <c r="BN128">
        <v>1</v>
      </c>
      <c r="BO128">
        <v>1</v>
      </c>
      <c r="BP128">
        <v>0</v>
      </c>
      <c r="BQ128">
        <v>0</v>
      </c>
      <c r="BR128">
        <v>0</v>
      </c>
      <c r="BS128">
        <v>0</v>
      </c>
      <c r="BT128">
        <v>0</v>
      </c>
      <c r="BV128">
        <v>0</v>
      </c>
      <c r="BW128">
        <v>0</v>
      </c>
      <c r="BX128">
        <v>0</v>
      </c>
      <c r="BY128">
        <v>0</v>
      </c>
      <c r="BZ128">
        <v>0</v>
      </c>
      <c r="CA128">
        <v>0</v>
      </c>
      <c r="CB128">
        <v>0</v>
      </c>
      <c r="CC128">
        <v>0</v>
      </c>
      <c r="CD128">
        <v>0</v>
      </c>
      <c r="CE128">
        <v>0</v>
      </c>
      <c r="CF128">
        <v>0</v>
      </c>
      <c r="CG128">
        <v>0</v>
      </c>
      <c r="CH128">
        <v>0</v>
      </c>
      <c r="CI128">
        <v>0</v>
      </c>
      <c r="CJ128">
        <v>0</v>
      </c>
      <c r="CK128">
        <v>1</v>
      </c>
      <c r="CL128">
        <v>0</v>
      </c>
      <c r="CN128">
        <v>16</v>
      </c>
      <c r="CO128">
        <v>4</v>
      </c>
      <c r="CQ128">
        <v>6</v>
      </c>
      <c r="CR128">
        <v>4</v>
      </c>
      <c r="EB128">
        <v>0</v>
      </c>
      <c r="EC128">
        <v>1</v>
      </c>
      <c r="ED128">
        <v>0</v>
      </c>
      <c r="EE128">
        <v>1</v>
      </c>
      <c r="EF128">
        <v>0</v>
      </c>
      <c r="EG128">
        <v>0</v>
      </c>
      <c r="EH128">
        <v>0</v>
      </c>
      <c r="EI128">
        <v>0</v>
      </c>
      <c r="EJ128">
        <v>0</v>
      </c>
      <c r="EK128">
        <v>0</v>
      </c>
      <c r="EM128">
        <v>0</v>
      </c>
      <c r="EN128">
        <v>0</v>
      </c>
      <c r="EO128">
        <v>0</v>
      </c>
      <c r="EP128">
        <v>1</v>
      </c>
      <c r="EQ128">
        <v>1</v>
      </c>
      <c r="ER128">
        <v>0</v>
      </c>
      <c r="ES128">
        <v>0</v>
      </c>
      <c r="ET128">
        <v>1</v>
      </c>
      <c r="EU128">
        <v>0</v>
      </c>
      <c r="EV128">
        <v>0</v>
      </c>
      <c r="EW128">
        <v>0</v>
      </c>
      <c r="EX128">
        <v>0</v>
      </c>
      <c r="EY128">
        <v>0</v>
      </c>
      <c r="IZ128">
        <v>1</v>
      </c>
      <c r="JA128">
        <v>0</v>
      </c>
      <c r="JB128">
        <v>0</v>
      </c>
      <c r="JC128">
        <v>0</v>
      </c>
      <c r="JD128">
        <v>1</v>
      </c>
      <c r="JE128">
        <v>0</v>
      </c>
      <c r="JF128">
        <v>0</v>
      </c>
      <c r="JG128">
        <v>0</v>
      </c>
      <c r="JH128">
        <v>0</v>
      </c>
      <c r="JI128">
        <v>0</v>
      </c>
      <c r="JJ128">
        <v>0</v>
      </c>
      <c r="JL128">
        <v>2</v>
      </c>
      <c r="JM128" cm="1">
        <f t="array" ref="JM128">IF(OR(JN128:JQ128 &lt;&gt; ""), 1, 0)</f>
        <v>0</v>
      </c>
    </row>
    <row r="129" spans="1:278" x14ac:dyDescent="0.35">
      <c r="A129">
        <v>370101</v>
      </c>
      <c r="C129">
        <v>1</v>
      </c>
      <c r="D129" t="s">
        <v>784</v>
      </c>
      <c r="E129" t="str">
        <f>_xlfn.XLOOKUP(I129, [1]SchoolDistrictStudyWODuplicates!$K:$K, [1]SchoolDistrictStudyWODuplicates!$E:$E, "")</f>
        <v/>
      </c>
      <c r="G129" t="s">
        <v>785</v>
      </c>
      <c r="H129" s="5" t="e">
        <f>_xlfn.XLOOKUP(A129,#REF!,#REF!, "No")</f>
        <v>#REF!</v>
      </c>
      <c r="I129" s="7">
        <v>3701110</v>
      </c>
      <c r="J129" s="5" t="e">
        <f>_xlfn.XLOOKUP(I129,#REF!,#REF!,"Not Determined")</f>
        <v>#REF!</v>
      </c>
      <c r="K129" s="5" t="s">
        <v>786</v>
      </c>
      <c r="L129" t="s">
        <v>786</v>
      </c>
      <c r="M129" s="13" t="e">
        <f>_xlfn.XLOOKUP(I129,#REF!,#REF!, "No")</f>
        <v>#REF!</v>
      </c>
      <c r="N129" s="5" t="str">
        <f t="shared" si="22"/>
        <v>No</v>
      </c>
      <c r="O129" s="5" t="str">
        <f t="shared" si="23"/>
        <v>Yes</v>
      </c>
      <c r="P129" s="5" t="str">
        <f t="shared" si="24"/>
        <v>Yes</v>
      </c>
      <c r="Q129" s="5" t="str">
        <f t="shared" si="25"/>
        <v>Yes</v>
      </c>
      <c r="R129" s="5" t="str">
        <f t="shared" si="26"/>
        <v>Yes</v>
      </c>
      <c r="S129" s="5" t="str">
        <f t="shared" si="27"/>
        <v>Yes</v>
      </c>
      <c r="T129" s="5" t="str">
        <f t="shared" si="28"/>
        <v>Yes</v>
      </c>
      <c r="U129" s="5" t="str">
        <f t="shared" si="29"/>
        <v>Yes</v>
      </c>
      <c r="V129" s="5" t="str" cm="1">
        <f t="array" ref="V129">IF(OR(DB129:DG129 =1), "Yes", "No")</f>
        <v>No</v>
      </c>
      <c r="W129" s="5" t="str">
        <f t="shared" si="30"/>
        <v>No</v>
      </c>
      <c r="X129" s="5" t="str">
        <f t="shared" si="31"/>
        <v>No</v>
      </c>
      <c r="Y129" s="5" t="str">
        <f t="shared" si="32"/>
        <v>No</v>
      </c>
      <c r="Z129">
        <v>3</v>
      </c>
      <c r="AB129">
        <v>0</v>
      </c>
      <c r="AC129">
        <v>0</v>
      </c>
      <c r="AD129">
        <v>1</v>
      </c>
      <c r="AE129">
        <v>0</v>
      </c>
      <c r="AF129">
        <v>0</v>
      </c>
      <c r="AG129">
        <v>0</v>
      </c>
      <c r="AH129">
        <v>0</v>
      </c>
      <c r="AI129">
        <v>0</v>
      </c>
      <c r="AJ129">
        <v>0</v>
      </c>
      <c r="AK129">
        <v>1</v>
      </c>
      <c r="AM129">
        <v>0</v>
      </c>
      <c r="AN129">
        <v>1</v>
      </c>
      <c r="AO129">
        <v>0</v>
      </c>
      <c r="AQ129">
        <v>60</v>
      </c>
      <c r="AT129">
        <v>60</v>
      </c>
      <c r="AV129">
        <v>1</v>
      </c>
      <c r="AW129">
        <v>0</v>
      </c>
      <c r="AX129">
        <v>0</v>
      </c>
      <c r="AY129">
        <v>0</v>
      </c>
      <c r="AZ129">
        <v>0</v>
      </c>
      <c r="BA129">
        <v>0</v>
      </c>
      <c r="BC129">
        <v>1</v>
      </c>
      <c r="BE129">
        <v>1</v>
      </c>
      <c r="BG129">
        <v>1</v>
      </c>
      <c r="BH129">
        <v>1</v>
      </c>
      <c r="BI129">
        <v>4</v>
      </c>
      <c r="BJ129">
        <v>1</v>
      </c>
      <c r="BK129">
        <v>4</v>
      </c>
      <c r="BL129">
        <v>1</v>
      </c>
      <c r="BM129">
        <v>1</v>
      </c>
      <c r="BN129">
        <v>2</v>
      </c>
      <c r="BV129">
        <v>0</v>
      </c>
      <c r="BW129">
        <v>0</v>
      </c>
      <c r="BX129">
        <v>0</v>
      </c>
      <c r="BY129">
        <v>0</v>
      </c>
      <c r="BZ129">
        <v>0</v>
      </c>
      <c r="CA129">
        <v>0</v>
      </c>
      <c r="CB129">
        <v>0</v>
      </c>
      <c r="CC129">
        <v>0</v>
      </c>
      <c r="CD129">
        <v>0</v>
      </c>
      <c r="CE129">
        <v>0</v>
      </c>
      <c r="CF129">
        <v>0</v>
      </c>
      <c r="CG129">
        <v>0</v>
      </c>
      <c r="CH129">
        <v>0</v>
      </c>
      <c r="CI129">
        <v>0</v>
      </c>
      <c r="CJ129">
        <v>0</v>
      </c>
      <c r="CK129">
        <v>1</v>
      </c>
      <c r="CL129">
        <v>0</v>
      </c>
      <c r="CN129">
        <v>16</v>
      </c>
      <c r="CO129">
        <v>4</v>
      </c>
      <c r="CQ129">
        <v>5</v>
      </c>
      <c r="CR129">
        <v>5</v>
      </c>
      <c r="EB129">
        <v>1</v>
      </c>
      <c r="EC129">
        <v>1</v>
      </c>
      <c r="ED129">
        <v>1</v>
      </c>
      <c r="EE129">
        <v>0</v>
      </c>
      <c r="EF129">
        <v>1</v>
      </c>
      <c r="EG129">
        <v>1</v>
      </c>
      <c r="EH129">
        <v>1</v>
      </c>
      <c r="EI129">
        <v>1</v>
      </c>
      <c r="EJ129">
        <v>0</v>
      </c>
      <c r="EK129">
        <v>0</v>
      </c>
      <c r="EM129">
        <v>0</v>
      </c>
      <c r="EN129">
        <v>0</v>
      </c>
      <c r="EO129">
        <v>0</v>
      </c>
      <c r="EP129">
        <v>0</v>
      </c>
      <c r="EQ129">
        <v>0</v>
      </c>
      <c r="ER129">
        <v>0</v>
      </c>
      <c r="ES129">
        <v>0</v>
      </c>
      <c r="ET129">
        <v>0</v>
      </c>
      <c r="EU129">
        <v>0</v>
      </c>
      <c r="EV129">
        <v>0</v>
      </c>
      <c r="EW129">
        <v>0</v>
      </c>
      <c r="EX129">
        <v>0</v>
      </c>
      <c r="EY129">
        <v>1</v>
      </c>
      <c r="IZ129">
        <v>0</v>
      </c>
      <c r="JA129">
        <v>0</v>
      </c>
      <c r="JB129">
        <v>0</v>
      </c>
      <c r="JC129">
        <v>0</v>
      </c>
      <c r="JD129">
        <v>0</v>
      </c>
      <c r="JE129">
        <v>0</v>
      </c>
      <c r="JF129">
        <v>0</v>
      </c>
      <c r="JG129">
        <v>0</v>
      </c>
      <c r="JH129">
        <v>0</v>
      </c>
      <c r="JI129">
        <v>0</v>
      </c>
      <c r="JJ129">
        <v>1</v>
      </c>
      <c r="JL129">
        <v>2</v>
      </c>
      <c r="JM129" cm="1">
        <f t="array" ref="JM129">IF(OR(JN129:JQ129 &lt;&gt; ""), 1, 0)</f>
        <v>0</v>
      </c>
    </row>
    <row r="130" spans="1:278" x14ac:dyDescent="0.35">
      <c r="A130">
        <v>405347</v>
      </c>
      <c r="C130">
        <v>1</v>
      </c>
      <c r="D130" t="s">
        <v>787</v>
      </c>
      <c r="E130" t="str">
        <f>_xlfn.XLOOKUP(I130, [1]SchoolDistrictStudyWODuplicates!$K:$K, [1]SchoolDistrictStudyWODuplicates!$E:$E, "")</f>
        <v/>
      </c>
      <c r="G130" t="s">
        <v>788</v>
      </c>
      <c r="H130" s="5" t="e">
        <f>_xlfn.XLOOKUP(A130,#REF!,#REF!, "No")</f>
        <v>#REF!</v>
      </c>
      <c r="I130" s="7">
        <v>3701200</v>
      </c>
      <c r="J130" s="5" t="e">
        <f>_xlfn.XLOOKUP(I130,#REF!,#REF!,"Not Determined")</f>
        <v>#REF!</v>
      </c>
      <c r="K130" s="5" t="s">
        <v>786</v>
      </c>
      <c r="L130" t="s">
        <v>786</v>
      </c>
      <c r="M130" s="13" t="e">
        <f>_xlfn.XLOOKUP(I130,#REF!,#REF!, "No")</f>
        <v>#REF!</v>
      </c>
      <c r="N130" s="5" t="str">
        <f t="shared" si="22"/>
        <v>No</v>
      </c>
      <c r="O130" s="5" t="str">
        <f t="shared" si="23"/>
        <v>Yes</v>
      </c>
      <c r="P130" s="5" t="str">
        <f t="shared" si="24"/>
        <v>Yes</v>
      </c>
      <c r="Q130" s="5" t="str">
        <f t="shared" si="25"/>
        <v>Yes</v>
      </c>
      <c r="R130" s="5" t="str">
        <f t="shared" si="26"/>
        <v>Yes</v>
      </c>
      <c r="S130" s="5" t="str">
        <f t="shared" si="27"/>
        <v>Yes</v>
      </c>
      <c r="T130" s="5" t="str">
        <f t="shared" si="28"/>
        <v>Yes</v>
      </c>
      <c r="U130" s="5" t="str">
        <f t="shared" si="29"/>
        <v>Yes</v>
      </c>
      <c r="V130" s="5" t="str" cm="1">
        <f t="array" ref="V130">IF(OR(DB130:DG130 =1), "Yes", "No")</f>
        <v>No</v>
      </c>
      <c r="W130" s="5" t="str">
        <f t="shared" si="30"/>
        <v>Yes</v>
      </c>
      <c r="X130" s="5" t="str">
        <f t="shared" si="31"/>
        <v>No</v>
      </c>
      <c r="Y130" s="5" t="str">
        <f t="shared" si="32"/>
        <v>No</v>
      </c>
      <c r="Z130">
        <v>15</v>
      </c>
      <c r="AA130" t="s">
        <v>675</v>
      </c>
      <c r="AB130">
        <v>0</v>
      </c>
      <c r="AC130">
        <v>0</v>
      </c>
      <c r="AD130">
        <v>1</v>
      </c>
      <c r="AE130">
        <v>0</v>
      </c>
      <c r="AF130">
        <v>0</v>
      </c>
      <c r="AG130">
        <v>0</v>
      </c>
      <c r="AH130">
        <v>0</v>
      </c>
      <c r="AI130">
        <v>0</v>
      </c>
      <c r="AJ130">
        <v>0</v>
      </c>
      <c r="AK130">
        <v>1</v>
      </c>
      <c r="AM130">
        <v>0</v>
      </c>
      <c r="AN130">
        <v>1</v>
      </c>
      <c r="AO130">
        <v>0</v>
      </c>
      <c r="AQ130">
        <v>142</v>
      </c>
      <c r="AT130">
        <v>142</v>
      </c>
      <c r="AV130">
        <v>1</v>
      </c>
      <c r="AW130">
        <v>0</v>
      </c>
      <c r="AX130">
        <v>0</v>
      </c>
      <c r="AY130">
        <v>0</v>
      </c>
      <c r="AZ130">
        <v>0</v>
      </c>
      <c r="BA130">
        <v>0</v>
      </c>
      <c r="BC130">
        <v>1</v>
      </c>
      <c r="BE130">
        <v>1</v>
      </c>
      <c r="BG130">
        <v>1</v>
      </c>
      <c r="BH130">
        <v>1</v>
      </c>
      <c r="BI130">
        <v>4</v>
      </c>
      <c r="BJ130">
        <v>2</v>
      </c>
      <c r="BL130">
        <v>1</v>
      </c>
      <c r="BM130">
        <v>1</v>
      </c>
      <c r="BN130">
        <v>1</v>
      </c>
      <c r="BO130">
        <v>1</v>
      </c>
      <c r="BP130">
        <v>0</v>
      </c>
      <c r="BQ130">
        <v>0</v>
      </c>
      <c r="BR130">
        <v>0</v>
      </c>
      <c r="BS130">
        <v>0</v>
      </c>
      <c r="BT130">
        <v>0</v>
      </c>
      <c r="BV130">
        <v>0</v>
      </c>
      <c r="BW130">
        <v>0</v>
      </c>
      <c r="BX130">
        <v>1</v>
      </c>
      <c r="BY130">
        <v>0</v>
      </c>
      <c r="BZ130">
        <v>0</v>
      </c>
      <c r="CA130">
        <v>0</v>
      </c>
      <c r="CB130">
        <v>0</v>
      </c>
      <c r="CC130">
        <v>0</v>
      </c>
      <c r="CD130">
        <v>0</v>
      </c>
      <c r="CE130">
        <v>0</v>
      </c>
      <c r="CF130">
        <v>1</v>
      </c>
      <c r="CG130">
        <v>1</v>
      </c>
      <c r="CH130">
        <v>1</v>
      </c>
      <c r="CI130">
        <v>1</v>
      </c>
      <c r="CJ130">
        <v>0</v>
      </c>
      <c r="CK130">
        <v>1</v>
      </c>
      <c r="CL130">
        <v>0</v>
      </c>
      <c r="CN130">
        <v>16</v>
      </c>
      <c r="CO130">
        <v>4</v>
      </c>
      <c r="CQ130">
        <v>3</v>
      </c>
      <c r="CR130">
        <v>3</v>
      </c>
      <c r="EB130">
        <v>0</v>
      </c>
      <c r="EC130">
        <v>0</v>
      </c>
      <c r="ED130">
        <v>1</v>
      </c>
      <c r="EE130">
        <v>0</v>
      </c>
      <c r="EF130">
        <v>0</v>
      </c>
      <c r="EG130">
        <v>1</v>
      </c>
      <c r="EH130">
        <v>0</v>
      </c>
      <c r="EI130">
        <v>1</v>
      </c>
      <c r="EJ130">
        <v>0</v>
      </c>
      <c r="EK130">
        <v>0</v>
      </c>
      <c r="EM130">
        <v>0</v>
      </c>
      <c r="EN130">
        <v>0</v>
      </c>
      <c r="EO130">
        <v>0</v>
      </c>
      <c r="EP130">
        <v>1</v>
      </c>
      <c r="EQ130">
        <v>0</v>
      </c>
      <c r="ER130">
        <v>0</v>
      </c>
      <c r="ES130">
        <v>0</v>
      </c>
      <c r="ET130">
        <v>1</v>
      </c>
      <c r="EU130">
        <v>1</v>
      </c>
      <c r="EV130">
        <v>0</v>
      </c>
      <c r="EW130">
        <v>0</v>
      </c>
      <c r="EX130">
        <v>0</v>
      </c>
      <c r="EY130">
        <v>0</v>
      </c>
      <c r="IZ130">
        <v>0</v>
      </c>
      <c r="JA130">
        <v>0</v>
      </c>
      <c r="JB130">
        <v>0</v>
      </c>
      <c r="JC130">
        <v>0</v>
      </c>
      <c r="JD130">
        <v>0</v>
      </c>
      <c r="JE130">
        <v>0</v>
      </c>
      <c r="JF130">
        <v>0</v>
      </c>
      <c r="JG130">
        <v>0</v>
      </c>
      <c r="JH130">
        <v>0</v>
      </c>
      <c r="JI130">
        <v>0</v>
      </c>
      <c r="JJ130">
        <v>1</v>
      </c>
      <c r="JL130">
        <v>1</v>
      </c>
      <c r="JM130" cm="1">
        <f t="array" ref="JM130">IF(OR(JN130:JQ130 &lt;&gt; ""), 1, 0)</f>
        <v>1</v>
      </c>
      <c r="JN130">
        <v>0</v>
      </c>
      <c r="JO130">
        <v>1</v>
      </c>
      <c r="JP130">
        <v>0</v>
      </c>
      <c r="JQ130">
        <v>0</v>
      </c>
    </row>
    <row r="131" spans="1:278" x14ac:dyDescent="0.35">
      <c r="A131">
        <v>405480</v>
      </c>
      <c r="C131">
        <v>1</v>
      </c>
      <c r="D131" t="s">
        <v>789</v>
      </c>
      <c r="E131" t="str">
        <f>_xlfn.XLOOKUP(I131, [1]SchoolDistrictStudyWODuplicates!$K:$K, [1]SchoolDistrictStudyWODuplicates!$E:$E, "")</f>
        <v/>
      </c>
      <c r="G131" t="s">
        <v>790</v>
      </c>
      <c r="H131" s="5" t="e">
        <f>_xlfn.XLOOKUP(A131,#REF!,#REF!, "No")</f>
        <v>#REF!</v>
      </c>
      <c r="I131" s="7">
        <v>3700129</v>
      </c>
      <c r="J131" s="5" t="e">
        <f>_xlfn.XLOOKUP(I131,#REF!,#REF!,"Not Determined")</f>
        <v>#REF!</v>
      </c>
      <c r="K131" s="5" t="s">
        <v>786</v>
      </c>
      <c r="L131" t="s">
        <v>786</v>
      </c>
      <c r="M131" s="13" t="e">
        <f>_xlfn.XLOOKUP(I131,#REF!,#REF!, "No")</f>
        <v>#REF!</v>
      </c>
      <c r="N131" s="5" t="str">
        <f t="shared" si="22"/>
        <v>No</v>
      </c>
      <c r="O131" s="5" t="str">
        <f t="shared" si="23"/>
        <v>Yes</v>
      </c>
      <c r="P131" s="5" t="str">
        <f t="shared" si="24"/>
        <v>Yes</v>
      </c>
      <c r="Q131" s="5" t="str">
        <f t="shared" si="25"/>
        <v>Yes</v>
      </c>
      <c r="R131" s="5" t="str">
        <f t="shared" si="26"/>
        <v>Yes</v>
      </c>
      <c r="S131" s="5" t="str">
        <f t="shared" si="27"/>
        <v>Yes</v>
      </c>
      <c r="T131" s="5" t="str">
        <f t="shared" si="28"/>
        <v>Yes</v>
      </c>
      <c r="U131" s="5" t="str">
        <f t="shared" si="29"/>
        <v>Yes</v>
      </c>
      <c r="V131" s="5" t="str" cm="1">
        <f t="array" ref="V131">IF(OR(DB131:DG131 =1), "Yes", "No")</f>
        <v>No</v>
      </c>
      <c r="W131" s="5" t="str">
        <f t="shared" si="30"/>
        <v>No</v>
      </c>
      <c r="X131" s="5" t="str">
        <f t="shared" si="31"/>
        <v>No</v>
      </c>
      <c r="Y131" s="5" t="str">
        <f t="shared" si="32"/>
        <v>No</v>
      </c>
      <c r="Z131">
        <v>4</v>
      </c>
      <c r="AB131">
        <v>1</v>
      </c>
      <c r="AC131">
        <v>0</v>
      </c>
      <c r="AD131">
        <v>0</v>
      </c>
      <c r="AE131">
        <v>0</v>
      </c>
      <c r="AF131">
        <v>0</v>
      </c>
      <c r="AG131">
        <v>0</v>
      </c>
      <c r="AH131">
        <v>0</v>
      </c>
      <c r="AI131">
        <v>0</v>
      </c>
      <c r="AJ131">
        <v>0</v>
      </c>
      <c r="AK131">
        <v>1</v>
      </c>
      <c r="AM131">
        <v>1</v>
      </c>
      <c r="AN131">
        <v>0</v>
      </c>
      <c r="AO131">
        <v>0</v>
      </c>
      <c r="AP131">
        <v>0</v>
      </c>
      <c r="AV131">
        <v>1</v>
      </c>
      <c r="AW131">
        <v>0</v>
      </c>
      <c r="AX131">
        <v>0</v>
      </c>
      <c r="AY131">
        <v>0</v>
      </c>
      <c r="AZ131">
        <v>0</v>
      </c>
      <c r="BA131">
        <v>0</v>
      </c>
      <c r="BC131">
        <v>1</v>
      </c>
      <c r="BE131">
        <v>1</v>
      </c>
      <c r="BG131">
        <v>1</v>
      </c>
      <c r="BH131">
        <v>1</v>
      </c>
      <c r="BI131">
        <v>5</v>
      </c>
      <c r="BJ131">
        <v>2</v>
      </c>
      <c r="BL131">
        <v>2</v>
      </c>
      <c r="BM131">
        <v>1</v>
      </c>
      <c r="BN131">
        <v>1</v>
      </c>
      <c r="BO131">
        <v>1</v>
      </c>
      <c r="BP131">
        <v>0</v>
      </c>
      <c r="BQ131">
        <v>0</v>
      </c>
      <c r="BR131">
        <v>0</v>
      </c>
      <c r="BS131">
        <v>0</v>
      </c>
      <c r="BT131">
        <v>0</v>
      </c>
      <c r="BV131">
        <v>0</v>
      </c>
      <c r="BW131">
        <v>0</v>
      </c>
      <c r="BX131">
        <v>0</v>
      </c>
      <c r="BY131">
        <v>0</v>
      </c>
      <c r="BZ131">
        <v>1</v>
      </c>
      <c r="CA131">
        <v>0</v>
      </c>
      <c r="CB131">
        <v>0</v>
      </c>
      <c r="CC131">
        <v>0</v>
      </c>
      <c r="CD131">
        <v>0</v>
      </c>
      <c r="CE131">
        <v>0</v>
      </c>
      <c r="CF131">
        <v>0</v>
      </c>
      <c r="CG131">
        <v>0</v>
      </c>
      <c r="CH131">
        <v>0</v>
      </c>
      <c r="CI131">
        <v>0</v>
      </c>
      <c r="CJ131">
        <v>0</v>
      </c>
      <c r="CK131">
        <v>0</v>
      </c>
      <c r="CL131">
        <v>1</v>
      </c>
      <c r="CM131" t="s">
        <v>791</v>
      </c>
      <c r="CN131">
        <v>12</v>
      </c>
      <c r="CO131">
        <v>4</v>
      </c>
      <c r="CQ131">
        <v>4</v>
      </c>
      <c r="CR131">
        <v>4</v>
      </c>
      <c r="EB131">
        <v>0</v>
      </c>
      <c r="EC131">
        <v>0</v>
      </c>
      <c r="ED131">
        <v>0</v>
      </c>
      <c r="EE131">
        <v>0</v>
      </c>
      <c r="EF131">
        <v>0</v>
      </c>
      <c r="EG131">
        <v>0</v>
      </c>
      <c r="EH131">
        <v>0</v>
      </c>
      <c r="EI131">
        <v>0</v>
      </c>
      <c r="EJ131">
        <v>0</v>
      </c>
      <c r="EK131">
        <v>1</v>
      </c>
      <c r="JM131" cm="1">
        <f t="array" ref="JM131">IF(OR(JN131:JQ131 &lt;&gt; ""), 1, 0)</f>
        <v>0</v>
      </c>
    </row>
    <row r="132" spans="1:278" x14ac:dyDescent="0.35">
      <c r="A132">
        <v>393083</v>
      </c>
      <c r="C132">
        <v>1</v>
      </c>
      <c r="D132" t="s">
        <v>792</v>
      </c>
      <c r="E132" t="str">
        <f>_xlfn.XLOOKUP(I132, [1]SchoolDistrictStudyWODuplicates!$K:$K, [1]SchoolDistrictStudyWODuplicates!$E:$E, "")</f>
        <v>Onslow County</v>
      </c>
      <c r="G132" t="s">
        <v>793</v>
      </c>
      <c r="H132" s="5" t="e">
        <f>_xlfn.XLOOKUP(A132,#REF!,#REF!, "No")</f>
        <v>#REF!</v>
      </c>
      <c r="I132" s="7">
        <v>3703450</v>
      </c>
      <c r="J132" s="5" t="e">
        <f>_xlfn.XLOOKUP(I132,#REF!,#REF!,"Not Determined")</f>
        <v>#REF!</v>
      </c>
      <c r="K132" s="5" t="s">
        <v>786</v>
      </c>
      <c r="L132" t="s">
        <v>786</v>
      </c>
      <c r="M132" s="13" t="e">
        <f>_xlfn.XLOOKUP(I132,#REF!,#REF!, "No")</f>
        <v>#REF!</v>
      </c>
      <c r="N132" s="5" t="str">
        <f t="shared" si="22"/>
        <v>No</v>
      </c>
      <c r="O132" s="5" t="str">
        <f t="shared" si="23"/>
        <v>Yes</v>
      </c>
      <c r="P132" s="5" t="str">
        <f t="shared" si="24"/>
        <v>Yes</v>
      </c>
      <c r="Q132" s="5" t="str">
        <f t="shared" si="25"/>
        <v>Yes</v>
      </c>
      <c r="R132" s="5" t="str">
        <f t="shared" si="26"/>
        <v>Yes</v>
      </c>
      <c r="S132" s="5" t="str">
        <f t="shared" si="27"/>
        <v>Yes</v>
      </c>
      <c r="T132" s="5" t="str">
        <f t="shared" si="28"/>
        <v>Yes</v>
      </c>
      <c r="U132" s="5" t="str">
        <f t="shared" si="29"/>
        <v>Yes</v>
      </c>
      <c r="V132" s="5" t="str" cm="1">
        <f t="array" ref="V132">IF(OR(DB132:DG132 =1), "Yes", "No")</f>
        <v>No</v>
      </c>
      <c r="W132" s="5" t="str">
        <f t="shared" si="30"/>
        <v>No</v>
      </c>
      <c r="X132" s="5" t="str">
        <f t="shared" si="31"/>
        <v>No</v>
      </c>
      <c r="Y132" s="5" t="str">
        <f t="shared" si="32"/>
        <v>No</v>
      </c>
      <c r="Z132">
        <v>3</v>
      </c>
      <c r="AB132">
        <v>0</v>
      </c>
      <c r="AC132">
        <v>0</v>
      </c>
      <c r="AD132">
        <v>1</v>
      </c>
      <c r="AE132">
        <v>0</v>
      </c>
      <c r="AF132">
        <v>0</v>
      </c>
      <c r="AG132">
        <v>0</v>
      </c>
      <c r="AH132">
        <v>0</v>
      </c>
      <c r="AI132">
        <v>0</v>
      </c>
      <c r="AJ132">
        <v>0</v>
      </c>
      <c r="AK132">
        <v>1</v>
      </c>
      <c r="AM132">
        <v>0</v>
      </c>
      <c r="AN132">
        <v>1</v>
      </c>
      <c r="AO132">
        <v>0</v>
      </c>
      <c r="AQ132">
        <v>225</v>
      </c>
      <c r="AT132">
        <v>225</v>
      </c>
      <c r="AV132">
        <v>1</v>
      </c>
      <c r="AW132">
        <v>0</v>
      </c>
      <c r="AX132">
        <v>0</v>
      </c>
      <c r="AY132">
        <v>0</v>
      </c>
      <c r="AZ132">
        <v>0</v>
      </c>
      <c r="BA132">
        <v>0</v>
      </c>
      <c r="BC132">
        <v>1</v>
      </c>
      <c r="BE132">
        <v>1</v>
      </c>
      <c r="BG132">
        <v>1</v>
      </c>
      <c r="BH132">
        <v>1</v>
      </c>
      <c r="BI132">
        <v>2</v>
      </c>
      <c r="BJ132">
        <v>2</v>
      </c>
      <c r="BL132">
        <v>2</v>
      </c>
      <c r="BM132">
        <v>1</v>
      </c>
      <c r="BN132">
        <v>1</v>
      </c>
      <c r="BO132">
        <v>1</v>
      </c>
      <c r="BP132">
        <v>0</v>
      </c>
      <c r="BQ132">
        <v>0</v>
      </c>
      <c r="BR132">
        <v>0</v>
      </c>
      <c r="BS132">
        <v>1</v>
      </c>
      <c r="BT132">
        <v>0</v>
      </c>
      <c r="BV132">
        <v>0</v>
      </c>
      <c r="BW132">
        <v>0</v>
      </c>
      <c r="BX132">
        <v>0</v>
      </c>
      <c r="BY132">
        <v>0</v>
      </c>
      <c r="BZ132">
        <v>0</v>
      </c>
      <c r="CA132">
        <v>0</v>
      </c>
      <c r="CB132">
        <v>0</v>
      </c>
      <c r="CC132">
        <v>0</v>
      </c>
      <c r="CD132">
        <v>0</v>
      </c>
      <c r="CE132">
        <v>0</v>
      </c>
      <c r="CF132">
        <v>0</v>
      </c>
      <c r="CG132">
        <v>0</v>
      </c>
      <c r="CH132">
        <v>0</v>
      </c>
      <c r="CI132">
        <v>0</v>
      </c>
      <c r="CJ132">
        <v>1</v>
      </c>
      <c r="CK132">
        <v>0</v>
      </c>
      <c r="CL132">
        <v>0</v>
      </c>
      <c r="CN132">
        <v>15</v>
      </c>
      <c r="CO132">
        <v>4</v>
      </c>
      <c r="CQ132">
        <v>5</v>
      </c>
      <c r="CR132">
        <v>5</v>
      </c>
      <c r="EB132">
        <v>0</v>
      </c>
      <c r="EC132">
        <v>0</v>
      </c>
      <c r="ED132">
        <v>0</v>
      </c>
      <c r="EE132">
        <v>0</v>
      </c>
      <c r="EF132">
        <v>1</v>
      </c>
      <c r="EG132">
        <v>1</v>
      </c>
      <c r="EH132">
        <v>0</v>
      </c>
      <c r="EI132">
        <v>0</v>
      </c>
      <c r="EJ132">
        <v>0</v>
      </c>
      <c r="EK132">
        <v>0</v>
      </c>
      <c r="EM132">
        <v>0</v>
      </c>
      <c r="EN132">
        <v>1</v>
      </c>
      <c r="EO132">
        <v>0</v>
      </c>
      <c r="EP132">
        <v>1</v>
      </c>
      <c r="EQ132">
        <v>1</v>
      </c>
      <c r="ER132">
        <v>0</v>
      </c>
      <c r="ES132">
        <v>0</v>
      </c>
      <c r="ET132">
        <v>1</v>
      </c>
      <c r="EU132">
        <v>0</v>
      </c>
      <c r="EV132">
        <v>1</v>
      </c>
      <c r="EW132">
        <v>1</v>
      </c>
      <c r="EX132">
        <v>0</v>
      </c>
      <c r="EY132">
        <v>0</v>
      </c>
      <c r="FB132" t="s">
        <v>794</v>
      </c>
      <c r="FC132">
        <v>0</v>
      </c>
      <c r="FD132">
        <v>1</v>
      </c>
      <c r="FE132">
        <v>0</v>
      </c>
      <c r="FF132">
        <v>0</v>
      </c>
      <c r="FG132">
        <v>0</v>
      </c>
      <c r="FH132">
        <v>0</v>
      </c>
      <c r="FI132">
        <v>0</v>
      </c>
      <c r="FJ132">
        <v>0</v>
      </c>
      <c r="FK132">
        <v>0</v>
      </c>
      <c r="FL132">
        <v>0</v>
      </c>
      <c r="FM132">
        <v>0</v>
      </c>
      <c r="FN132">
        <v>1</v>
      </c>
      <c r="FO132">
        <v>0</v>
      </c>
      <c r="FP132">
        <v>0</v>
      </c>
      <c r="FQ132">
        <v>0</v>
      </c>
      <c r="FR132">
        <v>0</v>
      </c>
      <c r="FS132">
        <v>0</v>
      </c>
      <c r="FT132">
        <v>0</v>
      </c>
      <c r="FU132">
        <v>0</v>
      </c>
      <c r="FV132">
        <v>0</v>
      </c>
      <c r="FW132">
        <v>0</v>
      </c>
      <c r="FX132">
        <v>0</v>
      </c>
      <c r="HC132" t="s">
        <v>795</v>
      </c>
      <c r="HD132">
        <v>0</v>
      </c>
      <c r="HE132">
        <v>0</v>
      </c>
      <c r="HF132">
        <v>0</v>
      </c>
      <c r="HG132">
        <v>0</v>
      </c>
      <c r="HH132">
        <v>0</v>
      </c>
      <c r="HI132">
        <v>0</v>
      </c>
      <c r="HJ132">
        <v>0</v>
      </c>
      <c r="HK132">
        <v>0</v>
      </c>
      <c r="HL132">
        <v>0</v>
      </c>
      <c r="HM132">
        <v>0</v>
      </c>
      <c r="HN132">
        <v>0</v>
      </c>
      <c r="HO132">
        <v>0</v>
      </c>
      <c r="HP132">
        <v>0</v>
      </c>
      <c r="HQ132">
        <v>0</v>
      </c>
      <c r="HR132">
        <v>0</v>
      </c>
      <c r="HS132">
        <v>0</v>
      </c>
      <c r="HT132">
        <v>0</v>
      </c>
      <c r="HU132">
        <v>0</v>
      </c>
      <c r="HV132">
        <v>0</v>
      </c>
      <c r="HW132">
        <v>1</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Z132">
        <v>0</v>
      </c>
      <c r="JA132">
        <v>0</v>
      </c>
      <c r="JB132">
        <v>0</v>
      </c>
      <c r="JC132">
        <v>0</v>
      </c>
      <c r="JD132">
        <v>0</v>
      </c>
      <c r="JE132">
        <v>0</v>
      </c>
      <c r="JF132">
        <v>0</v>
      </c>
      <c r="JG132">
        <v>0</v>
      </c>
      <c r="JH132">
        <v>0</v>
      </c>
      <c r="JI132">
        <v>0</v>
      </c>
      <c r="JJ132">
        <v>1</v>
      </c>
      <c r="JL132">
        <v>2</v>
      </c>
      <c r="JM132" cm="1">
        <f t="array" ref="JM132">IF(OR(JN132:JQ132 &lt;&gt; ""), 1, 0)</f>
        <v>0</v>
      </c>
    </row>
    <row r="133" spans="1:278" x14ac:dyDescent="0.35">
      <c r="A133">
        <v>393107</v>
      </c>
      <c r="C133">
        <v>1</v>
      </c>
      <c r="D133" t="s">
        <v>796</v>
      </c>
      <c r="E133" t="str">
        <f>_xlfn.XLOOKUP(I133, [1]SchoolDistrictStudyWODuplicates!$K:$K, [1]SchoolDistrictStudyWODuplicates!$E:$E, "")</f>
        <v>Scotland County Schools</v>
      </c>
      <c r="G133" t="s">
        <v>797</v>
      </c>
      <c r="H133" s="5" t="e">
        <f>_xlfn.XLOOKUP(A133,#REF!,#REF!, "No")</f>
        <v>#REF!</v>
      </c>
      <c r="I133" s="7">
        <v>3704200</v>
      </c>
      <c r="J133" s="5" t="e">
        <f>_xlfn.XLOOKUP(I133,#REF!,#REF!,"Not Determined")</f>
        <v>#REF!</v>
      </c>
      <c r="K133" s="5" t="s">
        <v>786</v>
      </c>
      <c r="L133" t="s">
        <v>786</v>
      </c>
      <c r="M133" s="13" t="e">
        <f>_xlfn.XLOOKUP(I133,#REF!,#REF!, "No")</f>
        <v>#REF!</v>
      </c>
      <c r="N133" s="5" t="str">
        <f t="shared" si="22"/>
        <v>No</v>
      </c>
      <c r="O133" s="5" t="str">
        <f t="shared" si="23"/>
        <v>Yes</v>
      </c>
      <c r="P133" s="5" t="str">
        <f t="shared" si="24"/>
        <v>Yes</v>
      </c>
      <c r="Q133" s="5" t="str">
        <f t="shared" si="25"/>
        <v>Yes</v>
      </c>
      <c r="R133" s="5" t="str">
        <f t="shared" si="26"/>
        <v>Yes</v>
      </c>
      <c r="S133" s="5" t="str">
        <f t="shared" si="27"/>
        <v>Yes</v>
      </c>
      <c r="T133" s="5" t="str">
        <f t="shared" si="28"/>
        <v>Yes</v>
      </c>
      <c r="U133" s="5" t="str">
        <f t="shared" si="29"/>
        <v>Yes</v>
      </c>
      <c r="V133" s="5" t="str" cm="1">
        <f t="array" ref="V133">IF(OR(DB133:DG133 =1), "Yes", "No")</f>
        <v>No</v>
      </c>
      <c r="W133" s="5" t="str">
        <f t="shared" si="30"/>
        <v>Yes</v>
      </c>
      <c r="X133" s="5" t="str">
        <f t="shared" si="31"/>
        <v>No</v>
      </c>
      <c r="Y133" s="5" t="str">
        <f t="shared" si="32"/>
        <v>No</v>
      </c>
      <c r="Z133">
        <v>3</v>
      </c>
      <c r="AB133">
        <v>1</v>
      </c>
      <c r="AC133">
        <v>0</v>
      </c>
      <c r="AD133">
        <v>1</v>
      </c>
      <c r="AE133">
        <v>0</v>
      </c>
      <c r="AF133">
        <v>0</v>
      </c>
      <c r="AG133">
        <v>0</v>
      </c>
      <c r="AH133">
        <v>1</v>
      </c>
      <c r="AI133">
        <v>1</v>
      </c>
      <c r="AJ133">
        <v>0</v>
      </c>
      <c r="AK133">
        <v>1</v>
      </c>
      <c r="AM133">
        <v>1</v>
      </c>
      <c r="AN133">
        <v>1</v>
      </c>
      <c r="AO133">
        <v>0</v>
      </c>
      <c r="AP133">
        <v>2</v>
      </c>
      <c r="AQ133">
        <v>85</v>
      </c>
      <c r="AS133">
        <v>2</v>
      </c>
      <c r="AT133">
        <v>85</v>
      </c>
      <c r="AV133">
        <v>1</v>
      </c>
      <c r="AW133">
        <v>0</v>
      </c>
      <c r="AX133">
        <v>0</v>
      </c>
      <c r="AY133">
        <v>0</v>
      </c>
      <c r="AZ133">
        <v>0</v>
      </c>
      <c r="BA133">
        <v>0</v>
      </c>
      <c r="BC133">
        <v>1</v>
      </c>
      <c r="BE133">
        <v>1</v>
      </c>
      <c r="BG133">
        <v>1</v>
      </c>
      <c r="BH133">
        <v>1</v>
      </c>
      <c r="BI133">
        <v>1</v>
      </c>
      <c r="BJ133">
        <v>1</v>
      </c>
      <c r="BK133">
        <v>4</v>
      </c>
      <c r="BL133">
        <v>2</v>
      </c>
      <c r="BM133">
        <v>1</v>
      </c>
      <c r="BN133">
        <v>1</v>
      </c>
      <c r="BO133">
        <v>0</v>
      </c>
      <c r="BP133">
        <v>0</v>
      </c>
      <c r="BQ133">
        <v>1</v>
      </c>
      <c r="BR133">
        <v>0</v>
      </c>
      <c r="BS133">
        <v>0</v>
      </c>
      <c r="BT133">
        <v>0</v>
      </c>
      <c r="BV133">
        <v>1</v>
      </c>
      <c r="BW133">
        <v>0</v>
      </c>
      <c r="BX133">
        <v>1</v>
      </c>
      <c r="BY133">
        <v>0</v>
      </c>
      <c r="BZ133">
        <v>1</v>
      </c>
      <c r="CA133">
        <v>0</v>
      </c>
      <c r="CB133">
        <v>1</v>
      </c>
      <c r="CC133">
        <v>0</v>
      </c>
      <c r="CD133">
        <v>1</v>
      </c>
      <c r="CE133">
        <v>0</v>
      </c>
      <c r="CF133">
        <v>0</v>
      </c>
      <c r="CG133">
        <v>1</v>
      </c>
      <c r="CH133">
        <v>0</v>
      </c>
      <c r="CI133">
        <v>1</v>
      </c>
      <c r="CJ133">
        <v>1</v>
      </c>
      <c r="CK133">
        <v>0</v>
      </c>
      <c r="CL133">
        <v>0</v>
      </c>
      <c r="CN133">
        <v>12</v>
      </c>
      <c r="CO133">
        <v>4</v>
      </c>
      <c r="CQ133">
        <v>4</v>
      </c>
      <c r="CR133">
        <v>3</v>
      </c>
      <c r="EB133">
        <v>0</v>
      </c>
      <c r="EC133">
        <v>0</v>
      </c>
      <c r="ED133">
        <v>1</v>
      </c>
      <c r="EE133">
        <v>0</v>
      </c>
      <c r="EF133">
        <v>0</v>
      </c>
      <c r="EG133">
        <v>0</v>
      </c>
      <c r="EH133">
        <v>0</v>
      </c>
      <c r="EI133">
        <v>0</v>
      </c>
      <c r="EJ133">
        <v>1</v>
      </c>
      <c r="EK133">
        <v>0</v>
      </c>
      <c r="EL133" t="s">
        <v>798</v>
      </c>
      <c r="EM133">
        <v>0</v>
      </c>
      <c r="EN133">
        <v>1</v>
      </c>
      <c r="EO133">
        <v>0</v>
      </c>
      <c r="EP133">
        <v>0</v>
      </c>
      <c r="EQ133">
        <v>0</v>
      </c>
      <c r="ER133">
        <v>0</v>
      </c>
      <c r="ES133">
        <v>0</v>
      </c>
      <c r="ET133">
        <v>0</v>
      </c>
      <c r="EU133">
        <v>0</v>
      </c>
      <c r="EV133">
        <v>0</v>
      </c>
      <c r="EW133">
        <v>0</v>
      </c>
      <c r="EX133">
        <v>1</v>
      </c>
      <c r="EY133">
        <v>0</v>
      </c>
      <c r="FB133" t="s">
        <v>274</v>
      </c>
      <c r="FC133">
        <v>1</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IX133" t="s">
        <v>799</v>
      </c>
      <c r="IY133">
        <v>12</v>
      </c>
      <c r="IZ133">
        <v>1</v>
      </c>
      <c r="JA133">
        <v>1</v>
      </c>
      <c r="JB133">
        <v>0</v>
      </c>
      <c r="JC133">
        <v>1</v>
      </c>
      <c r="JD133">
        <v>0</v>
      </c>
      <c r="JE133">
        <v>0</v>
      </c>
      <c r="JF133">
        <v>0</v>
      </c>
      <c r="JG133">
        <v>0</v>
      </c>
      <c r="JH133">
        <v>0</v>
      </c>
      <c r="JI133">
        <v>0</v>
      </c>
      <c r="JJ133">
        <v>0</v>
      </c>
      <c r="JL133">
        <v>1</v>
      </c>
      <c r="JM133" cm="1">
        <f t="array" ref="JM133">IF(OR(JN133:JQ133 &lt;&gt; ""), 1, 0)</f>
        <v>1</v>
      </c>
      <c r="JN133">
        <v>1</v>
      </c>
      <c r="JO133">
        <v>0</v>
      </c>
      <c r="JP133">
        <v>0</v>
      </c>
      <c r="JQ133">
        <v>0</v>
      </c>
    </row>
    <row r="134" spans="1:278" x14ac:dyDescent="0.35">
      <c r="A134">
        <v>362630</v>
      </c>
      <c r="C134">
        <v>1</v>
      </c>
      <c r="D134" t="s">
        <v>800</v>
      </c>
      <c r="E134" t="str">
        <f>_xlfn.XLOOKUP(I134, [1]SchoolDistrictStudyWODuplicates!$K:$K, [1]SchoolDistrictStudyWODuplicates!$E:$E, "")</f>
        <v>Minot Public Schools</v>
      </c>
      <c r="G134" t="s">
        <v>801</v>
      </c>
      <c r="H134" s="7">
        <v>3813030</v>
      </c>
      <c r="I134" s="7">
        <v>3813030</v>
      </c>
      <c r="J134" s="5" t="e">
        <f>_xlfn.XLOOKUP(I134,#REF!,#REF!,"Not Determined")</f>
        <v>#REF!</v>
      </c>
      <c r="K134" s="5" t="s">
        <v>802</v>
      </c>
      <c r="L134" t="s">
        <v>802</v>
      </c>
      <c r="M134" s="13" t="e">
        <f>_xlfn.XLOOKUP(I134,#REF!,#REF!, "No")</f>
        <v>#REF!</v>
      </c>
      <c r="N134" s="5" t="str">
        <f t="shared" ref="N134:N197" si="33">IF(AZ134 = 1, "Yes", "No")</f>
        <v>No</v>
      </c>
      <c r="O134" s="5" t="str">
        <f t="shared" ref="O134:O197" si="34">IF(OR(BM134&lt;&gt;"",BH134&lt;&gt;"",BJ134&lt;&gt;"",BL134&lt;&gt;""),"Yes","No")</f>
        <v>Yes</v>
      </c>
      <c r="P134" s="5" t="str">
        <f t="shared" ref="P134:P197" si="35">IF(BM134 = 1, "Yes", "No")</f>
        <v>Yes</v>
      </c>
      <c r="Q134" s="5" t="str">
        <f t="shared" ref="Q134:Q197" si="36">IF(OR(BH134 = 1, BJ134 = 1, BL134 = 1), "Yes", "No")</f>
        <v>Yes</v>
      </c>
      <c r="R134" s="5" t="str">
        <f t="shared" ref="R134:R197" si="37">IF(OR(CQ134 = 1, CQ134 = 2, CQ134 = 3, CQ134 = 4, CQ134 = 5), "Yes", "No")</f>
        <v>Yes</v>
      </c>
      <c r="S134" s="5" t="str">
        <f t="shared" ref="S134:S197" si="38">IF(OR(CR134 = 1, CR134 = 2, CR134 = 3, CR134 = 4, CR134 = 5), "Yes", "No")</f>
        <v>Yes</v>
      </c>
      <c r="T134" s="5" t="str">
        <f t="shared" ref="T134:T197" si="39">IF(OR(CQ134 = 3, CQ134 = 4, CQ134 = 5), "Yes", "No")</f>
        <v>Yes</v>
      </c>
      <c r="U134" s="5" t="str">
        <f t="shared" ref="U134:U197" si="40">IF(OR(CR134 = 3, CR134 = 4, CR134 = 5), "Yes", "No")</f>
        <v>Yes</v>
      </c>
      <c r="V134" s="5" t="str" cm="1">
        <f t="array" ref="V134">IF(OR(DB134:DG134 =1), "Yes", "No")</f>
        <v>No</v>
      </c>
      <c r="W134" s="5" t="str">
        <f t="shared" ref="W134:W197" si="41">IF(JL134 =1, "Yes", "No")</f>
        <v>Yes</v>
      </c>
      <c r="X134" s="5" t="str">
        <f t="shared" ref="X134:X197" si="42">IF(DL134 =1, "Yes", "No")</f>
        <v>No</v>
      </c>
      <c r="Y134" s="5" t="str">
        <f t="shared" ref="Y134:Y197" si="43">IF(DN134 = 1, "Yes", "No")</f>
        <v>No</v>
      </c>
      <c r="Z134">
        <v>3</v>
      </c>
      <c r="AB134">
        <v>0</v>
      </c>
      <c r="AC134">
        <v>0</v>
      </c>
      <c r="AD134">
        <v>1</v>
      </c>
      <c r="AE134">
        <v>0</v>
      </c>
      <c r="AF134">
        <v>0</v>
      </c>
      <c r="AG134">
        <v>0</v>
      </c>
      <c r="AH134">
        <v>0</v>
      </c>
      <c r="AI134">
        <v>0</v>
      </c>
      <c r="AJ134">
        <v>0</v>
      </c>
      <c r="AK134">
        <v>1</v>
      </c>
      <c r="AM134">
        <v>1</v>
      </c>
      <c r="AN134">
        <v>1</v>
      </c>
      <c r="AO134">
        <v>1</v>
      </c>
      <c r="AP134">
        <v>4</v>
      </c>
      <c r="AQ134">
        <v>32</v>
      </c>
      <c r="AR134">
        <v>6</v>
      </c>
      <c r="AS134">
        <v>4</v>
      </c>
      <c r="AT134">
        <v>32</v>
      </c>
      <c r="AU134">
        <v>6</v>
      </c>
      <c r="AV134">
        <v>1</v>
      </c>
      <c r="AW134">
        <v>1</v>
      </c>
      <c r="AX134">
        <v>0</v>
      </c>
      <c r="AY134">
        <v>0</v>
      </c>
      <c r="AZ134">
        <v>0</v>
      </c>
      <c r="BA134">
        <v>0</v>
      </c>
      <c r="BC134">
        <v>1</v>
      </c>
      <c r="BE134">
        <v>1</v>
      </c>
      <c r="BG134">
        <v>1</v>
      </c>
      <c r="BH134">
        <v>1</v>
      </c>
      <c r="BI134">
        <v>4</v>
      </c>
      <c r="BJ134">
        <v>1</v>
      </c>
      <c r="BK134">
        <v>4</v>
      </c>
      <c r="BL134">
        <v>1</v>
      </c>
      <c r="BM134">
        <v>1</v>
      </c>
      <c r="BN134">
        <v>2</v>
      </c>
      <c r="BV134">
        <v>0</v>
      </c>
      <c r="BW134">
        <v>0</v>
      </c>
      <c r="BX134">
        <v>1</v>
      </c>
      <c r="BY134">
        <v>1</v>
      </c>
      <c r="BZ134">
        <v>0</v>
      </c>
      <c r="CA134">
        <v>0</v>
      </c>
      <c r="CB134">
        <v>0</v>
      </c>
      <c r="CC134">
        <v>0</v>
      </c>
      <c r="CD134">
        <v>0</v>
      </c>
      <c r="CE134">
        <v>0</v>
      </c>
      <c r="CF134">
        <v>0</v>
      </c>
      <c r="CG134">
        <v>0</v>
      </c>
      <c r="CH134">
        <v>0</v>
      </c>
      <c r="CI134">
        <v>1</v>
      </c>
      <c r="CJ134">
        <v>0</v>
      </c>
      <c r="CK134">
        <v>1</v>
      </c>
      <c r="CL134">
        <v>0</v>
      </c>
      <c r="CN134">
        <v>14</v>
      </c>
      <c r="CO134">
        <v>4</v>
      </c>
      <c r="CQ134">
        <v>5</v>
      </c>
      <c r="CR134">
        <v>5</v>
      </c>
      <c r="EB134">
        <v>1</v>
      </c>
      <c r="EC134">
        <v>0</v>
      </c>
      <c r="ED134">
        <v>1</v>
      </c>
      <c r="EE134">
        <v>0</v>
      </c>
      <c r="EF134">
        <v>1</v>
      </c>
      <c r="EG134">
        <v>0</v>
      </c>
      <c r="EH134">
        <v>0</v>
      </c>
      <c r="EI134">
        <v>0</v>
      </c>
      <c r="EJ134">
        <v>0</v>
      </c>
      <c r="EK134">
        <v>0</v>
      </c>
      <c r="EM134">
        <v>0</v>
      </c>
      <c r="EN134">
        <v>1</v>
      </c>
      <c r="EO134">
        <v>0</v>
      </c>
      <c r="EP134">
        <v>1</v>
      </c>
      <c r="EQ134">
        <v>1</v>
      </c>
      <c r="ER134">
        <v>0</v>
      </c>
      <c r="ES134">
        <v>0</v>
      </c>
      <c r="ET134">
        <v>1</v>
      </c>
      <c r="EU134">
        <v>1</v>
      </c>
      <c r="EV134">
        <v>0</v>
      </c>
      <c r="EW134">
        <v>1</v>
      </c>
      <c r="EX134">
        <v>0</v>
      </c>
      <c r="EY134">
        <v>0</v>
      </c>
      <c r="FB134" t="s">
        <v>803</v>
      </c>
      <c r="FC134">
        <v>1</v>
      </c>
      <c r="FD134">
        <v>1</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IZ134">
        <v>1</v>
      </c>
      <c r="JA134">
        <v>0</v>
      </c>
      <c r="JB134">
        <v>1</v>
      </c>
      <c r="JC134">
        <v>1</v>
      </c>
      <c r="JD134">
        <v>0</v>
      </c>
      <c r="JE134">
        <v>0</v>
      </c>
      <c r="JF134">
        <v>0</v>
      </c>
      <c r="JG134">
        <v>0</v>
      </c>
      <c r="JH134">
        <v>0</v>
      </c>
      <c r="JI134">
        <v>0</v>
      </c>
      <c r="JJ134">
        <v>0</v>
      </c>
      <c r="JL134">
        <v>1</v>
      </c>
      <c r="JM134" cm="1">
        <f t="array" ref="JM134">IF(OR(JN134:JQ134 &lt;&gt; ""), 1, 0)</f>
        <v>1</v>
      </c>
      <c r="JN134">
        <v>1</v>
      </c>
      <c r="JO134">
        <v>0</v>
      </c>
      <c r="JP134">
        <v>0</v>
      </c>
      <c r="JQ134">
        <v>0</v>
      </c>
    </row>
    <row r="135" spans="1:278" x14ac:dyDescent="0.35">
      <c r="A135">
        <v>376621</v>
      </c>
      <c r="C135">
        <v>1</v>
      </c>
      <c r="D135" t="s">
        <v>804</v>
      </c>
      <c r="E135" t="str">
        <f>_xlfn.XLOOKUP(I135, [1]SchoolDistrictStudyWODuplicates!$K:$K, [1]SchoolDistrictStudyWODuplicates!$E:$E, "")</f>
        <v>Turtle Lake Mercer School District</v>
      </c>
      <c r="G135" t="s">
        <v>805</v>
      </c>
      <c r="H135" s="7">
        <v>3818500</v>
      </c>
      <c r="I135" s="7">
        <v>3818500</v>
      </c>
      <c r="J135" s="5" t="e">
        <f>_xlfn.XLOOKUP(I135,#REF!,#REF!,"Not Determined")</f>
        <v>#REF!</v>
      </c>
      <c r="K135" s="5" t="s">
        <v>802</v>
      </c>
      <c r="L135" t="s">
        <v>802</v>
      </c>
      <c r="M135" s="13" t="e">
        <f>_xlfn.XLOOKUP(I135,#REF!,#REF!, "No")</f>
        <v>#REF!</v>
      </c>
      <c r="N135" s="5" t="str">
        <f t="shared" si="33"/>
        <v>No</v>
      </c>
      <c r="O135" s="5" t="str">
        <f t="shared" si="34"/>
        <v>Yes</v>
      </c>
      <c r="P135" s="5" t="str">
        <f t="shared" si="35"/>
        <v>Yes</v>
      </c>
      <c r="Q135" s="5" t="str">
        <f t="shared" si="36"/>
        <v>Yes</v>
      </c>
      <c r="R135" s="5" t="str">
        <f t="shared" si="37"/>
        <v>Yes</v>
      </c>
      <c r="S135" s="5" t="str">
        <f t="shared" si="38"/>
        <v>Yes</v>
      </c>
      <c r="T135" s="5" t="str">
        <f t="shared" si="39"/>
        <v>Yes</v>
      </c>
      <c r="U135" s="5" t="str">
        <f t="shared" si="40"/>
        <v>Yes</v>
      </c>
      <c r="V135" s="5" t="str" cm="1">
        <f t="array" ref="V135">IF(OR(DB135:DG135 =1), "Yes", "No")</f>
        <v>No</v>
      </c>
      <c r="W135" s="5" t="str">
        <f t="shared" si="41"/>
        <v>Yes</v>
      </c>
      <c r="X135" s="5" t="str">
        <f t="shared" si="42"/>
        <v>No</v>
      </c>
      <c r="Y135" s="5" t="str">
        <f t="shared" si="43"/>
        <v>No</v>
      </c>
      <c r="Z135">
        <v>13</v>
      </c>
      <c r="AB135">
        <v>0</v>
      </c>
      <c r="AC135">
        <v>0</v>
      </c>
      <c r="AD135">
        <v>0</v>
      </c>
      <c r="AE135">
        <v>0</v>
      </c>
      <c r="AF135">
        <v>0</v>
      </c>
      <c r="AG135">
        <v>0</v>
      </c>
      <c r="AH135">
        <v>0</v>
      </c>
      <c r="AI135">
        <v>1</v>
      </c>
      <c r="AJ135">
        <v>0</v>
      </c>
      <c r="AK135">
        <v>1</v>
      </c>
      <c r="AM135">
        <v>1</v>
      </c>
      <c r="AN135">
        <v>1</v>
      </c>
      <c r="AO135">
        <v>1</v>
      </c>
      <c r="AP135">
        <v>4</v>
      </c>
      <c r="AQ135">
        <v>9</v>
      </c>
      <c r="AR135">
        <v>0</v>
      </c>
      <c r="AS135">
        <v>4</v>
      </c>
      <c r="AT135">
        <v>9</v>
      </c>
      <c r="AV135">
        <v>1</v>
      </c>
      <c r="AW135">
        <v>1</v>
      </c>
      <c r="AX135">
        <v>0</v>
      </c>
      <c r="AY135">
        <v>0</v>
      </c>
      <c r="AZ135">
        <v>0</v>
      </c>
      <c r="BA135">
        <v>0</v>
      </c>
      <c r="BC135">
        <v>1</v>
      </c>
      <c r="BE135">
        <v>1</v>
      </c>
      <c r="BG135">
        <v>1</v>
      </c>
      <c r="BH135">
        <v>1</v>
      </c>
      <c r="BI135">
        <v>4</v>
      </c>
      <c r="BJ135">
        <v>1</v>
      </c>
      <c r="BK135">
        <v>4</v>
      </c>
      <c r="BL135">
        <v>2</v>
      </c>
      <c r="BM135">
        <v>1</v>
      </c>
      <c r="BN135">
        <v>2</v>
      </c>
      <c r="BV135">
        <v>1</v>
      </c>
      <c r="BW135">
        <v>0</v>
      </c>
      <c r="BX135">
        <v>1</v>
      </c>
      <c r="BY135">
        <v>1</v>
      </c>
      <c r="BZ135">
        <v>1</v>
      </c>
      <c r="CA135">
        <v>0</v>
      </c>
      <c r="CB135">
        <v>0</v>
      </c>
      <c r="CC135">
        <v>0</v>
      </c>
      <c r="CD135">
        <v>1</v>
      </c>
      <c r="CE135">
        <v>0</v>
      </c>
      <c r="CF135">
        <v>0</v>
      </c>
      <c r="CG135">
        <v>0</v>
      </c>
      <c r="CH135">
        <v>0</v>
      </c>
      <c r="CI135">
        <v>1</v>
      </c>
      <c r="CJ135">
        <v>0</v>
      </c>
      <c r="CK135">
        <v>1</v>
      </c>
      <c r="CL135">
        <v>0</v>
      </c>
      <c r="CN135">
        <v>16</v>
      </c>
      <c r="CO135">
        <v>4</v>
      </c>
      <c r="CQ135">
        <v>5</v>
      </c>
      <c r="CR135">
        <v>4</v>
      </c>
      <c r="EB135">
        <v>1</v>
      </c>
      <c r="EC135">
        <v>1</v>
      </c>
      <c r="ED135">
        <v>1</v>
      </c>
      <c r="EE135">
        <v>1</v>
      </c>
      <c r="EF135">
        <v>1</v>
      </c>
      <c r="EG135">
        <v>1</v>
      </c>
      <c r="EH135">
        <v>0</v>
      </c>
      <c r="EI135">
        <v>1</v>
      </c>
      <c r="EJ135">
        <v>0</v>
      </c>
      <c r="EK135">
        <v>0</v>
      </c>
      <c r="EM135">
        <v>0</v>
      </c>
      <c r="EN135">
        <v>1</v>
      </c>
      <c r="EO135">
        <v>1</v>
      </c>
      <c r="EP135">
        <v>0</v>
      </c>
      <c r="EQ135">
        <v>1</v>
      </c>
      <c r="ER135">
        <v>0</v>
      </c>
      <c r="ES135">
        <v>0</v>
      </c>
      <c r="ET135">
        <v>1</v>
      </c>
      <c r="EU135">
        <v>0</v>
      </c>
      <c r="EV135">
        <v>0</v>
      </c>
      <c r="EW135">
        <v>0</v>
      </c>
      <c r="EX135">
        <v>0</v>
      </c>
      <c r="EY135">
        <v>0</v>
      </c>
      <c r="FB135" t="s">
        <v>274</v>
      </c>
      <c r="FC135">
        <v>1</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t="s">
        <v>300</v>
      </c>
      <c r="FZ135">
        <v>1</v>
      </c>
      <c r="GA135">
        <v>0</v>
      </c>
      <c r="GB135">
        <v>0</v>
      </c>
      <c r="GC135">
        <v>0</v>
      </c>
      <c r="GD135">
        <v>0</v>
      </c>
      <c r="GE135">
        <v>0</v>
      </c>
      <c r="GF135">
        <v>0</v>
      </c>
      <c r="GG135">
        <v>0</v>
      </c>
      <c r="GH135">
        <v>0</v>
      </c>
      <c r="GI135">
        <v>0</v>
      </c>
      <c r="GJ135">
        <v>0</v>
      </c>
      <c r="GK135">
        <v>0</v>
      </c>
      <c r="GL135">
        <v>0</v>
      </c>
      <c r="GM135">
        <v>0</v>
      </c>
      <c r="GN135">
        <v>0</v>
      </c>
      <c r="GO135">
        <v>0</v>
      </c>
      <c r="GP135">
        <v>0</v>
      </c>
      <c r="GQ135">
        <v>0</v>
      </c>
      <c r="GR135">
        <v>0</v>
      </c>
      <c r="IZ135">
        <v>1</v>
      </c>
      <c r="JA135">
        <v>0</v>
      </c>
      <c r="JB135">
        <v>1</v>
      </c>
      <c r="JC135">
        <v>1</v>
      </c>
      <c r="JD135">
        <v>0</v>
      </c>
      <c r="JE135">
        <v>0</v>
      </c>
      <c r="JF135">
        <v>0</v>
      </c>
      <c r="JG135">
        <v>0</v>
      </c>
      <c r="JH135">
        <v>0</v>
      </c>
      <c r="JI135">
        <v>0</v>
      </c>
      <c r="JJ135">
        <v>0</v>
      </c>
      <c r="JL135">
        <v>1</v>
      </c>
      <c r="JM135" cm="1">
        <f t="array" ref="JM135">IF(OR(JN135:JQ135 &lt;&gt; ""), 1, 0)</f>
        <v>1</v>
      </c>
      <c r="JN135">
        <v>1</v>
      </c>
      <c r="JO135">
        <v>0</v>
      </c>
      <c r="JP135">
        <v>0</v>
      </c>
      <c r="JQ135">
        <v>0</v>
      </c>
    </row>
    <row r="136" spans="1:278" x14ac:dyDescent="0.35">
      <c r="A136">
        <v>397145</v>
      </c>
      <c r="C136">
        <v>1</v>
      </c>
      <c r="D136" t="s">
        <v>806</v>
      </c>
      <c r="E136" t="str">
        <f>_xlfn.XLOOKUP(I136, [1]SchoolDistrictStudyWODuplicates!$K:$K, [1]SchoolDistrictStudyWODuplicates!$E:$E, "")</f>
        <v/>
      </c>
      <c r="G136" t="s">
        <v>807</v>
      </c>
      <c r="H136" s="7">
        <v>3104140</v>
      </c>
      <c r="I136" s="7">
        <v>3104140</v>
      </c>
      <c r="J136" s="5" t="e">
        <f>_xlfn.XLOOKUP(I136,#REF!,#REF!,"Not Determined")</f>
        <v>#REF!</v>
      </c>
      <c r="K136" s="5" t="s">
        <v>808</v>
      </c>
      <c r="L136" t="s">
        <v>808</v>
      </c>
      <c r="M136" s="13" t="e">
        <f>_xlfn.XLOOKUP(I136,#REF!,#REF!, "No")</f>
        <v>#REF!</v>
      </c>
      <c r="N136" s="5" t="str">
        <f t="shared" si="33"/>
        <v>No</v>
      </c>
      <c r="O136" s="5" t="str">
        <f t="shared" si="34"/>
        <v>Yes</v>
      </c>
      <c r="P136" s="5" t="str">
        <f t="shared" si="35"/>
        <v>Yes</v>
      </c>
      <c r="Q136" s="5" t="str">
        <f t="shared" si="36"/>
        <v>Yes</v>
      </c>
      <c r="R136" s="5" t="str">
        <f t="shared" si="37"/>
        <v>Yes</v>
      </c>
      <c r="S136" s="5" t="str">
        <f t="shared" si="38"/>
        <v>Yes</v>
      </c>
      <c r="T136" s="5" t="str">
        <f t="shared" si="39"/>
        <v>No</v>
      </c>
      <c r="U136" s="5" t="str">
        <f t="shared" si="40"/>
        <v>Yes</v>
      </c>
      <c r="V136" s="5" t="str" cm="1">
        <f t="array" ref="V136">IF(OR(DB136:DG136 =1), "Yes", "No")</f>
        <v>No</v>
      </c>
      <c r="W136" s="5" t="str">
        <f t="shared" si="41"/>
        <v>No</v>
      </c>
      <c r="X136" s="5" t="str">
        <f t="shared" si="42"/>
        <v>No</v>
      </c>
      <c r="Y136" s="5" t="str">
        <f t="shared" si="43"/>
        <v>No</v>
      </c>
      <c r="Z136">
        <v>3</v>
      </c>
      <c r="AB136">
        <v>1</v>
      </c>
      <c r="AC136">
        <v>0</v>
      </c>
      <c r="AD136">
        <v>1</v>
      </c>
      <c r="AE136">
        <v>0</v>
      </c>
      <c r="AF136">
        <v>0</v>
      </c>
      <c r="AG136">
        <v>0</v>
      </c>
      <c r="AH136">
        <v>0</v>
      </c>
      <c r="AI136">
        <v>1</v>
      </c>
      <c r="AJ136">
        <v>0</v>
      </c>
      <c r="AK136">
        <v>1</v>
      </c>
      <c r="AM136">
        <v>1</v>
      </c>
      <c r="AN136">
        <v>0</v>
      </c>
      <c r="AO136">
        <v>1</v>
      </c>
      <c r="AP136">
        <v>5</v>
      </c>
      <c r="AR136">
        <v>1</v>
      </c>
      <c r="AS136">
        <v>5</v>
      </c>
      <c r="AU136">
        <v>1</v>
      </c>
      <c r="AV136">
        <v>1</v>
      </c>
      <c r="AW136">
        <v>0</v>
      </c>
      <c r="AX136">
        <v>0</v>
      </c>
      <c r="AY136">
        <v>0</v>
      </c>
      <c r="AZ136">
        <v>0</v>
      </c>
      <c r="BA136">
        <v>0</v>
      </c>
      <c r="BC136">
        <v>1</v>
      </c>
      <c r="BE136">
        <v>1</v>
      </c>
      <c r="BG136">
        <v>1</v>
      </c>
      <c r="BH136">
        <v>1</v>
      </c>
      <c r="BI136">
        <v>2</v>
      </c>
      <c r="BJ136">
        <v>2</v>
      </c>
      <c r="BL136">
        <v>2</v>
      </c>
      <c r="BM136">
        <v>1</v>
      </c>
      <c r="BN136">
        <v>2</v>
      </c>
      <c r="BV136">
        <v>1</v>
      </c>
      <c r="BW136">
        <v>0</v>
      </c>
      <c r="BX136">
        <v>1</v>
      </c>
      <c r="BY136">
        <v>1</v>
      </c>
      <c r="BZ136">
        <v>0</v>
      </c>
      <c r="CA136">
        <v>0</v>
      </c>
      <c r="CB136">
        <v>0</v>
      </c>
      <c r="CC136">
        <v>0</v>
      </c>
      <c r="CD136">
        <v>1</v>
      </c>
      <c r="CE136">
        <v>0</v>
      </c>
      <c r="CF136">
        <v>1</v>
      </c>
      <c r="CG136">
        <v>1</v>
      </c>
      <c r="CH136">
        <v>1</v>
      </c>
      <c r="CI136">
        <v>1</v>
      </c>
      <c r="CJ136">
        <v>0</v>
      </c>
      <c r="CK136">
        <v>0</v>
      </c>
      <c r="CL136">
        <v>0</v>
      </c>
      <c r="CN136">
        <v>4</v>
      </c>
      <c r="CO136">
        <v>4</v>
      </c>
      <c r="CQ136">
        <v>2</v>
      </c>
      <c r="CR136">
        <v>3</v>
      </c>
      <c r="EB136">
        <v>0</v>
      </c>
      <c r="EC136">
        <v>1</v>
      </c>
      <c r="ED136">
        <v>1</v>
      </c>
      <c r="EE136">
        <v>0</v>
      </c>
      <c r="EF136">
        <v>0</v>
      </c>
      <c r="EG136">
        <v>1</v>
      </c>
      <c r="EH136">
        <v>0</v>
      </c>
      <c r="EI136">
        <v>0</v>
      </c>
      <c r="EJ136">
        <v>0</v>
      </c>
      <c r="EK136">
        <v>0</v>
      </c>
      <c r="EM136">
        <v>0</v>
      </c>
      <c r="EN136">
        <v>1</v>
      </c>
      <c r="EO136">
        <v>0</v>
      </c>
      <c r="EP136">
        <v>1</v>
      </c>
      <c r="EQ136">
        <v>0</v>
      </c>
      <c r="ER136">
        <v>0</v>
      </c>
      <c r="ES136">
        <v>0</v>
      </c>
      <c r="ET136">
        <v>1</v>
      </c>
      <c r="EU136">
        <v>0</v>
      </c>
      <c r="EV136">
        <v>0</v>
      </c>
      <c r="EW136">
        <v>0</v>
      </c>
      <c r="EX136">
        <v>0</v>
      </c>
      <c r="EY136">
        <v>0</v>
      </c>
      <c r="FB136" t="s">
        <v>809</v>
      </c>
      <c r="FC136">
        <v>0</v>
      </c>
      <c r="FD136">
        <v>0</v>
      </c>
      <c r="FE136">
        <v>0</v>
      </c>
      <c r="FF136">
        <v>0</v>
      </c>
      <c r="FG136">
        <v>0</v>
      </c>
      <c r="FH136">
        <v>0</v>
      </c>
      <c r="FI136">
        <v>0</v>
      </c>
      <c r="FJ136">
        <v>0</v>
      </c>
      <c r="FK136">
        <v>0</v>
      </c>
      <c r="FL136">
        <v>0</v>
      </c>
      <c r="FM136">
        <v>0</v>
      </c>
      <c r="FN136">
        <v>0</v>
      </c>
      <c r="FO136">
        <v>0</v>
      </c>
      <c r="FP136">
        <v>0</v>
      </c>
      <c r="FQ136">
        <v>0</v>
      </c>
      <c r="FR136">
        <v>1</v>
      </c>
      <c r="FS136">
        <v>0</v>
      </c>
      <c r="FT136">
        <v>0</v>
      </c>
      <c r="FU136">
        <v>0</v>
      </c>
      <c r="FV136">
        <v>0</v>
      </c>
      <c r="FW136">
        <v>0</v>
      </c>
      <c r="FX136">
        <v>0</v>
      </c>
      <c r="IZ136">
        <v>1</v>
      </c>
      <c r="JA136">
        <v>0</v>
      </c>
      <c r="JB136">
        <v>0</v>
      </c>
      <c r="JC136">
        <v>1</v>
      </c>
      <c r="JD136">
        <v>0</v>
      </c>
      <c r="JE136">
        <v>0</v>
      </c>
      <c r="JF136">
        <v>0</v>
      </c>
      <c r="JG136">
        <v>1</v>
      </c>
      <c r="JH136">
        <v>0</v>
      </c>
      <c r="JI136">
        <v>0</v>
      </c>
      <c r="JJ136">
        <v>0</v>
      </c>
      <c r="JL136">
        <v>2</v>
      </c>
      <c r="JM136" cm="1">
        <f t="array" ref="JM136">IF(OR(JN136:JQ136 &lt;&gt; ""), 1, 0)</f>
        <v>0</v>
      </c>
    </row>
    <row r="137" spans="1:278" x14ac:dyDescent="0.35">
      <c r="A137">
        <v>405512</v>
      </c>
      <c r="C137">
        <v>1</v>
      </c>
      <c r="D137" t="s">
        <v>810</v>
      </c>
      <c r="E137" t="str">
        <f>_xlfn.XLOOKUP(I137, [1]SchoolDistrictStudyWODuplicates!$K:$K, [1]SchoolDistrictStudyWODuplicates!$E:$E, "")</f>
        <v/>
      </c>
      <c r="G137" t="s">
        <v>811</v>
      </c>
      <c r="H137" s="7">
        <v>3100112</v>
      </c>
      <c r="I137" s="7">
        <v>3100112</v>
      </c>
      <c r="J137" s="5" t="e">
        <f>_xlfn.XLOOKUP(I137,#REF!,#REF!,"Not Determined")</f>
        <v>#REF!</v>
      </c>
      <c r="K137" s="5" t="s">
        <v>808</v>
      </c>
      <c r="L137" t="s">
        <v>812</v>
      </c>
      <c r="M137" s="13" t="e">
        <f>_xlfn.XLOOKUP(I137,#REF!,#REF!, "No")</f>
        <v>#REF!</v>
      </c>
      <c r="N137" s="5" t="str">
        <f t="shared" si="33"/>
        <v>No</v>
      </c>
      <c r="O137" s="5" t="str">
        <f t="shared" si="34"/>
        <v>Yes</v>
      </c>
      <c r="P137" s="5" t="str">
        <f t="shared" si="35"/>
        <v>Yes</v>
      </c>
      <c r="Q137" s="5" t="str">
        <f t="shared" si="36"/>
        <v>Yes</v>
      </c>
      <c r="R137" s="5" t="str">
        <f t="shared" si="37"/>
        <v>Yes</v>
      </c>
      <c r="S137" s="5" t="str">
        <f t="shared" si="38"/>
        <v>Yes</v>
      </c>
      <c r="T137" s="5" t="str">
        <f t="shared" si="39"/>
        <v>No</v>
      </c>
      <c r="U137" s="5" t="str">
        <f t="shared" si="40"/>
        <v>Yes</v>
      </c>
      <c r="V137" s="5" t="str" cm="1">
        <f t="array" ref="V137">IF(OR(DB137:DG137 =1), "Yes", "No")</f>
        <v>No</v>
      </c>
      <c r="W137" s="5" t="str">
        <f t="shared" si="41"/>
        <v>No</v>
      </c>
      <c r="X137" s="5" t="str">
        <f t="shared" si="42"/>
        <v>No</v>
      </c>
      <c r="Y137" s="5" t="str">
        <f t="shared" si="43"/>
        <v>No</v>
      </c>
      <c r="Z137">
        <v>13</v>
      </c>
      <c r="AB137">
        <v>0</v>
      </c>
      <c r="AC137">
        <v>0</v>
      </c>
      <c r="AD137">
        <v>0</v>
      </c>
      <c r="AE137">
        <v>0</v>
      </c>
      <c r="AF137">
        <v>0</v>
      </c>
      <c r="AG137">
        <v>0</v>
      </c>
      <c r="AH137">
        <v>0</v>
      </c>
      <c r="AI137">
        <v>1</v>
      </c>
      <c r="AJ137">
        <v>0</v>
      </c>
      <c r="AK137">
        <v>1</v>
      </c>
      <c r="AM137">
        <v>0</v>
      </c>
      <c r="AN137">
        <v>1</v>
      </c>
      <c r="AO137">
        <v>0</v>
      </c>
      <c r="AQ137">
        <v>3</v>
      </c>
      <c r="AT137">
        <v>3</v>
      </c>
      <c r="AV137">
        <v>1</v>
      </c>
      <c r="AW137">
        <v>0</v>
      </c>
      <c r="AX137">
        <v>0</v>
      </c>
      <c r="AY137">
        <v>0</v>
      </c>
      <c r="AZ137">
        <v>0</v>
      </c>
      <c r="BA137">
        <v>0</v>
      </c>
      <c r="BC137">
        <v>1</v>
      </c>
      <c r="BE137">
        <v>1</v>
      </c>
      <c r="BG137">
        <v>3</v>
      </c>
      <c r="BJ137">
        <v>2</v>
      </c>
      <c r="BL137">
        <v>1</v>
      </c>
      <c r="BM137">
        <v>1</v>
      </c>
      <c r="BN137">
        <v>1</v>
      </c>
      <c r="BO137">
        <v>1</v>
      </c>
      <c r="BP137">
        <v>0</v>
      </c>
      <c r="BQ137">
        <v>0</v>
      </c>
      <c r="BR137">
        <v>0</v>
      </c>
      <c r="BS137">
        <v>0</v>
      </c>
      <c r="BT137">
        <v>0</v>
      </c>
      <c r="BV137">
        <v>0</v>
      </c>
      <c r="BW137">
        <v>0</v>
      </c>
      <c r="BX137">
        <v>0</v>
      </c>
      <c r="BY137">
        <v>0</v>
      </c>
      <c r="BZ137">
        <v>0</v>
      </c>
      <c r="CA137">
        <v>1</v>
      </c>
      <c r="CB137">
        <v>0</v>
      </c>
      <c r="CC137">
        <v>0</v>
      </c>
      <c r="CD137">
        <v>0</v>
      </c>
      <c r="CE137">
        <v>0</v>
      </c>
      <c r="CF137">
        <v>0</v>
      </c>
      <c r="CG137">
        <v>1</v>
      </c>
      <c r="CH137">
        <v>0</v>
      </c>
      <c r="CI137">
        <v>1</v>
      </c>
      <c r="CJ137">
        <v>0</v>
      </c>
      <c r="CK137">
        <v>0</v>
      </c>
      <c r="CL137">
        <v>0</v>
      </c>
      <c r="CN137">
        <v>8</v>
      </c>
      <c r="CO137">
        <v>4</v>
      </c>
      <c r="CQ137">
        <v>1</v>
      </c>
      <c r="CR137">
        <v>4</v>
      </c>
      <c r="EB137">
        <v>0</v>
      </c>
      <c r="EC137">
        <v>1</v>
      </c>
      <c r="ED137">
        <v>0</v>
      </c>
      <c r="EE137">
        <v>0</v>
      </c>
      <c r="EF137">
        <v>0</v>
      </c>
      <c r="EG137">
        <v>0</v>
      </c>
      <c r="EH137">
        <v>0</v>
      </c>
      <c r="EI137">
        <v>0</v>
      </c>
      <c r="EJ137">
        <v>0</v>
      </c>
      <c r="EK137">
        <v>0</v>
      </c>
      <c r="JM137" cm="1">
        <f t="array" ref="JM137">IF(OR(JN137:JQ137 &lt;&gt; ""), 1, 0)</f>
        <v>0</v>
      </c>
    </row>
    <row r="138" spans="1:278" x14ac:dyDescent="0.35">
      <c r="A138">
        <v>405200</v>
      </c>
      <c r="C138">
        <v>1</v>
      </c>
      <c r="D138" t="s">
        <v>813</v>
      </c>
      <c r="E138" t="str">
        <f>_xlfn.XLOOKUP(I138, [1]SchoolDistrictStudyWODuplicates!$K:$K, [1]SchoolDistrictStudyWODuplicates!$E:$E, "")</f>
        <v/>
      </c>
      <c r="G138" t="s">
        <v>814</v>
      </c>
      <c r="H138" s="5" t="e">
        <f>_xlfn.XLOOKUP(A138,#REF!,#REF!, "No")</f>
        <v>#REF!</v>
      </c>
      <c r="I138" s="7" t="s">
        <v>1353</v>
      </c>
      <c r="J138" s="5" t="b">
        <v>0</v>
      </c>
      <c r="K138" s="5" t="s">
        <v>808</v>
      </c>
      <c r="L138" t="s">
        <v>815</v>
      </c>
      <c r="M138" s="13" t="s">
        <v>1358</v>
      </c>
      <c r="N138" s="5" t="str">
        <f t="shared" si="33"/>
        <v>No</v>
      </c>
      <c r="O138" s="5" t="str">
        <f t="shared" si="34"/>
        <v>Yes</v>
      </c>
      <c r="P138" s="5" t="str">
        <f t="shared" si="35"/>
        <v>Yes</v>
      </c>
      <c r="Q138" s="5" t="str">
        <f t="shared" si="36"/>
        <v>Yes</v>
      </c>
      <c r="R138" s="5" t="str">
        <f t="shared" si="37"/>
        <v>Yes</v>
      </c>
      <c r="S138" s="5" t="str">
        <f t="shared" si="38"/>
        <v>Yes</v>
      </c>
      <c r="T138" s="5" t="str">
        <f t="shared" si="39"/>
        <v>Yes</v>
      </c>
      <c r="U138" s="5" t="str">
        <f t="shared" si="40"/>
        <v>Yes</v>
      </c>
      <c r="V138" s="5" t="str" cm="1">
        <f t="array" ref="V138">IF(OR(DB138:DG138 =1), "Yes", "No")</f>
        <v>No</v>
      </c>
      <c r="W138" s="5" t="str">
        <f t="shared" si="41"/>
        <v>No</v>
      </c>
      <c r="X138" s="5" t="str">
        <f t="shared" si="42"/>
        <v>No</v>
      </c>
      <c r="Y138" s="5" t="str">
        <f t="shared" si="43"/>
        <v>No</v>
      </c>
      <c r="Z138">
        <v>3</v>
      </c>
      <c r="AB138">
        <v>0</v>
      </c>
      <c r="AC138">
        <v>0</v>
      </c>
      <c r="AD138">
        <v>0</v>
      </c>
      <c r="AE138">
        <v>0</v>
      </c>
      <c r="AF138">
        <v>0</v>
      </c>
      <c r="AG138">
        <v>1</v>
      </c>
      <c r="AH138">
        <v>0</v>
      </c>
      <c r="AI138">
        <v>0</v>
      </c>
      <c r="AJ138">
        <v>0</v>
      </c>
      <c r="AK138">
        <v>3</v>
      </c>
      <c r="AL138" t="s">
        <v>816</v>
      </c>
      <c r="AM138">
        <v>1</v>
      </c>
      <c r="AN138">
        <v>0</v>
      </c>
      <c r="AO138">
        <v>0</v>
      </c>
      <c r="AP138">
        <v>11</v>
      </c>
      <c r="AS138">
        <v>11</v>
      </c>
      <c r="AV138">
        <v>0</v>
      </c>
      <c r="AW138">
        <v>1</v>
      </c>
      <c r="AX138">
        <v>0</v>
      </c>
      <c r="AY138">
        <v>0</v>
      </c>
      <c r="AZ138">
        <v>0</v>
      </c>
      <c r="BA138">
        <v>0</v>
      </c>
      <c r="BC138">
        <v>2</v>
      </c>
      <c r="BE138">
        <v>1</v>
      </c>
      <c r="BG138">
        <v>1</v>
      </c>
      <c r="BH138">
        <v>1</v>
      </c>
      <c r="BI138">
        <v>4</v>
      </c>
      <c r="BJ138">
        <v>2</v>
      </c>
      <c r="BL138">
        <v>2</v>
      </c>
      <c r="BM138">
        <v>1</v>
      </c>
      <c r="BN138">
        <v>2</v>
      </c>
      <c r="BV138">
        <v>0</v>
      </c>
      <c r="BW138">
        <v>0</v>
      </c>
      <c r="BX138">
        <v>0</v>
      </c>
      <c r="BY138">
        <v>0</v>
      </c>
      <c r="BZ138">
        <v>0</v>
      </c>
      <c r="CA138">
        <v>0</v>
      </c>
      <c r="CB138">
        <v>0</v>
      </c>
      <c r="CC138">
        <v>0</v>
      </c>
      <c r="CD138">
        <v>0</v>
      </c>
      <c r="CE138">
        <v>0</v>
      </c>
      <c r="CF138">
        <v>0</v>
      </c>
      <c r="CG138">
        <v>0</v>
      </c>
      <c r="CH138">
        <v>0</v>
      </c>
      <c r="CI138">
        <v>0</v>
      </c>
      <c r="CJ138">
        <v>0</v>
      </c>
      <c r="CK138">
        <v>1</v>
      </c>
      <c r="CL138">
        <v>0</v>
      </c>
      <c r="CN138">
        <v>16</v>
      </c>
      <c r="CO138">
        <v>4</v>
      </c>
      <c r="CQ138">
        <v>5</v>
      </c>
      <c r="CR138">
        <v>5</v>
      </c>
      <c r="EB138">
        <v>0</v>
      </c>
      <c r="EC138">
        <v>1</v>
      </c>
      <c r="ED138">
        <v>0</v>
      </c>
      <c r="EE138">
        <v>0</v>
      </c>
      <c r="EF138">
        <v>0</v>
      </c>
      <c r="EG138">
        <v>0</v>
      </c>
      <c r="EH138">
        <v>0</v>
      </c>
      <c r="EI138">
        <v>1</v>
      </c>
      <c r="EJ138">
        <v>0</v>
      </c>
      <c r="EK138">
        <v>0</v>
      </c>
      <c r="EM138">
        <v>0</v>
      </c>
      <c r="EN138">
        <v>1</v>
      </c>
      <c r="EO138">
        <v>0</v>
      </c>
      <c r="EP138">
        <v>0</v>
      </c>
      <c r="EQ138">
        <v>0</v>
      </c>
      <c r="ER138">
        <v>0</v>
      </c>
      <c r="ES138">
        <v>0</v>
      </c>
      <c r="ET138">
        <v>0</v>
      </c>
      <c r="EU138">
        <v>1</v>
      </c>
      <c r="EV138">
        <v>0</v>
      </c>
      <c r="EW138">
        <v>1</v>
      </c>
      <c r="EX138">
        <v>0</v>
      </c>
      <c r="EY138">
        <v>0</v>
      </c>
      <c r="FB138" t="s">
        <v>274</v>
      </c>
      <c r="FC138">
        <v>1</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IZ138">
        <v>1</v>
      </c>
      <c r="JA138">
        <v>0</v>
      </c>
      <c r="JB138">
        <v>0</v>
      </c>
      <c r="JC138">
        <v>0</v>
      </c>
      <c r="JD138">
        <v>1</v>
      </c>
      <c r="JE138">
        <v>0</v>
      </c>
      <c r="JF138">
        <v>0</v>
      </c>
      <c r="JG138">
        <v>1</v>
      </c>
      <c r="JH138">
        <v>0</v>
      </c>
      <c r="JI138">
        <v>0</v>
      </c>
      <c r="JJ138">
        <v>0</v>
      </c>
      <c r="JL138">
        <v>2</v>
      </c>
      <c r="JM138" cm="1">
        <f t="array" ref="JM138">IF(OR(JN138:JQ138 &lt;&gt; ""), 1, 0)</f>
        <v>0</v>
      </c>
    </row>
    <row r="139" spans="1:278" x14ac:dyDescent="0.35">
      <c r="A139">
        <v>405199</v>
      </c>
      <c r="C139">
        <v>1</v>
      </c>
      <c r="D139" t="s">
        <v>817</v>
      </c>
      <c r="E139" t="str">
        <f>_xlfn.XLOOKUP(I139, [1]SchoolDistrictStudyWODuplicates!$K:$K, [1]SchoolDistrictStudyWODuplicates!$E:$E, "")</f>
        <v/>
      </c>
      <c r="G139" t="s">
        <v>818</v>
      </c>
      <c r="H139" s="7">
        <v>3100002</v>
      </c>
      <c r="I139" s="7">
        <v>3100002</v>
      </c>
      <c r="J139" s="5" t="e">
        <f>_xlfn.XLOOKUP(I139,#REF!,#REF!,"Not Determined")</f>
        <v>#REF!</v>
      </c>
      <c r="K139" s="5" t="s">
        <v>808</v>
      </c>
      <c r="L139" t="s">
        <v>815</v>
      </c>
      <c r="M139" s="13" t="e">
        <f>_xlfn.XLOOKUP(I139,#REF!,#REF!, "No")</f>
        <v>#REF!</v>
      </c>
      <c r="N139" s="5" t="str">
        <f t="shared" si="33"/>
        <v>No</v>
      </c>
      <c r="O139" s="5" t="str">
        <f t="shared" si="34"/>
        <v>Yes</v>
      </c>
      <c r="P139" s="5" t="str">
        <f t="shared" si="35"/>
        <v>Yes</v>
      </c>
      <c r="Q139" s="5" t="str">
        <f t="shared" si="36"/>
        <v>Yes</v>
      </c>
      <c r="R139" s="5" t="str">
        <f t="shared" si="37"/>
        <v>Yes</v>
      </c>
      <c r="S139" s="5" t="str">
        <f t="shared" si="38"/>
        <v>Yes</v>
      </c>
      <c r="T139" s="5" t="str">
        <f t="shared" si="39"/>
        <v>Yes</v>
      </c>
      <c r="U139" s="5" t="str">
        <f t="shared" si="40"/>
        <v>Yes</v>
      </c>
      <c r="V139" s="5" t="str" cm="1">
        <f t="array" ref="V139">IF(OR(DB139:DG139 =1), "Yes", "No")</f>
        <v>No</v>
      </c>
      <c r="W139" s="5" t="str">
        <f t="shared" si="41"/>
        <v>No</v>
      </c>
      <c r="X139" s="5" t="str">
        <f t="shared" si="42"/>
        <v>No</v>
      </c>
      <c r="Y139" s="5" t="str">
        <f t="shared" si="43"/>
        <v>No</v>
      </c>
      <c r="Z139">
        <v>3</v>
      </c>
      <c r="AB139">
        <v>1</v>
      </c>
      <c r="AC139">
        <v>0</v>
      </c>
      <c r="AD139">
        <v>1</v>
      </c>
      <c r="AE139">
        <v>0</v>
      </c>
      <c r="AF139">
        <v>0</v>
      </c>
      <c r="AG139">
        <v>0</v>
      </c>
      <c r="AH139">
        <v>0</v>
      </c>
      <c r="AI139">
        <v>1</v>
      </c>
      <c r="AJ139">
        <v>0</v>
      </c>
      <c r="AK139">
        <v>1</v>
      </c>
      <c r="AM139">
        <v>1</v>
      </c>
      <c r="AN139">
        <v>1</v>
      </c>
      <c r="AO139">
        <v>0</v>
      </c>
      <c r="AP139">
        <v>4</v>
      </c>
      <c r="AQ139">
        <v>7</v>
      </c>
      <c r="AS139">
        <v>4</v>
      </c>
      <c r="AT139">
        <v>7</v>
      </c>
      <c r="AV139">
        <v>1</v>
      </c>
      <c r="AW139">
        <v>0</v>
      </c>
      <c r="AX139">
        <v>0</v>
      </c>
      <c r="AY139">
        <v>0</v>
      </c>
      <c r="AZ139">
        <v>0</v>
      </c>
      <c r="BA139">
        <v>0</v>
      </c>
      <c r="BC139">
        <v>2</v>
      </c>
      <c r="BE139">
        <v>1</v>
      </c>
      <c r="BG139">
        <v>1</v>
      </c>
      <c r="BH139">
        <v>1</v>
      </c>
      <c r="BI139">
        <v>4</v>
      </c>
      <c r="BJ139">
        <v>1</v>
      </c>
      <c r="BK139">
        <v>6</v>
      </c>
      <c r="BL139">
        <v>1</v>
      </c>
      <c r="BM139">
        <v>1</v>
      </c>
      <c r="BN139">
        <v>2</v>
      </c>
      <c r="BV139">
        <v>0</v>
      </c>
      <c r="BW139">
        <v>0</v>
      </c>
      <c r="BX139">
        <v>0</v>
      </c>
      <c r="BY139">
        <v>0</v>
      </c>
      <c r="BZ139">
        <v>0</v>
      </c>
      <c r="CA139">
        <v>0</v>
      </c>
      <c r="CB139">
        <v>0</v>
      </c>
      <c r="CC139">
        <v>0</v>
      </c>
      <c r="CD139">
        <v>0</v>
      </c>
      <c r="CE139">
        <v>0</v>
      </c>
      <c r="CF139">
        <v>0</v>
      </c>
      <c r="CG139">
        <v>0</v>
      </c>
      <c r="CH139">
        <v>0</v>
      </c>
      <c r="CI139">
        <v>0</v>
      </c>
      <c r="CJ139">
        <v>0</v>
      </c>
      <c r="CK139">
        <v>1</v>
      </c>
      <c r="CL139">
        <v>0</v>
      </c>
      <c r="CN139">
        <v>16</v>
      </c>
      <c r="CO139">
        <v>4</v>
      </c>
      <c r="CQ139">
        <v>4</v>
      </c>
      <c r="CR139">
        <v>4</v>
      </c>
      <c r="EB139">
        <v>1</v>
      </c>
      <c r="EC139">
        <v>1</v>
      </c>
      <c r="ED139">
        <v>0</v>
      </c>
      <c r="EE139">
        <v>1</v>
      </c>
      <c r="EF139">
        <v>0</v>
      </c>
      <c r="EG139">
        <v>0</v>
      </c>
      <c r="EH139">
        <v>0</v>
      </c>
      <c r="EI139">
        <v>0</v>
      </c>
      <c r="EJ139">
        <v>0</v>
      </c>
      <c r="EK139">
        <v>0</v>
      </c>
      <c r="EM139">
        <v>0</v>
      </c>
      <c r="EN139">
        <v>0</v>
      </c>
      <c r="EO139">
        <v>0</v>
      </c>
      <c r="EP139">
        <v>0</v>
      </c>
      <c r="EQ139">
        <v>0</v>
      </c>
      <c r="ER139">
        <v>0</v>
      </c>
      <c r="ES139">
        <v>0</v>
      </c>
      <c r="ET139">
        <v>0</v>
      </c>
      <c r="EU139">
        <v>0</v>
      </c>
      <c r="EV139">
        <v>0</v>
      </c>
      <c r="EW139">
        <v>1</v>
      </c>
      <c r="EX139">
        <v>0</v>
      </c>
      <c r="EY139">
        <v>0</v>
      </c>
      <c r="IZ139">
        <v>0</v>
      </c>
      <c r="JA139">
        <v>0</v>
      </c>
      <c r="JB139">
        <v>0</v>
      </c>
      <c r="JC139">
        <v>0</v>
      </c>
      <c r="JD139">
        <v>0</v>
      </c>
      <c r="JE139">
        <v>0</v>
      </c>
      <c r="JF139">
        <v>0</v>
      </c>
      <c r="JG139">
        <v>0</v>
      </c>
      <c r="JH139">
        <v>0</v>
      </c>
      <c r="JI139">
        <v>0</v>
      </c>
      <c r="JJ139">
        <v>1</v>
      </c>
      <c r="JL139">
        <v>2</v>
      </c>
      <c r="JM139" cm="1">
        <f t="array" ref="JM139">IF(OR(JN139:JQ139 &lt;&gt; ""), 1, 0)</f>
        <v>0</v>
      </c>
    </row>
    <row r="140" spans="1:278" x14ac:dyDescent="0.35">
      <c r="A140">
        <v>373019</v>
      </c>
      <c r="C140">
        <v>1</v>
      </c>
      <c r="D140" t="s">
        <v>819</v>
      </c>
      <c r="E140" t="str">
        <f>_xlfn.XLOOKUP(I140, [1]SchoolDistrictStudyWODuplicates!$K:$K, [1]SchoolDistrictStudyWODuplicates!$E:$E, "")</f>
        <v>Papillion La Vista Community Schools</v>
      </c>
      <c r="G140" t="s">
        <v>820</v>
      </c>
      <c r="H140" s="7">
        <v>3175270</v>
      </c>
      <c r="I140" s="7">
        <v>3175270</v>
      </c>
      <c r="J140" s="5" t="e">
        <f>_xlfn.XLOOKUP(I140,#REF!,#REF!,"Not Determined")</f>
        <v>#REF!</v>
      </c>
      <c r="K140" s="5" t="s">
        <v>808</v>
      </c>
      <c r="L140" t="s">
        <v>815</v>
      </c>
      <c r="M140" s="13" t="e">
        <f>_xlfn.XLOOKUP(I140,#REF!,#REF!, "No")</f>
        <v>#REF!</v>
      </c>
      <c r="N140" s="5" t="str">
        <f t="shared" si="33"/>
        <v>No</v>
      </c>
      <c r="O140" s="5" t="str">
        <f t="shared" si="34"/>
        <v>Yes</v>
      </c>
      <c r="P140" s="5" t="str">
        <f t="shared" si="35"/>
        <v>Yes</v>
      </c>
      <c r="Q140" s="5" t="str">
        <f t="shared" si="36"/>
        <v>Yes</v>
      </c>
      <c r="R140" s="5" t="str">
        <f t="shared" si="37"/>
        <v>Yes</v>
      </c>
      <c r="S140" s="5" t="str">
        <f t="shared" si="38"/>
        <v>Yes</v>
      </c>
      <c r="T140" s="5" t="str">
        <f t="shared" si="39"/>
        <v>Yes</v>
      </c>
      <c r="U140" s="5" t="str">
        <f t="shared" si="40"/>
        <v>Yes</v>
      </c>
      <c r="V140" s="5" t="str" cm="1">
        <f t="array" ref="V140">IF(OR(DB140:DG140 =1), "Yes", "No")</f>
        <v>No</v>
      </c>
      <c r="W140" s="5" t="str">
        <f t="shared" si="41"/>
        <v>No</v>
      </c>
      <c r="X140" s="5" t="str">
        <f t="shared" si="42"/>
        <v>No</v>
      </c>
      <c r="Y140" s="5" t="str">
        <f t="shared" si="43"/>
        <v>No</v>
      </c>
      <c r="Z140">
        <v>11</v>
      </c>
      <c r="AB140">
        <v>1</v>
      </c>
      <c r="AC140">
        <v>0</v>
      </c>
      <c r="AD140">
        <v>0</v>
      </c>
      <c r="AE140">
        <v>0</v>
      </c>
      <c r="AF140">
        <v>0</v>
      </c>
      <c r="AG140">
        <v>1</v>
      </c>
      <c r="AH140">
        <v>0</v>
      </c>
      <c r="AI140">
        <v>0</v>
      </c>
      <c r="AJ140">
        <v>0</v>
      </c>
      <c r="AK140">
        <v>1</v>
      </c>
      <c r="AM140">
        <v>1</v>
      </c>
      <c r="AN140">
        <v>1</v>
      </c>
      <c r="AO140">
        <v>1</v>
      </c>
      <c r="AP140">
        <v>4</v>
      </c>
      <c r="AQ140">
        <v>0</v>
      </c>
      <c r="AR140">
        <v>0</v>
      </c>
      <c r="AS140">
        <v>4</v>
      </c>
      <c r="AV140">
        <v>0</v>
      </c>
      <c r="AW140">
        <v>1</v>
      </c>
      <c r="AX140">
        <v>0</v>
      </c>
      <c r="AY140">
        <v>0</v>
      </c>
      <c r="AZ140">
        <v>0</v>
      </c>
      <c r="BA140">
        <v>0</v>
      </c>
      <c r="BC140">
        <v>2</v>
      </c>
      <c r="BE140">
        <v>2</v>
      </c>
      <c r="BG140">
        <v>1</v>
      </c>
      <c r="BH140">
        <v>1</v>
      </c>
      <c r="BI140">
        <v>4</v>
      </c>
      <c r="BJ140">
        <v>1</v>
      </c>
      <c r="BK140">
        <v>4</v>
      </c>
      <c r="BL140">
        <v>2</v>
      </c>
      <c r="BM140">
        <v>1</v>
      </c>
      <c r="BN140">
        <v>1</v>
      </c>
      <c r="BO140">
        <v>0</v>
      </c>
      <c r="BP140">
        <v>1</v>
      </c>
      <c r="BQ140">
        <v>0</v>
      </c>
      <c r="BR140">
        <v>0</v>
      </c>
      <c r="BS140">
        <v>0</v>
      </c>
      <c r="BT140">
        <v>0</v>
      </c>
      <c r="BV140">
        <v>1</v>
      </c>
      <c r="BW140">
        <v>0</v>
      </c>
      <c r="BX140">
        <v>0</v>
      </c>
      <c r="BY140">
        <v>0</v>
      </c>
      <c r="BZ140">
        <v>0</v>
      </c>
      <c r="CA140">
        <v>0</v>
      </c>
      <c r="CB140">
        <v>0</v>
      </c>
      <c r="CC140">
        <v>0</v>
      </c>
      <c r="CD140">
        <v>1</v>
      </c>
      <c r="CE140">
        <v>0</v>
      </c>
      <c r="CF140">
        <v>0</v>
      </c>
      <c r="CG140">
        <v>0</v>
      </c>
      <c r="CH140">
        <v>0</v>
      </c>
      <c r="CI140">
        <v>0</v>
      </c>
      <c r="CJ140">
        <v>0</v>
      </c>
      <c r="CK140">
        <v>0</v>
      </c>
      <c r="CL140">
        <v>0</v>
      </c>
      <c r="CN140">
        <v>9</v>
      </c>
      <c r="CO140">
        <v>4</v>
      </c>
      <c r="CQ140">
        <v>3</v>
      </c>
      <c r="CR140">
        <v>4</v>
      </c>
      <c r="EB140">
        <v>0</v>
      </c>
      <c r="EC140">
        <v>0</v>
      </c>
      <c r="ED140">
        <v>1</v>
      </c>
      <c r="EE140">
        <v>0</v>
      </c>
      <c r="EF140">
        <v>0</v>
      </c>
      <c r="EG140">
        <v>1</v>
      </c>
      <c r="EH140">
        <v>0</v>
      </c>
      <c r="EI140">
        <v>0</v>
      </c>
      <c r="EJ140">
        <v>0</v>
      </c>
      <c r="EK140">
        <v>0</v>
      </c>
      <c r="EM140">
        <v>0</v>
      </c>
      <c r="EN140">
        <v>1</v>
      </c>
      <c r="EO140">
        <v>0</v>
      </c>
      <c r="EP140">
        <v>1</v>
      </c>
      <c r="EQ140">
        <v>1</v>
      </c>
      <c r="ER140">
        <v>0</v>
      </c>
      <c r="ES140">
        <v>0</v>
      </c>
      <c r="ET140">
        <v>1</v>
      </c>
      <c r="EU140">
        <v>0</v>
      </c>
      <c r="EV140">
        <v>0</v>
      </c>
      <c r="EW140">
        <v>0</v>
      </c>
      <c r="EX140">
        <v>0</v>
      </c>
      <c r="EY140">
        <v>0</v>
      </c>
      <c r="FB140" t="s">
        <v>821</v>
      </c>
      <c r="FC140">
        <v>1</v>
      </c>
      <c r="FD140">
        <v>1</v>
      </c>
      <c r="FE140">
        <v>0</v>
      </c>
      <c r="FF140">
        <v>0</v>
      </c>
      <c r="FG140">
        <v>0</v>
      </c>
      <c r="FH140">
        <v>0</v>
      </c>
      <c r="FI140">
        <v>0</v>
      </c>
      <c r="FJ140">
        <v>0</v>
      </c>
      <c r="FK140">
        <v>0</v>
      </c>
      <c r="FL140">
        <v>0</v>
      </c>
      <c r="FM140">
        <v>0</v>
      </c>
      <c r="FN140">
        <v>0</v>
      </c>
      <c r="FO140">
        <v>0</v>
      </c>
      <c r="FP140">
        <v>0</v>
      </c>
      <c r="FQ140">
        <v>0</v>
      </c>
      <c r="FR140">
        <v>0</v>
      </c>
      <c r="FS140">
        <v>0</v>
      </c>
      <c r="FT140">
        <v>0</v>
      </c>
      <c r="FU140">
        <v>0</v>
      </c>
      <c r="FV140">
        <v>0</v>
      </c>
      <c r="FW140">
        <v>0</v>
      </c>
      <c r="FX140">
        <v>0</v>
      </c>
      <c r="IZ140">
        <v>0</v>
      </c>
      <c r="JA140">
        <v>0</v>
      </c>
      <c r="JB140">
        <v>1</v>
      </c>
      <c r="JC140">
        <v>0</v>
      </c>
      <c r="JD140">
        <v>0</v>
      </c>
      <c r="JE140">
        <v>0</v>
      </c>
      <c r="JF140">
        <v>1</v>
      </c>
      <c r="JG140">
        <v>0</v>
      </c>
      <c r="JH140">
        <v>0</v>
      </c>
      <c r="JI140">
        <v>0</v>
      </c>
      <c r="JJ140">
        <v>0</v>
      </c>
      <c r="JL140">
        <v>2</v>
      </c>
      <c r="JM140" cm="1">
        <f t="array" ref="JM140">IF(OR(JN140:JQ140 &lt;&gt; ""), 1, 0)</f>
        <v>0</v>
      </c>
    </row>
    <row r="141" spans="1:278" x14ac:dyDescent="0.35">
      <c r="A141">
        <v>405491</v>
      </c>
      <c r="C141">
        <v>1</v>
      </c>
      <c r="D141" t="s">
        <v>822</v>
      </c>
      <c r="E141" t="str">
        <f>_xlfn.XLOOKUP(I141, [1]SchoolDistrictStudyWODuplicates!$K:$K, [1]SchoolDistrictStudyWODuplicates!$E:$E, "")</f>
        <v/>
      </c>
      <c r="G141" t="s">
        <v>823</v>
      </c>
      <c r="H141" s="7">
        <v>3175690</v>
      </c>
      <c r="I141" s="7">
        <v>3175690</v>
      </c>
      <c r="J141" s="5" t="e">
        <f>_xlfn.XLOOKUP(I141,#REF!,#REF!,"Not Determined")</f>
        <v>#REF!</v>
      </c>
      <c r="K141" s="5" t="s">
        <v>808</v>
      </c>
      <c r="L141" t="s">
        <v>815</v>
      </c>
      <c r="M141" s="13" t="e">
        <f>_xlfn.XLOOKUP(I141,#REF!,#REF!, "No")</f>
        <v>#REF!</v>
      </c>
      <c r="N141" s="5" t="str">
        <f t="shared" si="33"/>
        <v>No</v>
      </c>
      <c r="O141" s="5" t="str">
        <f t="shared" si="34"/>
        <v>Yes</v>
      </c>
      <c r="P141" s="5" t="str">
        <f t="shared" si="35"/>
        <v>Yes</v>
      </c>
      <c r="Q141" s="5" t="str">
        <f t="shared" si="36"/>
        <v>Yes</v>
      </c>
      <c r="R141" s="5" t="str">
        <f t="shared" si="37"/>
        <v>Yes</v>
      </c>
      <c r="S141" s="5" t="str">
        <f t="shared" si="38"/>
        <v>Yes</v>
      </c>
      <c r="T141" s="5" t="str">
        <f t="shared" si="39"/>
        <v>No</v>
      </c>
      <c r="U141" s="5" t="str">
        <f t="shared" si="40"/>
        <v>No</v>
      </c>
      <c r="V141" s="5" t="str" cm="1">
        <f t="array" ref="V141">IF(OR(DB141:DG141 =1), "Yes", "No")</f>
        <v>No</v>
      </c>
      <c r="W141" s="5" t="str">
        <f t="shared" si="41"/>
        <v>No</v>
      </c>
      <c r="X141" s="5" t="str">
        <f t="shared" si="42"/>
        <v>No</v>
      </c>
      <c r="Y141" s="5" t="str">
        <f t="shared" si="43"/>
        <v>No</v>
      </c>
      <c r="Z141">
        <v>3</v>
      </c>
      <c r="AB141">
        <v>1</v>
      </c>
      <c r="AC141">
        <v>0</v>
      </c>
      <c r="AD141">
        <v>1</v>
      </c>
      <c r="AE141">
        <v>0</v>
      </c>
      <c r="AF141">
        <v>0</v>
      </c>
      <c r="AG141">
        <v>0</v>
      </c>
      <c r="AH141">
        <v>0</v>
      </c>
      <c r="AI141">
        <v>1</v>
      </c>
      <c r="AJ141">
        <v>0</v>
      </c>
      <c r="AK141">
        <v>1</v>
      </c>
      <c r="AM141">
        <v>1</v>
      </c>
      <c r="AN141">
        <v>1</v>
      </c>
      <c r="AO141">
        <v>0</v>
      </c>
      <c r="AP141">
        <v>1</v>
      </c>
      <c r="AQ141">
        <v>6</v>
      </c>
      <c r="AS141">
        <v>1</v>
      </c>
      <c r="AT141">
        <v>6</v>
      </c>
      <c r="AV141">
        <v>1</v>
      </c>
      <c r="AW141">
        <v>1</v>
      </c>
      <c r="AX141">
        <v>0</v>
      </c>
      <c r="AY141">
        <v>1</v>
      </c>
      <c r="AZ141">
        <v>0</v>
      </c>
      <c r="BA141">
        <v>0</v>
      </c>
      <c r="BC141">
        <v>4</v>
      </c>
      <c r="BE141">
        <v>1</v>
      </c>
      <c r="BG141">
        <v>1</v>
      </c>
      <c r="BH141">
        <v>1</v>
      </c>
      <c r="BI141">
        <v>3</v>
      </c>
      <c r="BJ141">
        <v>2</v>
      </c>
      <c r="BL141">
        <v>2</v>
      </c>
      <c r="BM141">
        <v>1</v>
      </c>
      <c r="BN141">
        <v>2</v>
      </c>
      <c r="BV141">
        <v>0</v>
      </c>
      <c r="BW141">
        <v>0</v>
      </c>
      <c r="BX141">
        <v>0</v>
      </c>
      <c r="BY141">
        <v>1</v>
      </c>
      <c r="BZ141">
        <v>1</v>
      </c>
      <c r="CA141">
        <v>0</v>
      </c>
      <c r="CB141">
        <v>0</v>
      </c>
      <c r="CC141">
        <v>0</v>
      </c>
      <c r="CD141">
        <v>0</v>
      </c>
      <c r="CE141">
        <v>0</v>
      </c>
      <c r="CF141">
        <v>0</v>
      </c>
      <c r="CG141">
        <v>0</v>
      </c>
      <c r="CH141">
        <v>0</v>
      </c>
      <c r="CI141">
        <v>0</v>
      </c>
      <c r="CJ141">
        <v>0</v>
      </c>
      <c r="CK141">
        <v>0</v>
      </c>
      <c r="CL141">
        <v>0</v>
      </c>
      <c r="CN141">
        <v>4</v>
      </c>
      <c r="CO141">
        <v>4</v>
      </c>
      <c r="CQ141">
        <v>1</v>
      </c>
      <c r="CR141">
        <v>1</v>
      </c>
      <c r="EB141">
        <v>0</v>
      </c>
      <c r="EC141">
        <v>0</v>
      </c>
      <c r="ED141">
        <v>0</v>
      </c>
      <c r="EE141">
        <v>0</v>
      </c>
      <c r="EF141">
        <v>0</v>
      </c>
      <c r="EG141">
        <v>1</v>
      </c>
      <c r="EH141">
        <v>0</v>
      </c>
      <c r="EI141">
        <v>0</v>
      </c>
      <c r="EJ141">
        <v>0</v>
      </c>
      <c r="EK141">
        <v>0</v>
      </c>
      <c r="EM141">
        <v>0</v>
      </c>
      <c r="EN141">
        <v>0</v>
      </c>
      <c r="EO141">
        <v>0</v>
      </c>
      <c r="EP141">
        <v>1</v>
      </c>
      <c r="EQ141">
        <v>0</v>
      </c>
      <c r="ER141">
        <v>0</v>
      </c>
      <c r="ES141">
        <v>0</v>
      </c>
      <c r="ET141">
        <v>0</v>
      </c>
      <c r="EU141">
        <v>0</v>
      </c>
      <c r="EV141">
        <v>0</v>
      </c>
      <c r="EW141">
        <v>1</v>
      </c>
      <c r="EX141">
        <v>0</v>
      </c>
      <c r="EY141">
        <v>0</v>
      </c>
      <c r="IZ141">
        <v>1</v>
      </c>
      <c r="JA141">
        <v>0</v>
      </c>
      <c r="JB141">
        <v>0</v>
      </c>
      <c r="JC141">
        <v>0</v>
      </c>
      <c r="JD141">
        <v>0</v>
      </c>
      <c r="JE141">
        <v>0</v>
      </c>
      <c r="JF141">
        <v>0</v>
      </c>
      <c r="JG141">
        <v>0</v>
      </c>
      <c r="JH141">
        <v>0</v>
      </c>
      <c r="JI141">
        <v>0</v>
      </c>
      <c r="JJ141">
        <v>0</v>
      </c>
      <c r="JL141">
        <v>2</v>
      </c>
      <c r="JM141" cm="1">
        <f t="array" ref="JM141">IF(OR(JN141:JQ141 &lt;&gt; ""), 1, 0)</f>
        <v>0</v>
      </c>
    </row>
    <row r="142" spans="1:278" x14ac:dyDescent="0.35">
      <c r="A142">
        <v>370612</v>
      </c>
      <c r="C142">
        <v>1</v>
      </c>
      <c r="D142" t="s">
        <v>824</v>
      </c>
      <c r="E142" t="str">
        <f>_xlfn.XLOOKUP(I142, [1]SchoolDistrictStudyWODuplicates!$K:$K, [1]SchoolDistrictStudyWODuplicates!$E:$E, "")</f>
        <v/>
      </c>
      <c r="G142" t="s">
        <v>825</v>
      </c>
      <c r="H142" s="5" t="e">
        <f>_xlfn.XLOOKUP(A142,#REF!,#REF!, "No")</f>
        <v>#REF!</v>
      </c>
      <c r="I142" s="7">
        <v>3409090</v>
      </c>
      <c r="J142" s="5" t="e">
        <f>_xlfn.XLOOKUP(I142,#REF!,#REF!,"Not Determined")</f>
        <v>#REF!</v>
      </c>
      <c r="K142" s="5" t="s">
        <v>888</v>
      </c>
      <c r="L142" t="s">
        <v>826</v>
      </c>
      <c r="M142" s="13" t="e">
        <f>_xlfn.XLOOKUP(I142,#REF!,#REF!, "No")</f>
        <v>#REF!</v>
      </c>
      <c r="N142" s="5" t="str">
        <f t="shared" si="33"/>
        <v>No</v>
      </c>
      <c r="O142" s="5" t="str">
        <f t="shared" si="34"/>
        <v>Yes</v>
      </c>
      <c r="P142" s="5" t="str">
        <f t="shared" si="35"/>
        <v>Yes</v>
      </c>
      <c r="Q142" s="5" t="str">
        <f t="shared" si="36"/>
        <v>Yes</v>
      </c>
      <c r="R142" s="5" t="str">
        <f t="shared" si="37"/>
        <v>Yes</v>
      </c>
      <c r="S142" s="5" t="str">
        <f t="shared" si="38"/>
        <v>Yes</v>
      </c>
      <c r="T142" s="5" t="str">
        <f t="shared" si="39"/>
        <v>No</v>
      </c>
      <c r="U142" s="5" t="str">
        <f t="shared" si="40"/>
        <v>No</v>
      </c>
      <c r="V142" s="5" t="str" cm="1">
        <f t="array" ref="V142">IF(OR(DB142:DG142 =1), "Yes", "No")</f>
        <v>No</v>
      </c>
      <c r="W142" s="5" t="str">
        <f t="shared" si="41"/>
        <v>Yes</v>
      </c>
      <c r="X142" s="5" t="str">
        <f t="shared" si="42"/>
        <v>No</v>
      </c>
      <c r="Y142" s="5" t="str">
        <f t="shared" si="43"/>
        <v>No</v>
      </c>
      <c r="Z142">
        <v>6</v>
      </c>
      <c r="AB142">
        <v>1</v>
      </c>
      <c r="AC142">
        <v>0</v>
      </c>
      <c r="AD142">
        <v>0</v>
      </c>
      <c r="AE142">
        <v>0</v>
      </c>
      <c r="AF142">
        <v>0</v>
      </c>
      <c r="AG142">
        <v>0</v>
      </c>
      <c r="AH142">
        <v>0</v>
      </c>
      <c r="AI142">
        <v>0</v>
      </c>
      <c r="AJ142">
        <v>0</v>
      </c>
      <c r="AK142">
        <v>1</v>
      </c>
      <c r="AM142">
        <v>0</v>
      </c>
      <c r="AN142">
        <v>1</v>
      </c>
      <c r="AO142">
        <v>0</v>
      </c>
      <c r="AQ142">
        <v>38</v>
      </c>
      <c r="AT142">
        <v>38</v>
      </c>
      <c r="AV142">
        <v>1</v>
      </c>
      <c r="AW142">
        <v>0</v>
      </c>
      <c r="AX142">
        <v>0</v>
      </c>
      <c r="AY142">
        <v>0</v>
      </c>
      <c r="AZ142">
        <v>0</v>
      </c>
      <c r="BA142">
        <v>0</v>
      </c>
      <c r="BC142">
        <v>1</v>
      </c>
      <c r="BE142">
        <v>1</v>
      </c>
      <c r="BG142">
        <v>1</v>
      </c>
      <c r="BH142">
        <v>1</v>
      </c>
      <c r="BI142">
        <v>5</v>
      </c>
      <c r="BJ142">
        <v>1</v>
      </c>
      <c r="BK142">
        <v>6</v>
      </c>
      <c r="BL142">
        <v>2</v>
      </c>
      <c r="BM142">
        <v>1</v>
      </c>
      <c r="BN142">
        <v>2</v>
      </c>
      <c r="BV142">
        <v>0</v>
      </c>
      <c r="BW142">
        <v>0</v>
      </c>
      <c r="BX142">
        <v>1</v>
      </c>
      <c r="BY142">
        <v>0</v>
      </c>
      <c r="BZ142">
        <v>0</v>
      </c>
      <c r="CA142">
        <v>0</v>
      </c>
      <c r="CB142">
        <v>0</v>
      </c>
      <c r="CC142">
        <v>0</v>
      </c>
      <c r="CD142">
        <v>1</v>
      </c>
      <c r="CE142">
        <v>1</v>
      </c>
      <c r="CF142">
        <v>1</v>
      </c>
      <c r="CG142">
        <v>1</v>
      </c>
      <c r="CH142">
        <v>1</v>
      </c>
      <c r="CI142">
        <v>1</v>
      </c>
      <c r="CJ142">
        <v>0</v>
      </c>
      <c r="CK142">
        <v>0</v>
      </c>
      <c r="CL142">
        <v>0</v>
      </c>
      <c r="CN142">
        <v>9</v>
      </c>
      <c r="CO142">
        <v>4</v>
      </c>
      <c r="CQ142">
        <v>2</v>
      </c>
      <c r="CR142">
        <v>2</v>
      </c>
      <c r="EB142">
        <v>1</v>
      </c>
      <c r="EC142">
        <v>0</v>
      </c>
      <c r="ED142">
        <v>0</v>
      </c>
      <c r="EE142">
        <v>1</v>
      </c>
      <c r="EF142">
        <v>1</v>
      </c>
      <c r="EG142">
        <v>0</v>
      </c>
      <c r="EH142">
        <v>0</v>
      </c>
      <c r="EI142">
        <v>0</v>
      </c>
      <c r="EJ142">
        <v>0</v>
      </c>
      <c r="EK142">
        <v>0</v>
      </c>
      <c r="EM142">
        <v>0</v>
      </c>
      <c r="EN142">
        <v>0</v>
      </c>
      <c r="EO142">
        <v>1</v>
      </c>
      <c r="EP142">
        <v>0</v>
      </c>
      <c r="EQ142">
        <v>0</v>
      </c>
      <c r="ER142">
        <v>0</v>
      </c>
      <c r="ES142">
        <v>0</v>
      </c>
      <c r="ET142">
        <v>0</v>
      </c>
      <c r="EU142">
        <v>0</v>
      </c>
      <c r="EV142">
        <v>0</v>
      </c>
      <c r="EW142">
        <v>0</v>
      </c>
      <c r="EX142">
        <v>0</v>
      </c>
      <c r="EY142">
        <v>0</v>
      </c>
      <c r="FY142" t="s">
        <v>421</v>
      </c>
      <c r="FZ142">
        <v>0</v>
      </c>
      <c r="GA142">
        <v>0</v>
      </c>
      <c r="GB142">
        <v>0</v>
      </c>
      <c r="GC142">
        <v>0</v>
      </c>
      <c r="GD142">
        <v>0</v>
      </c>
      <c r="GE142">
        <v>0</v>
      </c>
      <c r="GF142">
        <v>0</v>
      </c>
      <c r="GG142">
        <v>0</v>
      </c>
      <c r="GH142">
        <v>0</v>
      </c>
      <c r="GI142">
        <v>1</v>
      </c>
      <c r="GJ142">
        <v>0</v>
      </c>
      <c r="GK142">
        <v>0</v>
      </c>
      <c r="GL142">
        <v>0</v>
      </c>
      <c r="GM142">
        <v>0</v>
      </c>
      <c r="GN142">
        <v>0</v>
      </c>
      <c r="GO142">
        <v>0</v>
      </c>
      <c r="GP142">
        <v>0</v>
      </c>
      <c r="GQ142">
        <v>0</v>
      </c>
      <c r="GR142">
        <v>0</v>
      </c>
      <c r="IZ142">
        <v>0</v>
      </c>
      <c r="JA142">
        <v>1</v>
      </c>
      <c r="JB142">
        <v>0</v>
      </c>
      <c r="JC142">
        <v>0</v>
      </c>
      <c r="JD142">
        <v>0</v>
      </c>
      <c r="JE142">
        <v>0</v>
      </c>
      <c r="JF142">
        <v>0</v>
      </c>
      <c r="JG142">
        <v>0</v>
      </c>
      <c r="JH142">
        <v>0</v>
      </c>
      <c r="JI142">
        <v>0</v>
      </c>
      <c r="JJ142">
        <v>0</v>
      </c>
      <c r="JL142">
        <v>1</v>
      </c>
      <c r="JM142" cm="1">
        <f t="array" ref="JM142">IF(OR(JN142:JQ142 &lt;&gt; ""), 1, 0)</f>
        <v>1</v>
      </c>
      <c r="JN142">
        <v>0</v>
      </c>
      <c r="JO142">
        <v>0</v>
      </c>
      <c r="JP142">
        <v>0</v>
      </c>
      <c r="JQ142">
        <v>1</v>
      </c>
      <c r="JR142" t="s">
        <v>827</v>
      </c>
    </row>
    <row r="143" spans="1:278" x14ac:dyDescent="0.35">
      <c r="A143">
        <v>393102</v>
      </c>
      <c r="C143">
        <v>1</v>
      </c>
      <c r="D143" t="s">
        <v>828</v>
      </c>
      <c r="E143" t="str">
        <f>_xlfn.XLOOKUP(I143, [1]SchoolDistrictStudyWODuplicates!$K:$K, [1]SchoolDistrictStudyWODuplicates!$E:$E, "")</f>
        <v/>
      </c>
      <c r="G143" t="s">
        <v>829</v>
      </c>
      <c r="H143" s="7">
        <v>3409930</v>
      </c>
      <c r="I143" s="7">
        <v>3409930</v>
      </c>
      <c r="J143" s="5" t="e">
        <f>_xlfn.XLOOKUP(I143,#REF!,#REF!,"Not Determined")</f>
        <v>#REF!</v>
      </c>
      <c r="K143" s="5" t="s">
        <v>888</v>
      </c>
      <c r="L143" t="s">
        <v>830</v>
      </c>
      <c r="M143" s="13" t="e">
        <f>_xlfn.XLOOKUP(I143,#REF!,#REF!, "No")</f>
        <v>#REF!</v>
      </c>
      <c r="N143" s="5" t="str">
        <f t="shared" si="33"/>
        <v>No</v>
      </c>
      <c r="O143" s="5" t="str">
        <f t="shared" si="34"/>
        <v>Yes</v>
      </c>
      <c r="P143" s="5" t="str">
        <f t="shared" si="35"/>
        <v>Yes</v>
      </c>
      <c r="Q143" s="5" t="str">
        <f t="shared" si="36"/>
        <v>No</v>
      </c>
      <c r="R143" s="5" t="str">
        <f t="shared" si="37"/>
        <v>No</v>
      </c>
      <c r="S143" s="5" t="str">
        <f t="shared" si="38"/>
        <v>No</v>
      </c>
      <c r="T143" s="5" t="str">
        <f t="shared" si="39"/>
        <v>No</v>
      </c>
      <c r="U143" s="5" t="str">
        <f t="shared" si="40"/>
        <v>No</v>
      </c>
      <c r="V143" s="5" t="str" cm="1">
        <f t="array" ref="V143">IF(OR(DB143:DG143 =1), "Yes", "No")</f>
        <v>No</v>
      </c>
      <c r="W143" s="5" t="str">
        <f t="shared" si="41"/>
        <v>No</v>
      </c>
      <c r="X143" s="5" t="str">
        <f t="shared" si="42"/>
        <v>No</v>
      </c>
      <c r="Y143" s="5" t="str">
        <f t="shared" si="43"/>
        <v>No</v>
      </c>
      <c r="Z143">
        <v>3</v>
      </c>
      <c r="AB143">
        <v>0</v>
      </c>
      <c r="AC143">
        <v>0</v>
      </c>
      <c r="AD143">
        <v>1</v>
      </c>
      <c r="AE143">
        <v>0</v>
      </c>
      <c r="AF143">
        <v>0</v>
      </c>
      <c r="AG143">
        <v>1</v>
      </c>
      <c r="AH143">
        <v>0</v>
      </c>
      <c r="AI143">
        <v>0</v>
      </c>
      <c r="AJ143">
        <v>0</v>
      </c>
      <c r="AK143">
        <v>1</v>
      </c>
      <c r="AM143">
        <v>1</v>
      </c>
      <c r="AN143">
        <v>1</v>
      </c>
      <c r="AO143">
        <v>0</v>
      </c>
      <c r="AP143">
        <v>8</v>
      </c>
      <c r="AQ143">
        <v>30</v>
      </c>
      <c r="AS143">
        <v>8</v>
      </c>
      <c r="AT143">
        <v>30</v>
      </c>
      <c r="AV143">
        <v>1</v>
      </c>
      <c r="AW143">
        <v>1</v>
      </c>
      <c r="AX143">
        <v>0</v>
      </c>
      <c r="AY143">
        <v>0</v>
      </c>
      <c r="AZ143">
        <v>0</v>
      </c>
      <c r="BA143">
        <v>0</v>
      </c>
      <c r="BC143">
        <v>1</v>
      </c>
      <c r="BE143">
        <v>1</v>
      </c>
      <c r="BG143">
        <v>3</v>
      </c>
      <c r="BJ143">
        <v>2</v>
      </c>
      <c r="BL143">
        <v>2</v>
      </c>
      <c r="BM143">
        <v>1</v>
      </c>
      <c r="BN143">
        <v>1</v>
      </c>
      <c r="BO143">
        <v>0</v>
      </c>
      <c r="BP143">
        <v>1</v>
      </c>
      <c r="BQ143">
        <v>1</v>
      </c>
      <c r="BR143">
        <v>1</v>
      </c>
      <c r="BS143">
        <v>0</v>
      </c>
      <c r="BT143">
        <v>0</v>
      </c>
      <c r="BV143">
        <v>0</v>
      </c>
      <c r="BW143">
        <v>0</v>
      </c>
      <c r="BX143">
        <v>0</v>
      </c>
      <c r="BY143">
        <v>0</v>
      </c>
      <c r="BZ143">
        <v>0</v>
      </c>
      <c r="CA143">
        <v>0</v>
      </c>
      <c r="CB143">
        <v>0</v>
      </c>
      <c r="CC143">
        <v>0</v>
      </c>
      <c r="CD143">
        <v>1</v>
      </c>
      <c r="CE143">
        <v>0</v>
      </c>
      <c r="CF143">
        <v>0</v>
      </c>
      <c r="CG143">
        <v>0</v>
      </c>
      <c r="CH143">
        <v>0</v>
      </c>
      <c r="CI143">
        <v>0</v>
      </c>
      <c r="CJ143">
        <v>0</v>
      </c>
      <c r="CK143">
        <v>0</v>
      </c>
      <c r="CL143">
        <v>0</v>
      </c>
      <c r="CN143">
        <v>9</v>
      </c>
      <c r="CO143">
        <v>4</v>
      </c>
      <c r="JM143" cm="1">
        <f t="array" ref="JM143">IF(OR(JN143:JQ143 &lt;&gt; ""), 1, 0)</f>
        <v>0</v>
      </c>
    </row>
    <row r="144" spans="1:278" x14ac:dyDescent="0.35">
      <c r="A144">
        <v>345879</v>
      </c>
      <c r="C144">
        <v>1</v>
      </c>
      <c r="D144" t="s">
        <v>837</v>
      </c>
      <c r="E144" t="str">
        <f>_xlfn.XLOOKUP(I144, [1]SchoolDistrictStudyWODuplicates!$K:$K, [1]SchoolDistrictStudyWODuplicates!$E:$E, "")</f>
        <v>Albuquerque Public Schools</v>
      </c>
      <c r="G144" t="s">
        <v>838</v>
      </c>
      <c r="H144" s="7">
        <v>3500060</v>
      </c>
      <c r="I144" s="7">
        <v>3500060</v>
      </c>
      <c r="J144" s="5" t="e">
        <f>_xlfn.XLOOKUP(I144,#REF!,#REF!,"Not Determined")</f>
        <v>#REF!</v>
      </c>
      <c r="K144" s="5" t="s">
        <v>1359</v>
      </c>
      <c r="L144" t="s">
        <v>839</v>
      </c>
      <c r="M144" s="13" t="e">
        <f>_xlfn.XLOOKUP(I144,#REF!,#REF!, "No")</f>
        <v>#REF!</v>
      </c>
      <c r="N144" s="5" t="str">
        <f t="shared" si="33"/>
        <v>No</v>
      </c>
      <c r="O144" s="5" t="str">
        <f t="shared" si="34"/>
        <v>Yes</v>
      </c>
      <c r="P144" s="5" t="str">
        <f t="shared" si="35"/>
        <v>Yes</v>
      </c>
      <c r="Q144" s="5" t="str">
        <f t="shared" si="36"/>
        <v>Yes</v>
      </c>
      <c r="R144" s="5" t="str">
        <f t="shared" si="37"/>
        <v>Yes</v>
      </c>
      <c r="S144" s="5" t="str">
        <f t="shared" si="38"/>
        <v>Yes</v>
      </c>
      <c r="T144" s="5" t="str">
        <f t="shared" si="39"/>
        <v>Yes</v>
      </c>
      <c r="U144" s="5" t="str">
        <f t="shared" si="40"/>
        <v>Yes</v>
      </c>
      <c r="V144" s="5" t="str" cm="1">
        <f t="array" ref="V144">IF(OR(DB144:DG144 =1), "Yes", "No")</f>
        <v>No</v>
      </c>
      <c r="W144" s="5" t="str">
        <f t="shared" si="41"/>
        <v>Yes</v>
      </c>
      <c r="X144" s="5" t="str">
        <f t="shared" si="42"/>
        <v>No</v>
      </c>
      <c r="Y144" s="5" t="str">
        <f t="shared" si="43"/>
        <v>No</v>
      </c>
      <c r="Z144">
        <v>2</v>
      </c>
      <c r="AB144">
        <v>1</v>
      </c>
      <c r="AC144">
        <v>1</v>
      </c>
      <c r="AD144">
        <v>1</v>
      </c>
      <c r="AE144">
        <v>0</v>
      </c>
      <c r="AF144">
        <v>0</v>
      </c>
      <c r="AG144">
        <v>0</v>
      </c>
      <c r="AH144">
        <v>0</v>
      </c>
      <c r="AI144">
        <v>0</v>
      </c>
      <c r="AJ144">
        <v>0</v>
      </c>
      <c r="AK144">
        <v>1</v>
      </c>
      <c r="AM144">
        <v>1</v>
      </c>
      <c r="AN144">
        <v>1</v>
      </c>
      <c r="AO144">
        <v>0</v>
      </c>
      <c r="AP144">
        <v>30</v>
      </c>
      <c r="AQ144">
        <v>420</v>
      </c>
      <c r="AS144">
        <v>30</v>
      </c>
      <c r="AT144">
        <v>420</v>
      </c>
      <c r="AV144">
        <v>1</v>
      </c>
      <c r="AW144">
        <v>1</v>
      </c>
      <c r="AX144">
        <v>0</v>
      </c>
      <c r="AY144">
        <v>0</v>
      </c>
      <c r="AZ144">
        <v>0</v>
      </c>
      <c r="BA144">
        <v>0</v>
      </c>
      <c r="BC144">
        <v>5</v>
      </c>
      <c r="BE144">
        <v>4</v>
      </c>
      <c r="BG144">
        <v>1</v>
      </c>
      <c r="BH144">
        <v>1</v>
      </c>
      <c r="BI144">
        <v>2</v>
      </c>
      <c r="BJ144">
        <v>1</v>
      </c>
      <c r="BK144">
        <v>6</v>
      </c>
      <c r="BL144">
        <v>1</v>
      </c>
      <c r="BM144">
        <v>1</v>
      </c>
      <c r="BN144">
        <v>1</v>
      </c>
      <c r="BO144">
        <v>1</v>
      </c>
      <c r="BP144">
        <v>1</v>
      </c>
      <c r="BQ144">
        <v>1</v>
      </c>
      <c r="BR144">
        <v>1</v>
      </c>
      <c r="BS144">
        <v>1</v>
      </c>
      <c r="BT144">
        <v>0</v>
      </c>
      <c r="BV144">
        <v>0</v>
      </c>
      <c r="BW144">
        <v>0</v>
      </c>
      <c r="BX144">
        <v>1</v>
      </c>
      <c r="BY144">
        <v>0</v>
      </c>
      <c r="BZ144">
        <v>0</v>
      </c>
      <c r="CA144">
        <v>0</v>
      </c>
      <c r="CB144">
        <v>0</v>
      </c>
      <c r="CC144">
        <v>0</v>
      </c>
      <c r="CD144">
        <v>1</v>
      </c>
      <c r="CE144">
        <v>0</v>
      </c>
      <c r="CF144">
        <v>0</v>
      </c>
      <c r="CG144">
        <v>0</v>
      </c>
      <c r="CH144">
        <v>0</v>
      </c>
      <c r="CI144">
        <v>1</v>
      </c>
      <c r="CJ144">
        <v>1</v>
      </c>
      <c r="CK144">
        <v>0</v>
      </c>
      <c r="CL144">
        <v>0</v>
      </c>
      <c r="CN144">
        <v>15</v>
      </c>
      <c r="CO144">
        <v>1</v>
      </c>
      <c r="CP144" t="s">
        <v>840</v>
      </c>
      <c r="CQ144">
        <v>5</v>
      </c>
      <c r="CR144">
        <v>5</v>
      </c>
      <c r="EB144">
        <v>0</v>
      </c>
      <c r="EC144">
        <v>1</v>
      </c>
      <c r="ED144">
        <v>1</v>
      </c>
      <c r="EE144">
        <v>1</v>
      </c>
      <c r="EF144">
        <v>0</v>
      </c>
      <c r="EG144">
        <v>1</v>
      </c>
      <c r="EH144">
        <v>1</v>
      </c>
      <c r="EI144">
        <v>1</v>
      </c>
      <c r="EJ144">
        <v>0</v>
      </c>
      <c r="EK144">
        <v>0</v>
      </c>
      <c r="EM144">
        <v>0</v>
      </c>
      <c r="EN144">
        <v>1</v>
      </c>
      <c r="EO144">
        <v>1</v>
      </c>
      <c r="EP144">
        <v>1</v>
      </c>
      <c r="EQ144">
        <v>1</v>
      </c>
      <c r="ER144">
        <v>1</v>
      </c>
      <c r="ES144">
        <v>0</v>
      </c>
      <c r="ET144">
        <v>1</v>
      </c>
      <c r="EU144">
        <v>1</v>
      </c>
      <c r="EV144">
        <v>1</v>
      </c>
      <c r="EW144">
        <v>1</v>
      </c>
      <c r="EX144">
        <v>0</v>
      </c>
      <c r="EY144">
        <v>0</v>
      </c>
      <c r="FB144" t="s">
        <v>841</v>
      </c>
      <c r="FY144" t="s">
        <v>842</v>
      </c>
      <c r="FZ144">
        <v>0</v>
      </c>
      <c r="GA144">
        <v>0</v>
      </c>
      <c r="GB144">
        <v>1</v>
      </c>
      <c r="GC144">
        <v>0</v>
      </c>
      <c r="GD144">
        <v>0</v>
      </c>
      <c r="GE144">
        <v>0</v>
      </c>
      <c r="GF144">
        <v>0</v>
      </c>
      <c r="GG144">
        <v>0</v>
      </c>
      <c r="GH144">
        <v>0</v>
      </c>
      <c r="GI144">
        <v>0</v>
      </c>
      <c r="GJ144">
        <v>0</v>
      </c>
      <c r="GK144">
        <v>0</v>
      </c>
      <c r="GL144">
        <v>0</v>
      </c>
      <c r="GM144">
        <v>0</v>
      </c>
      <c r="GN144">
        <v>0</v>
      </c>
      <c r="GO144">
        <v>0</v>
      </c>
      <c r="GP144">
        <v>0</v>
      </c>
      <c r="GQ144">
        <v>0</v>
      </c>
      <c r="GR144">
        <v>0</v>
      </c>
      <c r="HC144" t="s">
        <v>843</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c r="IK144">
        <v>0</v>
      </c>
      <c r="IL144">
        <v>0</v>
      </c>
      <c r="IM144">
        <v>0</v>
      </c>
      <c r="IN144">
        <v>0</v>
      </c>
      <c r="IO144">
        <v>0</v>
      </c>
      <c r="IP144">
        <v>0</v>
      </c>
      <c r="IQ144">
        <v>0</v>
      </c>
      <c r="IR144">
        <v>0</v>
      </c>
      <c r="IS144">
        <v>0</v>
      </c>
      <c r="IT144">
        <v>0</v>
      </c>
      <c r="IU144">
        <v>0</v>
      </c>
      <c r="IV144">
        <v>0</v>
      </c>
      <c r="IW144">
        <v>1</v>
      </c>
      <c r="IZ144">
        <v>1</v>
      </c>
      <c r="JA144">
        <v>1</v>
      </c>
      <c r="JB144">
        <v>1</v>
      </c>
      <c r="JC144">
        <v>0</v>
      </c>
      <c r="JD144">
        <v>0</v>
      </c>
      <c r="JE144">
        <v>0</v>
      </c>
      <c r="JF144">
        <v>0</v>
      </c>
      <c r="JG144">
        <v>0</v>
      </c>
      <c r="JH144">
        <v>0</v>
      </c>
      <c r="JI144">
        <v>0</v>
      </c>
      <c r="JJ144">
        <v>0</v>
      </c>
      <c r="JL144">
        <v>1</v>
      </c>
      <c r="JM144" cm="1">
        <f t="array" ref="JM144">IF(OR(JN144:JQ144 &lt;&gt; ""), 1, 0)</f>
        <v>1</v>
      </c>
      <c r="JN144">
        <v>1</v>
      </c>
      <c r="JO144">
        <v>0</v>
      </c>
      <c r="JP144">
        <v>1</v>
      </c>
      <c r="JQ144">
        <v>0</v>
      </c>
    </row>
    <row r="145" spans="1:278" x14ac:dyDescent="0.35">
      <c r="A145">
        <v>370193</v>
      </c>
      <c r="C145">
        <v>1</v>
      </c>
      <c r="D145" t="s">
        <v>844</v>
      </c>
      <c r="E145" t="str">
        <f>_xlfn.XLOOKUP(I145, [1]SchoolDistrictStudyWODuplicates!$K:$K, [1]SchoolDistrictStudyWODuplicates!$E:$E, "")</f>
        <v>Farmington Municipal Schools</v>
      </c>
      <c r="G145" t="s">
        <v>695</v>
      </c>
      <c r="H145" s="7">
        <v>3500990</v>
      </c>
      <c r="I145" s="7">
        <v>3500990</v>
      </c>
      <c r="J145" s="5" t="e">
        <f>_xlfn.XLOOKUP(I145,#REF!,#REF!,"Not Determined")</f>
        <v>#REF!</v>
      </c>
      <c r="K145" s="5" t="s">
        <v>1359</v>
      </c>
      <c r="L145" t="s">
        <v>839</v>
      </c>
      <c r="M145" s="13" t="e">
        <f>_xlfn.XLOOKUP(I145,#REF!,#REF!, "No")</f>
        <v>#REF!</v>
      </c>
      <c r="N145" s="5" t="str">
        <f t="shared" si="33"/>
        <v>No</v>
      </c>
      <c r="O145" s="5" t="str">
        <f t="shared" si="34"/>
        <v>Yes</v>
      </c>
      <c r="P145" s="5" t="str">
        <f t="shared" si="35"/>
        <v>Yes</v>
      </c>
      <c r="Q145" s="5" t="str">
        <f t="shared" si="36"/>
        <v>Yes</v>
      </c>
      <c r="R145" s="5" t="str">
        <f t="shared" si="37"/>
        <v>Yes</v>
      </c>
      <c r="S145" s="5" t="str">
        <f t="shared" si="38"/>
        <v>Yes</v>
      </c>
      <c r="T145" s="5" t="str">
        <f t="shared" si="39"/>
        <v>Yes</v>
      </c>
      <c r="U145" s="5" t="str">
        <f t="shared" si="40"/>
        <v>Yes</v>
      </c>
      <c r="V145" s="5" t="str" cm="1">
        <f t="array" ref="V145">IF(OR(DB145:DG145 =1), "Yes", "No")</f>
        <v>No</v>
      </c>
      <c r="W145" s="5" t="str">
        <f t="shared" si="41"/>
        <v>Yes</v>
      </c>
      <c r="X145" s="5" t="str">
        <f t="shared" si="42"/>
        <v>No</v>
      </c>
      <c r="Y145" s="5" t="str">
        <f t="shared" si="43"/>
        <v>No</v>
      </c>
      <c r="Z145">
        <v>3</v>
      </c>
      <c r="AB145">
        <v>0</v>
      </c>
      <c r="AC145">
        <v>0</v>
      </c>
      <c r="AD145">
        <v>1</v>
      </c>
      <c r="AE145">
        <v>0</v>
      </c>
      <c r="AF145">
        <v>0</v>
      </c>
      <c r="AG145">
        <v>0</v>
      </c>
      <c r="AH145">
        <v>0</v>
      </c>
      <c r="AI145">
        <v>0</v>
      </c>
      <c r="AJ145">
        <v>0</v>
      </c>
      <c r="AK145">
        <v>1</v>
      </c>
      <c r="AM145">
        <v>0</v>
      </c>
      <c r="AN145">
        <v>1</v>
      </c>
      <c r="AO145">
        <v>1</v>
      </c>
      <c r="AQ145">
        <v>70</v>
      </c>
      <c r="AR145">
        <v>18</v>
      </c>
      <c r="AT145">
        <v>70</v>
      </c>
      <c r="AU145">
        <v>18</v>
      </c>
      <c r="AV145">
        <v>1</v>
      </c>
      <c r="AW145">
        <v>0</v>
      </c>
      <c r="AX145">
        <v>0</v>
      </c>
      <c r="AY145">
        <v>0</v>
      </c>
      <c r="AZ145">
        <v>0</v>
      </c>
      <c r="BA145">
        <v>0</v>
      </c>
      <c r="BC145">
        <v>1</v>
      </c>
      <c r="BE145">
        <v>1</v>
      </c>
      <c r="BG145">
        <v>1</v>
      </c>
      <c r="BH145">
        <v>1</v>
      </c>
      <c r="BI145">
        <v>4</v>
      </c>
      <c r="BJ145">
        <v>1</v>
      </c>
      <c r="BK145">
        <v>5</v>
      </c>
      <c r="BL145">
        <v>1</v>
      </c>
      <c r="BM145">
        <v>1</v>
      </c>
      <c r="BN145">
        <v>2</v>
      </c>
      <c r="BV145">
        <v>0</v>
      </c>
      <c r="BW145">
        <v>0</v>
      </c>
      <c r="BX145">
        <v>0</v>
      </c>
      <c r="BY145">
        <v>1</v>
      </c>
      <c r="BZ145">
        <v>1</v>
      </c>
      <c r="CA145">
        <v>0</v>
      </c>
      <c r="CB145">
        <v>0</v>
      </c>
      <c r="CC145">
        <v>0</v>
      </c>
      <c r="CD145">
        <v>0</v>
      </c>
      <c r="CE145">
        <v>0</v>
      </c>
      <c r="CF145">
        <v>0</v>
      </c>
      <c r="CG145">
        <v>0</v>
      </c>
      <c r="CH145">
        <v>0</v>
      </c>
      <c r="CI145">
        <v>0</v>
      </c>
      <c r="CJ145">
        <v>0</v>
      </c>
      <c r="CK145">
        <v>0</v>
      </c>
      <c r="CL145">
        <v>0</v>
      </c>
      <c r="CN145">
        <v>5</v>
      </c>
      <c r="CO145">
        <v>4</v>
      </c>
      <c r="CQ145">
        <v>4</v>
      </c>
      <c r="CR145">
        <v>4</v>
      </c>
      <c r="EB145">
        <v>0</v>
      </c>
      <c r="EC145">
        <v>0</v>
      </c>
      <c r="ED145">
        <v>1</v>
      </c>
      <c r="EE145">
        <v>0</v>
      </c>
      <c r="EF145">
        <v>0</v>
      </c>
      <c r="EG145">
        <v>0</v>
      </c>
      <c r="EH145">
        <v>0</v>
      </c>
      <c r="EI145">
        <v>1</v>
      </c>
      <c r="EJ145">
        <v>1</v>
      </c>
      <c r="EK145">
        <v>0</v>
      </c>
      <c r="EL145" t="s">
        <v>845</v>
      </c>
      <c r="EM145">
        <v>0</v>
      </c>
      <c r="EN145">
        <v>1</v>
      </c>
      <c r="EO145">
        <v>0</v>
      </c>
      <c r="EP145">
        <v>0</v>
      </c>
      <c r="EQ145">
        <v>0</v>
      </c>
      <c r="ER145">
        <v>0</v>
      </c>
      <c r="ES145">
        <v>0</v>
      </c>
      <c r="ET145">
        <v>0</v>
      </c>
      <c r="EU145">
        <v>0</v>
      </c>
      <c r="EV145">
        <v>0</v>
      </c>
      <c r="EW145">
        <v>1</v>
      </c>
      <c r="EX145">
        <v>0</v>
      </c>
      <c r="EY145">
        <v>0</v>
      </c>
      <c r="FB145" t="s">
        <v>846</v>
      </c>
      <c r="FC145">
        <v>1</v>
      </c>
      <c r="FD145">
        <v>1</v>
      </c>
      <c r="FE145">
        <v>0</v>
      </c>
      <c r="FF145">
        <v>0</v>
      </c>
      <c r="FG145">
        <v>0</v>
      </c>
      <c r="FH145">
        <v>0</v>
      </c>
      <c r="FI145">
        <v>0</v>
      </c>
      <c r="FJ145">
        <v>0</v>
      </c>
      <c r="FK145">
        <v>0</v>
      </c>
      <c r="FL145">
        <v>0</v>
      </c>
      <c r="FM145">
        <v>0</v>
      </c>
      <c r="FN145">
        <v>0</v>
      </c>
      <c r="FO145">
        <v>0</v>
      </c>
      <c r="FP145">
        <v>0</v>
      </c>
      <c r="FQ145">
        <v>0</v>
      </c>
      <c r="FR145">
        <v>0</v>
      </c>
      <c r="FS145">
        <v>0</v>
      </c>
      <c r="FT145">
        <v>0</v>
      </c>
      <c r="FU145">
        <v>0</v>
      </c>
      <c r="FV145">
        <v>0</v>
      </c>
      <c r="FW145">
        <v>0</v>
      </c>
      <c r="FX145">
        <v>0</v>
      </c>
      <c r="IZ145">
        <v>1</v>
      </c>
      <c r="JA145">
        <v>0</v>
      </c>
      <c r="JB145">
        <v>0</v>
      </c>
      <c r="JC145">
        <v>0</v>
      </c>
      <c r="JD145">
        <v>0</v>
      </c>
      <c r="JE145">
        <v>0</v>
      </c>
      <c r="JF145">
        <v>0</v>
      </c>
      <c r="JG145">
        <v>0</v>
      </c>
      <c r="JH145">
        <v>0</v>
      </c>
      <c r="JI145">
        <v>0</v>
      </c>
      <c r="JJ145">
        <v>0</v>
      </c>
      <c r="JL145">
        <v>1</v>
      </c>
      <c r="JM145" cm="1">
        <f t="array" ref="JM145">IF(OR(JN145:JQ145 &lt;&gt; ""), 1, 0)</f>
        <v>1</v>
      </c>
      <c r="JN145">
        <v>0</v>
      </c>
      <c r="JO145">
        <v>1</v>
      </c>
      <c r="JP145">
        <v>0</v>
      </c>
      <c r="JQ145">
        <v>0</v>
      </c>
    </row>
    <row r="146" spans="1:278" x14ac:dyDescent="0.35">
      <c r="A146">
        <v>405352</v>
      </c>
      <c r="C146">
        <v>1</v>
      </c>
      <c r="D146" t="s">
        <v>847</v>
      </c>
      <c r="E146" t="str">
        <f>_xlfn.XLOOKUP(I146, [1]SchoolDistrictStudyWODuplicates!$K:$K, [1]SchoolDistrictStudyWODuplicates!$E:$E, "")</f>
        <v/>
      </c>
      <c r="G146" t="s">
        <v>848</v>
      </c>
      <c r="H146" s="7">
        <v>3680100</v>
      </c>
      <c r="I146" s="7">
        <v>3680100</v>
      </c>
      <c r="J146" s="5" t="e">
        <f>_xlfn.XLOOKUP(I146,#REF!,#REF!,"Not Determined")</f>
        <v>#REF!</v>
      </c>
      <c r="K146" s="5" t="s">
        <v>906</v>
      </c>
      <c r="L146" t="s">
        <v>849</v>
      </c>
      <c r="M146" s="13" t="e">
        <f>_xlfn.XLOOKUP(I146,#REF!,#REF!, "No")</f>
        <v>#REF!</v>
      </c>
      <c r="N146" s="5" t="str">
        <f t="shared" si="33"/>
        <v>No</v>
      </c>
      <c r="O146" s="5" t="str">
        <f t="shared" si="34"/>
        <v>Yes</v>
      </c>
      <c r="P146" s="5" t="str">
        <f t="shared" si="35"/>
        <v>Yes</v>
      </c>
      <c r="Q146" s="5" t="str">
        <f t="shared" si="36"/>
        <v>Yes</v>
      </c>
      <c r="R146" s="5" t="str">
        <f t="shared" si="37"/>
        <v>Yes</v>
      </c>
      <c r="S146" s="5" t="str">
        <f t="shared" si="38"/>
        <v>Yes</v>
      </c>
      <c r="T146" s="5" t="str">
        <f t="shared" si="39"/>
        <v>Yes</v>
      </c>
      <c r="U146" s="5" t="str">
        <f t="shared" si="40"/>
        <v>Yes</v>
      </c>
      <c r="V146" s="5" t="str" cm="1">
        <f t="array" ref="V146">IF(OR(DB146:DG146 =1), "Yes", "No")</f>
        <v>No</v>
      </c>
      <c r="W146" s="5" t="str">
        <f t="shared" si="41"/>
        <v>No</v>
      </c>
      <c r="X146" s="5" t="str">
        <f t="shared" si="42"/>
        <v>No</v>
      </c>
      <c r="Y146" s="5" t="str">
        <f t="shared" si="43"/>
        <v>No</v>
      </c>
      <c r="Z146">
        <v>4</v>
      </c>
      <c r="AB146">
        <v>0</v>
      </c>
      <c r="AC146">
        <v>0</v>
      </c>
      <c r="AD146">
        <v>0</v>
      </c>
      <c r="AE146">
        <v>1</v>
      </c>
      <c r="AF146">
        <v>0</v>
      </c>
      <c r="AG146">
        <v>0</v>
      </c>
      <c r="AH146">
        <v>0</v>
      </c>
      <c r="AI146">
        <v>0</v>
      </c>
      <c r="AJ146">
        <v>0</v>
      </c>
      <c r="AK146">
        <v>1</v>
      </c>
      <c r="AM146">
        <v>1</v>
      </c>
      <c r="AN146">
        <v>1</v>
      </c>
      <c r="AO146">
        <v>0</v>
      </c>
      <c r="AP146">
        <v>10</v>
      </c>
      <c r="AQ146">
        <v>20</v>
      </c>
      <c r="AS146">
        <v>10</v>
      </c>
      <c r="AT146">
        <v>20</v>
      </c>
      <c r="AV146">
        <v>1</v>
      </c>
      <c r="AW146">
        <v>1</v>
      </c>
      <c r="AX146">
        <v>0</v>
      </c>
      <c r="AY146">
        <v>0</v>
      </c>
      <c r="AZ146">
        <v>0</v>
      </c>
      <c r="BA146">
        <v>0</v>
      </c>
      <c r="BC146">
        <v>2</v>
      </c>
      <c r="BE146">
        <v>1</v>
      </c>
      <c r="BG146">
        <v>1</v>
      </c>
      <c r="BH146">
        <v>1</v>
      </c>
      <c r="BI146">
        <v>3</v>
      </c>
      <c r="BJ146">
        <v>1</v>
      </c>
      <c r="BK146">
        <v>2</v>
      </c>
      <c r="BL146">
        <v>1</v>
      </c>
      <c r="BM146">
        <v>1</v>
      </c>
      <c r="BN146">
        <v>1</v>
      </c>
      <c r="BO146">
        <v>0</v>
      </c>
      <c r="BP146">
        <v>0</v>
      </c>
      <c r="BQ146">
        <v>0</v>
      </c>
      <c r="BR146">
        <v>0</v>
      </c>
      <c r="BS146">
        <v>0</v>
      </c>
      <c r="BT146">
        <v>1</v>
      </c>
      <c r="BU146" t="s">
        <v>850</v>
      </c>
      <c r="BV146">
        <v>0</v>
      </c>
      <c r="BW146">
        <v>0</v>
      </c>
      <c r="BX146">
        <v>0</v>
      </c>
      <c r="BY146">
        <v>0</v>
      </c>
      <c r="BZ146">
        <v>1</v>
      </c>
      <c r="CA146">
        <v>0</v>
      </c>
      <c r="CB146">
        <v>0</v>
      </c>
      <c r="CC146">
        <v>0</v>
      </c>
      <c r="CD146">
        <v>0</v>
      </c>
      <c r="CE146">
        <v>0</v>
      </c>
      <c r="CF146">
        <v>0</v>
      </c>
      <c r="CG146">
        <v>0</v>
      </c>
      <c r="CH146">
        <v>0</v>
      </c>
      <c r="CI146">
        <v>0</v>
      </c>
      <c r="CJ146">
        <v>0</v>
      </c>
      <c r="CK146">
        <v>0</v>
      </c>
      <c r="CL146">
        <v>0</v>
      </c>
      <c r="CN146">
        <v>15</v>
      </c>
      <c r="CO146">
        <v>1</v>
      </c>
      <c r="CP146" t="s">
        <v>851</v>
      </c>
      <c r="CQ146">
        <v>4</v>
      </c>
      <c r="CR146">
        <v>4</v>
      </c>
      <c r="EB146">
        <v>0</v>
      </c>
      <c r="EC146">
        <v>0</v>
      </c>
      <c r="ED146">
        <v>0</v>
      </c>
      <c r="EE146">
        <v>0</v>
      </c>
      <c r="EF146">
        <v>1</v>
      </c>
      <c r="EG146">
        <v>1</v>
      </c>
      <c r="EH146">
        <v>0</v>
      </c>
      <c r="EI146">
        <v>0</v>
      </c>
      <c r="EJ146">
        <v>0</v>
      </c>
      <c r="EK146">
        <v>0</v>
      </c>
      <c r="EM146">
        <v>0</v>
      </c>
      <c r="EN146">
        <v>1</v>
      </c>
      <c r="EO146">
        <v>0</v>
      </c>
      <c r="EP146">
        <v>1</v>
      </c>
      <c r="EQ146">
        <v>0</v>
      </c>
      <c r="ER146">
        <v>0</v>
      </c>
      <c r="ES146">
        <v>0</v>
      </c>
      <c r="ET146">
        <v>0</v>
      </c>
      <c r="EU146">
        <v>0</v>
      </c>
      <c r="EV146">
        <v>0</v>
      </c>
      <c r="EW146">
        <v>0</v>
      </c>
      <c r="EX146">
        <v>0</v>
      </c>
      <c r="EY146">
        <v>0</v>
      </c>
      <c r="FB146" t="s">
        <v>421</v>
      </c>
      <c r="FC146">
        <v>1</v>
      </c>
      <c r="FD146">
        <v>0</v>
      </c>
      <c r="FE146">
        <v>0</v>
      </c>
      <c r="FF146">
        <v>0</v>
      </c>
      <c r="FG146">
        <v>0</v>
      </c>
      <c r="FH146">
        <v>0</v>
      </c>
      <c r="FI146">
        <v>0</v>
      </c>
      <c r="FJ146">
        <v>0</v>
      </c>
      <c r="FK146">
        <v>0</v>
      </c>
      <c r="FL146">
        <v>0</v>
      </c>
      <c r="FM146">
        <v>0</v>
      </c>
      <c r="FN146">
        <v>0</v>
      </c>
      <c r="FO146">
        <v>0</v>
      </c>
      <c r="FP146">
        <v>0</v>
      </c>
      <c r="FQ146">
        <v>0</v>
      </c>
      <c r="FR146">
        <v>0</v>
      </c>
      <c r="FS146">
        <v>0</v>
      </c>
      <c r="FT146">
        <v>0</v>
      </c>
      <c r="FU146">
        <v>0</v>
      </c>
      <c r="FV146">
        <v>0</v>
      </c>
      <c r="FW146">
        <v>0</v>
      </c>
      <c r="FX146">
        <v>0</v>
      </c>
      <c r="IZ146">
        <v>1</v>
      </c>
      <c r="JA146">
        <v>1</v>
      </c>
      <c r="JB146">
        <v>0</v>
      </c>
      <c r="JC146">
        <v>0</v>
      </c>
      <c r="JD146">
        <v>0</v>
      </c>
      <c r="JE146">
        <v>0</v>
      </c>
      <c r="JF146">
        <v>0</v>
      </c>
      <c r="JG146">
        <v>1</v>
      </c>
      <c r="JH146">
        <v>0</v>
      </c>
      <c r="JI146">
        <v>0</v>
      </c>
      <c r="JJ146">
        <v>0</v>
      </c>
      <c r="JL146">
        <v>2</v>
      </c>
      <c r="JM146" cm="1">
        <f t="array" ref="JM146">IF(OR(JN146:JQ146 &lt;&gt; ""), 1, 0)</f>
        <v>0</v>
      </c>
    </row>
    <row r="147" spans="1:278" x14ac:dyDescent="0.35">
      <c r="A147">
        <v>405450</v>
      </c>
      <c r="C147">
        <v>1</v>
      </c>
      <c r="D147" t="s">
        <v>852</v>
      </c>
      <c r="E147" t="str">
        <f>_xlfn.XLOOKUP(I147, [1]SchoolDistrictStudyWODuplicates!$K:$K, [1]SchoolDistrictStudyWODuplicates!$E:$E, "")</f>
        <v/>
      </c>
      <c r="G147" t="s">
        <v>853</v>
      </c>
      <c r="H147" s="5" t="e">
        <f>_xlfn.XLOOKUP(A147,#REF!,#REF!, "No")</f>
        <v>#REF!</v>
      </c>
      <c r="I147" s="7">
        <v>3607590</v>
      </c>
      <c r="J147" s="5" t="e">
        <f>_xlfn.XLOOKUP(I147,#REF!,#REF!,"Not Determined")</f>
        <v>#REF!</v>
      </c>
      <c r="K147" s="5" t="s">
        <v>906</v>
      </c>
      <c r="L147" t="s">
        <v>854</v>
      </c>
      <c r="M147" s="13" t="e">
        <f>_xlfn.XLOOKUP(I147,#REF!,#REF!, "No")</f>
        <v>#REF!</v>
      </c>
      <c r="N147" s="5" t="str">
        <f t="shared" si="33"/>
        <v>No</v>
      </c>
      <c r="O147" s="5" t="str">
        <f t="shared" si="34"/>
        <v>Yes</v>
      </c>
      <c r="P147" s="5" t="str">
        <f t="shared" si="35"/>
        <v>Yes</v>
      </c>
      <c r="Q147" s="5" t="str">
        <f t="shared" si="36"/>
        <v>Yes</v>
      </c>
      <c r="R147" s="5" t="str">
        <f t="shared" si="37"/>
        <v>Yes</v>
      </c>
      <c r="S147" s="5" t="str">
        <f t="shared" si="38"/>
        <v>Yes</v>
      </c>
      <c r="T147" s="5" t="str">
        <f t="shared" si="39"/>
        <v>Yes</v>
      </c>
      <c r="U147" s="5" t="str">
        <f t="shared" si="40"/>
        <v>Yes</v>
      </c>
      <c r="V147" s="5" t="str" cm="1">
        <f t="array" ref="V147">IF(OR(DB147:DG147 =1), "Yes", "No")</f>
        <v>No</v>
      </c>
      <c r="W147" s="5" t="str">
        <f t="shared" si="41"/>
        <v>Yes</v>
      </c>
      <c r="X147" s="5" t="str">
        <f t="shared" si="42"/>
        <v>No</v>
      </c>
      <c r="Y147" s="5" t="str">
        <f t="shared" si="43"/>
        <v>No</v>
      </c>
      <c r="Z147">
        <v>4</v>
      </c>
      <c r="AB147">
        <v>0</v>
      </c>
      <c r="AC147">
        <v>0</v>
      </c>
      <c r="AD147">
        <v>0</v>
      </c>
      <c r="AE147">
        <v>1</v>
      </c>
      <c r="AF147">
        <v>1</v>
      </c>
      <c r="AG147">
        <v>1</v>
      </c>
      <c r="AH147">
        <v>0</v>
      </c>
      <c r="AI147">
        <v>0</v>
      </c>
      <c r="AJ147">
        <v>0</v>
      </c>
      <c r="AK147">
        <v>1</v>
      </c>
      <c r="AM147">
        <v>1</v>
      </c>
      <c r="AN147">
        <v>0</v>
      </c>
      <c r="AO147">
        <v>1</v>
      </c>
      <c r="AP147">
        <v>26</v>
      </c>
      <c r="AR147">
        <v>55</v>
      </c>
      <c r="AS147">
        <v>26</v>
      </c>
      <c r="AU147">
        <v>55</v>
      </c>
      <c r="AV147">
        <v>1</v>
      </c>
      <c r="AW147">
        <v>1</v>
      </c>
      <c r="AX147">
        <v>0</v>
      </c>
      <c r="AY147">
        <v>0</v>
      </c>
      <c r="AZ147">
        <v>0</v>
      </c>
      <c r="BA147">
        <v>0</v>
      </c>
      <c r="BC147">
        <v>1</v>
      </c>
      <c r="BE147">
        <v>4</v>
      </c>
      <c r="BG147">
        <v>1</v>
      </c>
      <c r="BH147">
        <v>1</v>
      </c>
      <c r="BI147">
        <v>4</v>
      </c>
      <c r="BJ147">
        <v>1</v>
      </c>
      <c r="BK147">
        <v>2</v>
      </c>
      <c r="BL147">
        <v>1</v>
      </c>
      <c r="BM147">
        <v>1</v>
      </c>
      <c r="BN147">
        <v>2</v>
      </c>
      <c r="BV147">
        <v>0</v>
      </c>
      <c r="BW147">
        <v>0</v>
      </c>
      <c r="BX147">
        <v>0</v>
      </c>
      <c r="BY147">
        <v>0</v>
      </c>
      <c r="BZ147">
        <v>0</v>
      </c>
      <c r="CA147">
        <v>0</v>
      </c>
      <c r="CB147">
        <v>0</v>
      </c>
      <c r="CC147">
        <v>0</v>
      </c>
      <c r="CD147">
        <v>0</v>
      </c>
      <c r="CE147">
        <v>0</v>
      </c>
      <c r="CF147">
        <v>0</v>
      </c>
      <c r="CG147">
        <v>0</v>
      </c>
      <c r="CH147">
        <v>0</v>
      </c>
      <c r="CI147">
        <v>0</v>
      </c>
      <c r="CJ147">
        <v>0</v>
      </c>
      <c r="CK147">
        <v>1</v>
      </c>
      <c r="CL147">
        <v>0</v>
      </c>
      <c r="CN147">
        <v>16</v>
      </c>
      <c r="CO147">
        <v>3</v>
      </c>
      <c r="CP147" t="s">
        <v>855</v>
      </c>
      <c r="CQ147">
        <v>3</v>
      </c>
      <c r="CR147">
        <v>3</v>
      </c>
      <c r="EB147">
        <v>1</v>
      </c>
      <c r="EC147">
        <v>0</v>
      </c>
      <c r="ED147">
        <v>0</v>
      </c>
      <c r="EE147">
        <v>0</v>
      </c>
      <c r="EF147">
        <v>0</v>
      </c>
      <c r="EG147">
        <v>1</v>
      </c>
      <c r="EH147">
        <v>0</v>
      </c>
      <c r="EI147">
        <v>0</v>
      </c>
      <c r="EJ147">
        <v>1</v>
      </c>
      <c r="EK147">
        <v>0</v>
      </c>
      <c r="EL147" t="s">
        <v>856</v>
      </c>
      <c r="EM147">
        <v>0</v>
      </c>
      <c r="EN147">
        <v>1</v>
      </c>
      <c r="EO147">
        <v>0</v>
      </c>
      <c r="EP147">
        <v>1</v>
      </c>
      <c r="EQ147">
        <v>1</v>
      </c>
      <c r="ER147">
        <v>0</v>
      </c>
      <c r="ES147">
        <v>0</v>
      </c>
      <c r="ET147">
        <v>1</v>
      </c>
      <c r="EU147">
        <v>0</v>
      </c>
      <c r="EV147">
        <v>0</v>
      </c>
      <c r="EW147">
        <v>1</v>
      </c>
      <c r="EX147">
        <v>0</v>
      </c>
      <c r="EY147">
        <v>0</v>
      </c>
      <c r="FB147" t="s">
        <v>857</v>
      </c>
      <c r="FC147">
        <v>1</v>
      </c>
      <c r="FD147">
        <v>0</v>
      </c>
      <c r="FE147">
        <v>0</v>
      </c>
      <c r="FF147">
        <v>0</v>
      </c>
      <c r="FG147">
        <v>0</v>
      </c>
      <c r="FH147">
        <v>0</v>
      </c>
      <c r="FI147">
        <v>0</v>
      </c>
      <c r="FJ147">
        <v>0</v>
      </c>
      <c r="FK147">
        <v>0</v>
      </c>
      <c r="FL147">
        <v>0</v>
      </c>
      <c r="FM147">
        <v>0</v>
      </c>
      <c r="FN147">
        <v>0</v>
      </c>
      <c r="FO147">
        <v>0</v>
      </c>
      <c r="FP147">
        <v>0</v>
      </c>
      <c r="FQ147">
        <v>0</v>
      </c>
      <c r="FR147">
        <v>0</v>
      </c>
      <c r="FS147">
        <v>0</v>
      </c>
      <c r="FT147">
        <v>0</v>
      </c>
      <c r="FU147">
        <v>0</v>
      </c>
      <c r="FV147">
        <v>0</v>
      </c>
      <c r="FW147">
        <v>0</v>
      </c>
      <c r="FX147">
        <v>0</v>
      </c>
      <c r="IZ147">
        <v>1</v>
      </c>
      <c r="JA147">
        <v>0</v>
      </c>
      <c r="JB147">
        <v>0</v>
      </c>
      <c r="JC147">
        <v>1</v>
      </c>
      <c r="JD147">
        <v>1</v>
      </c>
      <c r="JE147">
        <v>0</v>
      </c>
      <c r="JF147">
        <v>0</v>
      </c>
      <c r="JG147">
        <v>0</v>
      </c>
      <c r="JH147">
        <v>0</v>
      </c>
      <c r="JI147">
        <v>0</v>
      </c>
      <c r="JJ147">
        <v>0</v>
      </c>
      <c r="JL147">
        <v>1</v>
      </c>
      <c r="JM147" cm="1">
        <f t="array" ref="JM147">IF(OR(JN147:JQ147 &lt;&gt; ""), 1, 0)</f>
        <v>1</v>
      </c>
      <c r="JN147">
        <v>0</v>
      </c>
      <c r="JO147">
        <v>0</v>
      </c>
      <c r="JP147">
        <v>1</v>
      </c>
      <c r="JQ147">
        <v>0</v>
      </c>
    </row>
    <row r="148" spans="1:278" x14ac:dyDescent="0.35">
      <c r="A148">
        <v>405326</v>
      </c>
      <c r="C148">
        <v>1</v>
      </c>
      <c r="D148" t="s">
        <v>858</v>
      </c>
      <c r="E148" t="str">
        <f>_xlfn.XLOOKUP(I148, [1]SchoolDistrictStudyWODuplicates!$K:$K, [1]SchoolDistrictStudyWODuplicates!$E:$E, "")</f>
        <v/>
      </c>
      <c r="G148" t="s">
        <v>859</v>
      </c>
      <c r="H148" s="5" t="e">
        <f>_xlfn.XLOOKUP(A148,#REF!,#REF!, "No")</f>
        <v>#REF!</v>
      </c>
      <c r="I148" s="7">
        <v>3607860</v>
      </c>
      <c r="J148" s="5" t="e">
        <f>_xlfn.XLOOKUP(I148,#REF!,#REF!,"Not Determined")</f>
        <v>#REF!</v>
      </c>
      <c r="K148" s="5" t="s">
        <v>906</v>
      </c>
      <c r="L148" t="s">
        <v>854</v>
      </c>
      <c r="M148" s="13" t="e">
        <f>_xlfn.XLOOKUP(I148,#REF!,#REF!, "No")</f>
        <v>#REF!</v>
      </c>
      <c r="N148" s="5" t="str">
        <f t="shared" si="33"/>
        <v>No</v>
      </c>
      <c r="O148" s="5" t="str">
        <f t="shared" si="34"/>
        <v>Yes</v>
      </c>
      <c r="P148" s="5" t="str">
        <f t="shared" si="35"/>
        <v>No</v>
      </c>
      <c r="Q148" s="5" t="str">
        <f t="shared" si="36"/>
        <v>Yes</v>
      </c>
      <c r="R148" s="5" t="str">
        <f t="shared" si="37"/>
        <v>Yes</v>
      </c>
      <c r="S148" s="5" t="str">
        <f t="shared" si="38"/>
        <v>Yes</v>
      </c>
      <c r="T148" s="5" t="str">
        <f t="shared" si="39"/>
        <v>Yes</v>
      </c>
      <c r="U148" s="5" t="str">
        <f t="shared" si="40"/>
        <v>Yes</v>
      </c>
      <c r="V148" s="5" t="str" cm="1">
        <f t="array" ref="V148">IF(OR(DB148:DG148 =1), "Yes", "No")</f>
        <v>No</v>
      </c>
      <c r="W148" s="5" t="str">
        <f t="shared" si="41"/>
        <v>Yes</v>
      </c>
      <c r="X148" s="5" t="str">
        <f t="shared" si="42"/>
        <v>No</v>
      </c>
      <c r="Y148" s="5" t="str">
        <f t="shared" si="43"/>
        <v>No</v>
      </c>
      <c r="Z148">
        <v>3</v>
      </c>
      <c r="AB148">
        <v>0</v>
      </c>
      <c r="AC148">
        <v>0</v>
      </c>
      <c r="AD148">
        <v>1</v>
      </c>
      <c r="AE148">
        <v>0</v>
      </c>
      <c r="AF148">
        <v>0</v>
      </c>
      <c r="AG148">
        <v>1</v>
      </c>
      <c r="AH148">
        <v>0</v>
      </c>
      <c r="AI148">
        <v>0</v>
      </c>
      <c r="AJ148">
        <v>0</v>
      </c>
      <c r="AK148">
        <v>1</v>
      </c>
      <c r="AM148">
        <v>1</v>
      </c>
      <c r="AN148">
        <v>1</v>
      </c>
      <c r="AO148">
        <v>0</v>
      </c>
      <c r="AP148">
        <v>6</v>
      </c>
      <c r="AQ148">
        <v>19</v>
      </c>
      <c r="AS148">
        <v>6</v>
      </c>
      <c r="AT148">
        <v>19</v>
      </c>
      <c r="AV148">
        <v>1</v>
      </c>
      <c r="AW148">
        <v>1</v>
      </c>
      <c r="AX148">
        <v>0</v>
      </c>
      <c r="AY148">
        <v>0</v>
      </c>
      <c r="AZ148">
        <v>0</v>
      </c>
      <c r="BA148">
        <v>0</v>
      </c>
      <c r="BC148">
        <v>1</v>
      </c>
      <c r="BE148">
        <v>1</v>
      </c>
      <c r="BG148">
        <v>1</v>
      </c>
      <c r="BH148">
        <v>1</v>
      </c>
      <c r="BI148">
        <v>5</v>
      </c>
      <c r="BJ148">
        <v>2</v>
      </c>
      <c r="BL148">
        <v>2</v>
      </c>
      <c r="BM148">
        <v>2</v>
      </c>
      <c r="BN148">
        <v>1</v>
      </c>
      <c r="BO148">
        <v>0</v>
      </c>
      <c r="BP148">
        <v>0</v>
      </c>
      <c r="BQ148">
        <v>0</v>
      </c>
      <c r="BR148">
        <v>0</v>
      </c>
      <c r="BS148">
        <v>0</v>
      </c>
      <c r="BT148">
        <v>1</v>
      </c>
      <c r="BU148" t="s">
        <v>860</v>
      </c>
      <c r="BV148">
        <v>0</v>
      </c>
      <c r="BW148">
        <v>0</v>
      </c>
      <c r="BX148">
        <v>1</v>
      </c>
      <c r="BY148">
        <v>1</v>
      </c>
      <c r="BZ148">
        <v>0</v>
      </c>
      <c r="CA148">
        <v>0</v>
      </c>
      <c r="CB148">
        <v>0</v>
      </c>
      <c r="CC148">
        <v>0</v>
      </c>
      <c r="CD148">
        <v>0</v>
      </c>
      <c r="CE148">
        <v>0</v>
      </c>
      <c r="CF148">
        <v>0</v>
      </c>
      <c r="CG148">
        <v>0</v>
      </c>
      <c r="CH148">
        <v>0</v>
      </c>
      <c r="CI148">
        <v>0</v>
      </c>
      <c r="CJ148">
        <v>0</v>
      </c>
      <c r="CK148">
        <v>0</v>
      </c>
      <c r="CL148">
        <v>0</v>
      </c>
      <c r="CN148">
        <v>15</v>
      </c>
      <c r="CO148">
        <v>3</v>
      </c>
      <c r="CP148" t="s">
        <v>861</v>
      </c>
      <c r="CQ148">
        <v>4</v>
      </c>
      <c r="CR148">
        <v>4</v>
      </c>
      <c r="EB148">
        <v>0</v>
      </c>
      <c r="EC148">
        <v>1</v>
      </c>
      <c r="ED148">
        <v>0</v>
      </c>
      <c r="EE148">
        <v>0</v>
      </c>
      <c r="EF148">
        <v>0</v>
      </c>
      <c r="EG148">
        <v>1</v>
      </c>
      <c r="EH148">
        <v>0</v>
      </c>
      <c r="EI148">
        <v>0</v>
      </c>
      <c r="EJ148">
        <v>0</v>
      </c>
      <c r="EK148">
        <v>0</v>
      </c>
      <c r="EM148">
        <v>0</v>
      </c>
      <c r="EN148">
        <v>1</v>
      </c>
      <c r="EO148">
        <v>0</v>
      </c>
      <c r="EP148">
        <v>0</v>
      </c>
      <c r="EQ148">
        <v>1</v>
      </c>
      <c r="ER148">
        <v>0</v>
      </c>
      <c r="ES148">
        <v>0</v>
      </c>
      <c r="ET148">
        <v>1</v>
      </c>
      <c r="EU148">
        <v>1</v>
      </c>
      <c r="EV148">
        <v>1</v>
      </c>
      <c r="EW148">
        <v>1</v>
      </c>
      <c r="EX148">
        <v>0</v>
      </c>
      <c r="EY148">
        <v>0</v>
      </c>
      <c r="FB148" t="s">
        <v>862</v>
      </c>
      <c r="FC148">
        <v>1</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HC148" t="s">
        <v>863</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c r="IL148">
        <v>0</v>
      </c>
      <c r="IM148">
        <v>0</v>
      </c>
      <c r="IN148">
        <v>0</v>
      </c>
      <c r="IO148">
        <v>0</v>
      </c>
      <c r="IP148">
        <v>0</v>
      </c>
      <c r="IQ148">
        <v>0</v>
      </c>
      <c r="IR148">
        <v>0</v>
      </c>
      <c r="IS148">
        <v>0</v>
      </c>
      <c r="IT148">
        <v>0</v>
      </c>
      <c r="IU148">
        <v>0</v>
      </c>
      <c r="IV148">
        <v>0</v>
      </c>
      <c r="IW148">
        <v>1</v>
      </c>
      <c r="IZ148">
        <v>0</v>
      </c>
      <c r="JA148">
        <v>0</v>
      </c>
      <c r="JB148">
        <v>0</v>
      </c>
      <c r="JC148">
        <v>0</v>
      </c>
      <c r="JD148">
        <v>0</v>
      </c>
      <c r="JE148">
        <v>0</v>
      </c>
      <c r="JF148">
        <v>0</v>
      </c>
      <c r="JG148">
        <v>0</v>
      </c>
      <c r="JH148">
        <v>0</v>
      </c>
      <c r="JI148">
        <v>0</v>
      </c>
      <c r="JJ148">
        <v>1</v>
      </c>
      <c r="JL148">
        <v>1</v>
      </c>
      <c r="JM148" cm="1">
        <f t="array" ref="JM148">IF(OR(JN148:JQ148 &lt;&gt; ""), 1, 0)</f>
        <v>1</v>
      </c>
      <c r="JN148">
        <v>1</v>
      </c>
      <c r="JO148">
        <v>1</v>
      </c>
      <c r="JP148">
        <v>0</v>
      </c>
      <c r="JQ148">
        <v>0</v>
      </c>
    </row>
    <row r="149" spans="1:278" x14ac:dyDescent="0.35">
      <c r="A149">
        <v>405524</v>
      </c>
      <c r="C149">
        <v>1</v>
      </c>
      <c r="D149" t="s">
        <v>864</v>
      </c>
      <c r="E149" t="str">
        <f>_xlfn.XLOOKUP(I149, [1]SchoolDistrictStudyWODuplicates!$K:$K, [1]SchoolDistrictStudyWODuplicates!$E:$E, "")</f>
        <v/>
      </c>
      <c r="G149" t="s">
        <v>865</v>
      </c>
      <c r="H149" s="7">
        <v>3600001</v>
      </c>
      <c r="I149" s="7">
        <v>3600001</v>
      </c>
      <c r="J149" s="5" t="e">
        <f>_xlfn.XLOOKUP(I149,#REF!,#REF!,"Not Determined")</f>
        <v>#REF!</v>
      </c>
      <c r="K149" s="5" t="s">
        <v>906</v>
      </c>
      <c r="L149" t="s">
        <v>849</v>
      </c>
      <c r="M149" s="13" t="e">
        <f>_xlfn.XLOOKUP(I149,#REF!,#REF!, "No")</f>
        <v>#REF!</v>
      </c>
      <c r="N149" s="5" t="str">
        <f t="shared" si="33"/>
        <v>No</v>
      </c>
      <c r="O149" s="5" t="str">
        <f t="shared" si="34"/>
        <v>Yes</v>
      </c>
      <c r="P149" s="5" t="str">
        <f t="shared" si="35"/>
        <v>Yes</v>
      </c>
      <c r="Q149" s="5" t="str">
        <f t="shared" si="36"/>
        <v>Yes</v>
      </c>
      <c r="R149" s="5" t="str">
        <f t="shared" si="37"/>
        <v>No</v>
      </c>
      <c r="S149" s="5" t="str">
        <f t="shared" si="38"/>
        <v>Yes</v>
      </c>
      <c r="T149" s="5" t="str">
        <f t="shared" si="39"/>
        <v>No</v>
      </c>
      <c r="U149" s="5" t="str">
        <f t="shared" si="40"/>
        <v>No</v>
      </c>
      <c r="V149" s="5" t="str" cm="1">
        <f t="array" ref="V149">IF(OR(DB149:DG149 =1), "Yes", "No")</f>
        <v>No</v>
      </c>
      <c r="W149" s="5" t="str">
        <f t="shared" si="41"/>
        <v>No</v>
      </c>
      <c r="X149" s="5" t="str">
        <f t="shared" si="42"/>
        <v>No</v>
      </c>
      <c r="Y149" s="5" t="str">
        <f t="shared" si="43"/>
        <v>No</v>
      </c>
      <c r="Z149">
        <v>4</v>
      </c>
      <c r="AB149">
        <v>1</v>
      </c>
      <c r="AC149">
        <v>0</v>
      </c>
      <c r="AD149">
        <v>0</v>
      </c>
      <c r="AE149">
        <v>0</v>
      </c>
      <c r="AF149">
        <v>0</v>
      </c>
      <c r="AG149">
        <v>0</v>
      </c>
      <c r="AH149">
        <v>0</v>
      </c>
      <c r="AI149">
        <v>0</v>
      </c>
      <c r="AJ149">
        <v>0</v>
      </c>
      <c r="AK149">
        <v>1</v>
      </c>
      <c r="AM149">
        <v>0</v>
      </c>
      <c r="AN149">
        <v>1</v>
      </c>
      <c r="AO149">
        <v>0</v>
      </c>
      <c r="AQ149">
        <v>12</v>
      </c>
      <c r="AT149">
        <v>12</v>
      </c>
      <c r="AV149">
        <v>1</v>
      </c>
      <c r="AW149">
        <v>0</v>
      </c>
      <c r="AX149">
        <v>0</v>
      </c>
      <c r="AY149">
        <v>0</v>
      </c>
      <c r="AZ149">
        <v>0</v>
      </c>
      <c r="BA149">
        <v>0</v>
      </c>
      <c r="BC149">
        <v>1</v>
      </c>
      <c r="BE149">
        <v>1</v>
      </c>
      <c r="BG149">
        <v>1</v>
      </c>
      <c r="BH149">
        <v>1</v>
      </c>
      <c r="BI149">
        <v>2</v>
      </c>
      <c r="BJ149">
        <v>1</v>
      </c>
      <c r="BK149">
        <v>3</v>
      </c>
      <c r="BL149">
        <v>1</v>
      </c>
      <c r="BM149">
        <v>1</v>
      </c>
      <c r="BN149">
        <v>1</v>
      </c>
      <c r="BO149">
        <v>0</v>
      </c>
      <c r="BP149">
        <v>0</v>
      </c>
      <c r="BQ149">
        <v>0</v>
      </c>
      <c r="BR149">
        <v>0</v>
      </c>
      <c r="BS149">
        <v>0</v>
      </c>
      <c r="BT149">
        <v>1</v>
      </c>
      <c r="BU149" t="s">
        <v>866</v>
      </c>
      <c r="BV149">
        <v>0</v>
      </c>
      <c r="BW149">
        <v>0</v>
      </c>
      <c r="BX149">
        <v>1</v>
      </c>
      <c r="BY149">
        <v>1</v>
      </c>
      <c r="BZ149">
        <v>1</v>
      </c>
      <c r="CA149">
        <v>0</v>
      </c>
      <c r="CB149">
        <v>0</v>
      </c>
      <c r="CC149">
        <v>1</v>
      </c>
      <c r="CD149">
        <v>1</v>
      </c>
      <c r="CE149">
        <v>0</v>
      </c>
      <c r="CF149">
        <v>1</v>
      </c>
      <c r="CG149">
        <v>0</v>
      </c>
      <c r="CH149">
        <v>0</v>
      </c>
      <c r="CI149">
        <v>0</v>
      </c>
      <c r="CJ149">
        <v>0</v>
      </c>
      <c r="CK149">
        <v>0</v>
      </c>
      <c r="CL149">
        <v>1</v>
      </c>
      <c r="CM149" t="s">
        <v>867</v>
      </c>
      <c r="CN149">
        <v>5</v>
      </c>
      <c r="CO149">
        <v>2</v>
      </c>
      <c r="CP149" t="s">
        <v>868</v>
      </c>
      <c r="CQ149">
        <v>6</v>
      </c>
      <c r="CR149">
        <v>1</v>
      </c>
      <c r="JM149" cm="1">
        <f t="array" ref="JM149">IF(OR(JN149:JQ149 &lt;&gt; ""), 1, 0)</f>
        <v>0</v>
      </c>
    </row>
    <row r="150" spans="1:278" x14ac:dyDescent="0.35">
      <c r="A150">
        <v>347465</v>
      </c>
      <c r="C150">
        <v>1</v>
      </c>
      <c r="D150" t="s">
        <v>869</v>
      </c>
      <c r="E150" t="str">
        <f>_xlfn.XLOOKUP(I150, [1]SchoolDistrictStudyWODuplicates!$K:$K, [1]SchoolDistrictStudyWODuplicates!$E:$E, "")</f>
        <v>Marion Central school</v>
      </c>
      <c r="G150" t="s">
        <v>870</v>
      </c>
      <c r="H150" s="7">
        <v>3618540</v>
      </c>
      <c r="I150" s="7">
        <v>3618540</v>
      </c>
      <c r="J150" s="5" t="e">
        <f>_xlfn.XLOOKUP(I150,#REF!,#REF!,"Not Determined")</f>
        <v>#REF!</v>
      </c>
      <c r="K150" s="5" t="s">
        <v>906</v>
      </c>
      <c r="L150" t="s">
        <v>849</v>
      </c>
      <c r="M150" s="13" t="e">
        <f>_xlfn.XLOOKUP(I150,#REF!,#REF!, "No")</f>
        <v>#REF!</v>
      </c>
      <c r="N150" s="5" t="str">
        <f t="shared" si="33"/>
        <v>No</v>
      </c>
      <c r="O150" s="5" t="str">
        <f t="shared" si="34"/>
        <v>Yes</v>
      </c>
      <c r="P150" s="5" t="str">
        <f t="shared" si="35"/>
        <v>Yes</v>
      </c>
      <c r="Q150" s="5" t="str">
        <f t="shared" si="36"/>
        <v>Yes</v>
      </c>
      <c r="R150" s="5" t="str">
        <f t="shared" si="37"/>
        <v>Yes</v>
      </c>
      <c r="S150" s="5" t="str">
        <f t="shared" si="38"/>
        <v>Yes</v>
      </c>
      <c r="T150" s="5" t="str">
        <f t="shared" si="39"/>
        <v>Yes</v>
      </c>
      <c r="U150" s="5" t="str">
        <f t="shared" si="40"/>
        <v>Yes</v>
      </c>
      <c r="V150" s="5" t="str" cm="1">
        <f t="array" ref="V150">IF(OR(DB150:DG150 =1), "Yes", "No")</f>
        <v>No</v>
      </c>
      <c r="W150" s="5" t="str">
        <f t="shared" si="41"/>
        <v>Yes</v>
      </c>
      <c r="X150" s="5" t="str">
        <f t="shared" si="42"/>
        <v>No</v>
      </c>
      <c r="Y150" s="5" t="str">
        <f t="shared" si="43"/>
        <v>No</v>
      </c>
      <c r="Z150">
        <v>6</v>
      </c>
      <c r="AB150">
        <v>0</v>
      </c>
      <c r="AC150">
        <v>0</v>
      </c>
      <c r="AD150">
        <v>1</v>
      </c>
      <c r="AE150">
        <v>0</v>
      </c>
      <c r="AF150">
        <v>1</v>
      </c>
      <c r="AG150">
        <v>1</v>
      </c>
      <c r="AH150">
        <v>0</v>
      </c>
      <c r="AI150">
        <v>1</v>
      </c>
      <c r="AJ150">
        <v>0</v>
      </c>
      <c r="AK150">
        <v>1</v>
      </c>
      <c r="AM150">
        <v>1</v>
      </c>
      <c r="AN150">
        <v>1</v>
      </c>
      <c r="AO150">
        <v>0</v>
      </c>
      <c r="AP150">
        <v>11</v>
      </c>
      <c r="AQ150">
        <v>13</v>
      </c>
      <c r="AS150">
        <v>11</v>
      </c>
      <c r="AT150">
        <v>13</v>
      </c>
      <c r="AV150">
        <v>1</v>
      </c>
      <c r="AW150">
        <v>1</v>
      </c>
      <c r="AX150">
        <v>0</v>
      </c>
      <c r="AY150">
        <v>0</v>
      </c>
      <c r="AZ150">
        <v>0</v>
      </c>
      <c r="BA150">
        <v>0</v>
      </c>
      <c r="BC150">
        <v>1</v>
      </c>
      <c r="BE150">
        <v>1</v>
      </c>
      <c r="BG150">
        <v>1</v>
      </c>
      <c r="BH150">
        <v>1</v>
      </c>
      <c r="BI150">
        <v>3</v>
      </c>
      <c r="BJ150">
        <v>2</v>
      </c>
      <c r="BL150">
        <v>2</v>
      </c>
      <c r="BM150">
        <v>1</v>
      </c>
      <c r="BN150">
        <v>1</v>
      </c>
      <c r="BO150">
        <v>1</v>
      </c>
      <c r="BP150">
        <v>0</v>
      </c>
      <c r="BQ150">
        <v>0</v>
      </c>
      <c r="BR150">
        <v>1</v>
      </c>
      <c r="BS150">
        <v>0</v>
      </c>
      <c r="BT150">
        <v>0</v>
      </c>
      <c r="BV150">
        <v>0</v>
      </c>
      <c r="BW150">
        <v>0</v>
      </c>
      <c r="BX150">
        <v>0</v>
      </c>
      <c r="BY150">
        <v>0</v>
      </c>
      <c r="BZ150">
        <v>0</v>
      </c>
      <c r="CA150">
        <v>0</v>
      </c>
      <c r="CB150">
        <v>0</v>
      </c>
      <c r="CC150">
        <v>1</v>
      </c>
      <c r="CD150">
        <v>1</v>
      </c>
      <c r="CE150">
        <v>0</v>
      </c>
      <c r="CF150">
        <v>0</v>
      </c>
      <c r="CG150">
        <v>0</v>
      </c>
      <c r="CH150">
        <v>0</v>
      </c>
      <c r="CI150">
        <v>1</v>
      </c>
      <c r="CJ150">
        <v>0</v>
      </c>
      <c r="CK150">
        <v>0</v>
      </c>
      <c r="CL150">
        <v>0</v>
      </c>
      <c r="CN150">
        <v>8</v>
      </c>
      <c r="CO150">
        <v>1</v>
      </c>
      <c r="CP150" t="s">
        <v>871</v>
      </c>
      <c r="CQ150">
        <v>3</v>
      </c>
      <c r="CR150">
        <v>4</v>
      </c>
      <c r="EB150">
        <v>0</v>
      </c>
      <c r="EC150">
        <v>0</v>
      </c>
      <c r="ED150">
        <v>1</v>
      </c>
      <c r="EE150">
        <v>1</v>
      </c>
      <c r="EF150">
        <v>0</v>
      </c>
      <c r="EG150">
        <v>1</v>
      </c>
      <c r="EH150">
        <v>0</v>
      </c>
      <c r="EI150">
        <v>1</v>
      </c>
      <c r="EJ150">
        <v>0</v>
      </c>
      <c r="EK150">
        <v>0</v>
      </c>
      <c r="EM150">
        <v>0</v>
      </c>
      <c r="EN150">
        <v>1</v>
      </c>
      <c r="EO150">
        <v>0</v>
      </c>
      <c r="EP150">
        <v>0</v>
      </c>
      <c r="EQ150">
        <v>1</v>
      </c>
      <c r="ER150">
        <v>0</v>
      </c>
      <c r="ES150">
        <v>1</v>
      </c>
      <c r="ET150">
        <v>0</v>
      </c>
      <c r="EU150">
        <v>1</v>
      </c>
      <c r="EV150">
        <v>1</v>
      </c>
      <c r="EW150">
        <v>1</v>
      </c>
      <c r="EX150">
        <v>0</v>
      </c>
      <c r="EY150">
        <v>0</v>
      </c>
      <c r="FB150" t="s">
        <v>857</v>
      </c>
      <c r="FC150">
        <v>1</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v>0</v>
      </c>
      <c r="FW150">
        <v>0</v>
      </c>
      <c r="FX150">
        <v>0</v>
      </c>
      <c r="GS150" t="s">
        <v>872</v>
      </c>
      <c r="GT150">
        <v>1</v>
      </c>
      <c r="GU150">
        <v>0</v>
      </c>
      <c r="GV150">
        <v>0</v>
      </c>
      <c r="GW150">
        <v>0</v>
      </c>
      <c r="GX150">
        <v>0</v>
      </c>
      <c r="GY150">
        <v>0</v>
      </c>
      <c r="GZ150">
        <v>0</v>
      </c>
      <c r="HA150">
        <v>0</v>
      </c>
      <c r="HB150">
        <v>0</v>
      </c>
      <c r="HC150" t="s">
        <v>873</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c r="IL150">
        <v>0</v>
      </c>
      <c r="IM150">
        <v>0</v>
      </c>
      <c r="IN150">
        <v>0</v>
      </c>
      <c r="IO150">
        <v>0</v>
      </c>
      <c r="IP150">
        <v>0</v>
      </c>
      <c r="IQ150">
        <v>0</v>
      </c>
      <c r="IR150">
        <v>0</v>
      </c>
      <c r="IS150">
        <v>0</v>
      </c>
      <c r="IT150">
        <v>0</v>
      </c>
      <c r="IU150">
        <v>0</v>
      </c>
      <c r="IV150">
        <v>0</v>
      </c>
      <c r="IW150">
        <v>1</v>
      </c>
      <c r="IZ150">
        <v>1</v>
      </c>
      <c r="JA150">
        <v>1</v>
      </c>
      <c r="JB150">
        <v>1</v>
      </c>
      <c r="JC150">
        <v>0</v>
      </c>
      <c r="JD150">
        <v>0</v>
      </c>
      <c r="JE150">
        <v>0</v>
      </c>
      <c r="JF150">
        <v>0</v>
      </c>
      <c r="JG150">
        <v>0</v>
      </c>
      <c r="JH150">
        <v>0</v>
      </c>
      <c r="JI150">
        <v>0</v>
      </c>
      <c r="JJ150">
        <v>0</v>
      </c>
      <c r="JL150">
        <v>1</v>
      </c>
      <c r="JM150" cm="1">
        <f t="array" ref="JM150">IF(OR(JN150:JQ150 &lt;&gt; ""), 1, 0)</f>
        <v>1</v>
      </c>
      <c r="JN150">
        <v>1</v>
      </c>
      <c r="JO150">
        <v>1</v>
      </c>
      <c r="JP150">
        <v>1</v>
      </c>
      <c r="JQ150">
        <v>0</v>
      </c>
    </row>
    <row r="151" spans="1:278" x14ac:dyDescent="0.35">
      <c r="A151">
        <v>405457</v>
      </c>
      <c r="C151">
        <v>1</v>
      </c>
      <c r="D151" t="s">
        <v>874</v>
      </c>
      <c r="E151" t="str">
        <f>_xlfn.XLOOKUP(I151, [1]SchoolDistrictStudyWODuplicates!$K:$K, [1]SchoolDistrictStudyWODuplicates!$E:$E, "")</f>
        <v/>
      </c>
      <c r="G151" t="s">
        <v>875</v>
      </c>
      <c r="H151" s="7">
        <v>3629610</v>
      </c>
      <c r="I151" s="7">
        <v>3629610</v>
      </c>
      <c r="J151" s="5" t="e">
        <f>_xlfn.XLOOKUP(I151,#REF!,#REF!,"Not Determined")</f>
        <v>#REF!</v>
      </c>
      <c r="K151" s="5" t="s">
        <v>906</v>
      </c>
      <c r="L151" t="s">
        <v>849</v>
      </c>
      <c r="M151" s="13" t="e">
        <f>_xlfn.XLOOKUP(I151,#REF!,#REF!, "No")</f>
        <v>#REF!</v>
      </c>
      <c r="N151" s="5" t="str">
        <f t="shared" si="33"/>
        <v>No</v>
      </c>
      <c r="O151" s="5" t="str">
        <f t="shared" si="34"/>
        <v>Yes</v>
      </c>
      <c r="P151" s="5" t="str">
        <f t="shared" si="35"/>
        <v>Yes</v>
      </c>
      <c r="Q151" s="5" t="str">
        <f t="shared" si="36"/>
        <v>Yes</v>
      </c>
      <c r="R151" s="5" t="str">
        <f t="shared" si="37"/>
        <v>Yes</v>
      </c>
      <c r="S151" s="5" t="str">
        <f t="shared" si="38"/>
        <v>Yes</v>
      </c>
      <c r="T151" s="5" t="str">
        <f t="shared" si="39"/>
        <v>Yes</v>
      </c>
      <c r="U151" s="5" t="str">
        <f t="shared" si="40"/>
        <v>Yes</v>
      </c>
      <c r="V151" s="5" t="str" cm="1">
        <f t="array" ref="V151">IF(OR(DB151:DG151 =1), "Yes", "No")</f>
        <v>No</v>
      </c>
      <c r="W151" s="5" t="str">
        <f t="shared" si="41"/>
        <v>Yes</v>
      </c>
      <c r="X151" s="5" t="str">
        <f t="shared" si="42"/>
        <v>No</v>
      </c>
      <c r="Y151" s="5" t="str">
        <f t="shared" si="43"/>
        <v>No</v>
      </c>
      <c r="Z151">
        <v>12</v>
      </c>
      <c r="AB151">
        <v>0</v>
      </c>
      <c r="AC151">
        <v>0</v>
      </c>
      <c r="AD151">
        <v>1</v>
      </c>
      <c r="AE151">
        <v>0</v>
      </c>
      <c r="AF151">
        <v>0</v>
      </c>
      <c r="AG151">
        <v>0</v>
      </c>
      <c r="AH151">
        <v>0</v>
      </c>
      <c r="AI151">
        <v>0</v>
      </c>
      <c r="AJ151">
        <v>0</v>
      </c>
      <c r="AK151">
        <v>1</v>
      </c>
      <c r="AM151">
        <v>1</v>
      </c>
      <c r="AN151">
        <v>1</v>
      </c>
      <c r="AO151">
        <v>0</v>
      </c>
      <c r="AP151">
        <v>15</v>
      </c>
      <c r="AQ151">
        <v>40</v>
      </c>
      <c r="AS151">
        <v>15</v>
      </c>
      <c r="AT151">
        <v>40</v>
      </c>
      <c r="AV151">
        <v>1</v>
      </c>
      <c r="AW151">
        <v>0</v>
      </c>
      <c r="AX151">
        <v>0</v>
      </c>
      <c r="AY151">
        <v>0</v>
      </c>
      <c r="AZ151">
        <v>0</v>
      </c>
      <c r="BA151">
        <v>0</v>
      </c>
      <c r="BC151">
        <v>1</v>
      </c>
      <c r="BE151">
        <v>1</v>
      </c>
      <c r="BG151">
        <v>1</v>
      </c>
      <c r="BH151">
        <v>1</v>
      </c>
      <c r="BI151">
        <v>5</v>
      </c>
      <c r="BJ151">
        <v>1</v>
      </c>
      <c r="BK151">
        <v>4</v>
      </c>
      <c r="BL151">
        <v>1</v>
      </c>
      <c r="BM151">
        <v>1</v>
      </c>
      <c r="BN151">
        <v>1</v>
      </c>
      <c r="BO151">
        <v>0</v>
      </c>
      <c r="BP151">
        <v>0</v>
      </c>
      <c r="BQ151">
        <v>0</v>
      </c>
      <c r="BR151">
        <v>0</v>
      </c>
      <c r="BS151">
        <v>0</v>
      </c>
      <c r="BT151">
        <v>1</v>
      </c>
      <c r="BU151" t="s">
        <v>876</v>
      </c>
      <c r="BV151">
        <v>0</v>
      </c>
      <c r="BW151">
        <v>0</v>
      </c>
      <c r="BX151">
        <v>0</v>
      </c>
      <c r="BY151">
        <v>0</v>
      </c>
      <c r="BZ151">
        <v>1</v>
      </c>
      <c r="CA151">
        <v>0</v>
      </c>
      <c r="CB151">
        <v>0</v>
      </c>
      <c r="CC151">
        <v>0</v>
      </c>
      <c r="CD151">
        <v>0</v>
      </c>
      <c r="CE151">
        <v>0</v>
      </c>
      <c r="CF151">
        <v>1</v>
      </c>
      <c r="CG151">
        <v>0</v>
      </c>
      <c r="CH151">
        <v>0</v>
      </c>
      <c r="CI151">
        <v>0</v>
      </c>
      <c r="CJ151">
        <v>1</v>
      </c>
      <c r="CK151">
        <v>0</v>
      </c>
      <c r="CL151">
        <v>0</v>
      </c>
      <c r="CN151">
        <v>9</v>
      </c>
      <c r="CO151">
        <v>2</v>
      </c>
      <c r="CP151" t="s">
        <v>877</v>
      </c>
      <c r="CQ151">
        <v>3</v>
      </c>
      <c r="CR151">
        <v>3</v>
      </c>
      <c r="EB151">
        <v>0</v>
      </c>
      <c r="EC151">
        <v>1</v>
      </c>
      <c r="ED151">
        <v>1</v>
      </c>
      <c r="EE151">
        <v>0</v>
      </c>
      <c r="EF151">
        <v>0</v>
      </c>
      <c r="EG151">
        <v>1</v>
      </c>
      <c r="EH151">
        <v>0</v>
      </c>
      <c r="EI151">
        <v>1</v>
      </c>
      <c r="EJ151">
        <v>0</v>
      </c>
      <c r="EK151">
        <v>0</v>
      </c>
      <c r="EM151">
        <v>0</v>
      </c>
      <c r="EN151">
        <v>1</v>
      </c>
      <c r="EO151">
        <v>1</v>
      </c>
      <c r="EP151">
        <v>1</v>
      </c>
      <c r="EQ151">
        <v>1</v>
      </c>
      <c r="ER151">
        <v>0</v>
      </c>
      <c r="ES151">
        <v>1</v>
      </c>
      <c r="ET151">
        <v>0</v>
      </c>
      <c r="EU151">
        <v>1</v>
      </c>
      <c r="EV151">
        <v>0</v>
      </c>
      <c r="EW151">
        <v>1</v>
      </c>
      <c r="EX151">
        <v>1</v>
      </c>
      <c r="EY151">
        <v>0</v>
      </c>
      <c r="FB151" t="s">
        <v>274</v>
      </c>
      <c r="FC151">
        <v>1</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t="s">
        <v>355</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1</v>
      </c>
      <c r="GS151" t="s">
        <v>355</v>
      </c>
      <c r="GT151">
        <v>0</v>
      </c>
      <c r="GU151">
        <v>0</v>
      </c>
      <c r="GV151">
        <v>0</v>
      </c>
      <c r="GW151">
        <v>0</v>
      </c>
      <c r="GX151">
        <v>0</v>
      </c>
      <c r="GY151">
        <v>0</v>
      </c>
      <c r="GZ151">
        <v>0</v>
      </c>
      <c r="HA151">
        <v>0</v>
      </c>
      <c r="HB151">
        <v>1</v>
      </c>
      <c r="IX151" t="s">
        <v>878</v>
      </c>
      <c r="IY151">
        <v>11</v>
      </c>
      <c r="IZ151">
        <v>0</v>
      </c>
      <c r="JA151">
        <v>0</v>
      </c>
      <c r="JB151">
        <v>0</v>
      </c>
      <c r="JC151">
        <v>0</v>
      </c>
      <c r="JD151">
        <v>0</v>
      </c>
      <c r="JE151">
        <v>0</v>
      </c>
      <c r="JF151">
        <v>0</v>
      </c>
      <c r="JG151">
        <v>0</v>
      </c>
      <c r="JH151">
        <v>1</v>
      </c>
      <c r="JI151">
        <v>0</v>
      </c>
      <c r="JJ151">
        <v>0</v>
      </c>
      <c r="JL151">
        <v>1</v>
      </c>
      <c r="JM151" cm="1">
        <f t="array" ref="JM151">IF(OR(JN151:JQ151 &lt;&gt; ""), 1, 0)</f>
        <v>1</v>
      </c>
      <c r="JN151">
        <v>0</v>
      </c>
      <c r="JO151">
        <v>0</v>
      </c>
      <c r="JP151">
        <v>0</v>
      </c>
      <c r="JQ151">
        <v>1</v>
      </c>
      <c r="JR151" t="s">
        <v>879</v>
      </c>
    </row>
    <row r="152" spans="1:278" x14ac:dyDescent="0.35">
      <c r="A152">
        <v>385649</v>
      </c>
      <c r="C152">
        <v>1</v>
      </c>
      <c r="D152" t="s">
        <v>880</v>
      </c>
      <c r="E152" t="str">
        <f>_xlfn.XLOOKUP(I152, [1]SchoolDistrictStudyWODuplicates!$K:$K, [1]SchoolDistrictStudyWODuplicates!$E:$E, "")</f>
        <v>Whitesboro Central School</v>
      </c>
      <c r="G152" t="s">
        <v>881</v>
      </c>
      <c r="H152" s="7">
        <v>3631320</v>
      </c>
      <c r="I152" s="7">
        <v>3631320</v>
      </c>
      <c r="J152" s="5" t="e">
        <f>_xlfn.XLOOKUP(I152,#REF!,#REF!,"Not Determined")</f>
        <v>#REF!</v>
      </c>
      <c r="K152" s="5" t="s">
        <v>906</v>
      </c>
      <c r="L152" t="s">
        <v>849</v>
      </c>
      <c r="M152" s="13" t="e">
        <f>_xlfn.XLOOKUP(I152,#REF!,#REF!, "No")</f>
        <v>#REF!</v>
      </c>
      <c r="N152" s="5" t="str">
        <f t="shared" si="33"/>
        <v>No</v>
      </c>
      <c r="O152" s="5" t="str">
        <f t="shared" si="34"/>
        <v>Yes</v>
      </c>
      <c r="P152" s="5" t="str">
        <f t="shared" si="35"/>
        <v>Yes</v>
      </c>
      <c r="Q152" s="5" t="str">
        <f t="shared" si="36"/>
        <v>Yes</v>
      </c>
      <c r="R152" s="5" t="str">
        <f t="shared" si="37"/>
        <v>Yes</v>
      </c>
      <c r="S152" s="5" t="str">
        <f t="shared" si="38"/>
        <v>Yes</v>
      </c>
      <c r="T152" s="5" t="str">
        <f t="shared" si="39"/>
        <v>Yes</v>
      </c>
      <c r="U152" s="5" t="str">
        <f t="shared" si="40"/>
        <v>Yes</v>
      </c>
      <c r="V152" s="5" t="str" cm="1">
        <f t="array" ref="V152">IF(OR(DB152:DG152 =1), "Yes", "No")</f>
        <v>No</v>
      </c>
      <c r="W152" s="5" t="str">
        <f t="shared" si="41"/>
        <v>No</v>
      </c>
      <c r="X152" s="5" t="str">
        <f t="shared" si="42"/>
        <v>No</v>
      </c>
      <c r="Y152" s="5" t="str">
        <f t="shared" si="43"/>
        <v>No</v>
      </c>
      <c r="Z152">
        <v>3</v>
      </c>
      <c r="AB152">
        <v>0</v>
      </c>
      <c r="AC152">
        <v>0</v>
      </c>
      <c r="AD152">
        <v>1</v>
      </c>
      <c r="AE152">
        <v>0</v>
      </c>
      <c r="AF152">
        <v>0</v>
      </c>
      <c r="AG152">
        <v>0</v>
      </c>
      <c r="AH152">
        <v>0</v>
      </c>
      <c r="AI152">
        <v>0</v>
      </c>
      <c r="AJ152">
        <v>0</v>
      </c>
      <c r="AK152">
        <v>1</v>
      </c>
      <c r="AM152">
        <v>1</v>
      </c>
      <c r="AN152">
        <v>1</v>
      </c>
      <c r="AO152">
        <v>0</v>
      </c>
      <c r="AP152">
        <v>16</v>
      </c>
      <c r="AQ152">
        <v>50</v>
      </c>
      <c r="AS152">
        <v>16</v>
      </c>
      <c r="AT152">
        <v>50</v>
      </c>
      <c r="AV152">
        <v>1</v>
      </c>
      <c r="AW152">
        <v>1</v>
      </c>
      <c r="AX152">
        <v>0</v>
      </c>
      <c r="AY152">
        <v>1</v>
      </c>
      <c r="AZ152">
        <v>0</v>
      </c>
      <c r="BA152">
        <v>0</v>
      </c>
      <c r="BC152">
        <v>1</v>
      </c>
      <c r="BE152">
        <v>1</v>
      </c>
      <c r="BG152">
        <v>1</v>
      </c>
      <c r="BH152">
        <v>1</v>
      </c>
      <c r="BI152">
        <v>3</v>
      </c>
      <c r="BJ152">
        <v>2</v>
      </c>
      <c r="BL152">
        <v>2</v>
      </c>
      <c r="BM152">
        <v>1</v>
      </c>
      <c r="BN152">
        <v>1</v>
      </c>
      <c r="BO152">
        <v>1</v>
      </c>
      <c r="BP152">
        <v>0</v>
      </c>
      <c r="BQ152">
        <v>0</v>
      </c>
      <c r="BR152">
        <v>0</v>
      </c>
      <c r="BS152">
        <v>0</v>
      </c>
      <c r="BT152">
        <v>0</v>
      </c>
      <c r="BV152">
        <v>1</v>
      </c>
      <c r="BW152">
        <v>1</v>
      </c>
      <c r="BX152">
        <v>1</v>
      </c>
      <c r="BY152">
        <v>0</v>
      </c>
      <c r="BZ152">
        <v>1</v>
      </c>
      <c r="CA152">
        <v>0</v>
      </c>
      <c r="CB152">
        <v>0</v>
      </c>
      <c r="CC152">
        <v>1</v>
      </c>
      <c r="CD152">
        <v>1</v>
      </c>
      <c r="CE152">
        <v>0</v>
      </c>
      <c r="CF152">
        <v>1</v>
      </c>
      <c r="CG152">
        <v>0</v>
      </c>
      <c r="CH152">
        <v>0</v>
      </c>
      <c r="CI152">
        <v>1</v>
      </c>
      <c r="CJ152">
        <v>1</v>
      </c>
      <c r="CK152">
        <v>0</v>
      </c>
      <c r="CL152">
        <v>0</v>
      </c>
      <c r="CN152">
        <v>8</v>
      </c>
      <c r="CO152">
        <v>3</v>
      </c>
      <c r="CP152" t="s">
        <v>882</v>
      </c>
      <c r="CQ152">
        <v>4</v>
      </c>
      <c r="CR152">
        <v>4</v>
      </c>
      <c r="EB152">
        <v>0</v>
      </c>
      <c r="EC152">
        <v>0</v>
      </c>
      <c r="ED152">
        <v>0</v>
      </c>
      <c r="EE152">
        <v>0</v>
      </c>
      <c r="EF152">
        <v>0</v>
      </c>
      <c r="EG152">
        <v>1</v>
      </c>
      <c r="EH152">
        <v>0</v>
      </c>
      <c r="EI152">
        <v>0</v>
      </c>
      <c r="EJ152">
        <v>1</v>
      </c>
      <c r="EK152">
        <v>0</v>
      </c>
      <c r="EL152" t="s">
        <v>883</v>
      </c>
      <c r="EM152">
        <v>0</v>
      </c>
      <c r="EN152">
        <v>1</v>
      </c>
      <c r="EO152">
        <v>0</v>
      </c>
      <c r="EP152">
        <v>0</v>
      </c>
      <c r="EQ152">
        <v>1</v>
      </c>
      <c r="ER152">
        <v>0</v>
      </c>
      <c r="ES152">
        <v>0</v>
      </c>
      <c r="ET152">
        <v>0</v>
      </c>
      <c r="EU152">
        <v>0</v>
      </c>
      <c r="EV152">
        <v>1</v>
      </c>
      <c r="EW152">
        <v>1</v>
      </c>
      <c r="EX152">
        <v>0</v>
      </c>
      <c r="EY152">
        <v>0</v>
      </c>
      <c r="FB152" t="s">
        <v>884</v>
      </c>
      <c r="FC152">
        <v>1</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HC152" t="s">
        <v>885</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1</v>
      </c>
      <c r="HW152">
        <v>0</v>
      </c>
      <c r="HX152">
        <v>0</v>
      </c>
      <c r="HY152">
        <v>0</v>
      </c>
      <c r="HZ152">
        <v>0</v>
      </c>
      <c r="IA152">
        <v>0</v>
      </c>
      <c r="IB152">
        <v>0</v>
      </c>
      <c r="IC152">
        <v>0</v>
      </c>
      <c r="ID152">
        <v>0</v>
      </c>
      <c r="IE152">
        <v>0</v>
      </c>
      <c r="IF152">
        <v>0</v>
      </c>
      <c r="IG152">
        <v>0</v>
      </c>
      <c r="IH152">
        <v>0</v>
      </c>
      <c r="II152">
        <v>0</v>
      </c>
      <c r="IJ152">
        <v>0</v>
      </c>
      <c r="IK152">
        <v>0</v>
      </c>
      <c r="IL152">
        <v>0</v>
      </c>
      <c r="IM152">
        <v>0</v>
      </c>
      <c r="IN152">
        <v>0</v>
      </c>
      <c r="IO152">
        <v>0</v>
      </c>
      <c r="IP152">
        <v>0</v>
      </c>
      <c r="IQ152">
        <v>0</v>
      </c>
      <c r="IR152">
        <v>0</v>
      </c>
      <c r="IS152">
        <v>0</v>
      </c>
      <c r="IT152">
        <v>0</v>
      </c>
      <c r="IU152">
        <v>0</v>
      </c>
      <c r="IV152">
        <v>0</v>
      </c>
      <c r="IW152">
        <v>0</v>
      </c>
      <c r="IZ152">
        <v>1</v>
      </c>
      <c r="JA152">
        <v>0</v>
      </c>
      <c r="JB152">
        <v>1</v>
      </c>
      <c r="JC152">
        <v>1</v>
      </c>
      <c r="JD152">
        <v>0</v>
      </c>
      <c r="JE152">
        <v>0</v>
      </c>
      <c r="JF152">
        <v>0</v>
      </c>
      <c r="JG152">
        <v>0</v>
      </c>
      <c r="JH152">
        <v>0</v>
      </c>
      <c r="JI152">
        <v>0</v>
      </c>
      <c r="JJ152">
        <v>0</v>
      </c>
      <c r="JL152">
        <v>2</v>
      </c>
      <c r="JM152" cm="1">
        <f t="array" ref="JM152">IF(OR(JN152:JQ152 &lt;&gt; ""), 1, 0)</f>
        <v>0</v>
      </c>
    </row>
    <row r="153" spans="1:278" x14ac:dyDescent="0.35">
      <c r="A153">
        <v>405381</v>
      </c>
      <c r="C153">
        <v>1</v>
      </c>
      <c r="D153" t="s">
        <v>886</v>
      </c>
      <c r="E153" t="str">
        <f>_xlfn.XLOOKUP(I153, [1]SchoolDistrictStudyWODuplicates!$K:$K, [1]SchoolDistrictStudyWODuplicates!$E:$E, "")</f>
        <v/>
      </c>
      <c r="G153" t="s">
        <v>887</v>
      </c>
      <c r="H153" s="5" t="e">
        <f>_xlfn.XLOOKUP(A153,#REF!,#REF!, "No")</f>
        <v>#REF!</v>
      </c>
      <c r="I153" s="7">
        <v>3413110</v>
      </c>
      <c r="J153" s="5" t="e">
        <f>_xlfn.XLOOKUP(I153,#REF!,#REF!,"Not Determined")</f>
        <v>#REF!</v>
      </c>
      <c r="K153" s="5" t="s">
        <v>888</v>
      </c>
      <c r="L153" t="s">
        <v>888</v>
      </c>
      <c r="M153" s="13" t="e">
        <f>_xlfn.XLOOKUP(I153,#REF!,#REF!, "No")</f>
        <v>#REF!</v>
      </c>
      <c r="N153" s="5" t="str">
        <f t="shared" si="33"/>
        <v>No</v>
      </c>
      <c r="O153" s="5" t="str">
        <f t="shared" si="34"/>
        <v>No</v>
      </c>
      <c r="P153" s="5" t="str">
        <f t="shared" si="35"/>
        <v>No</v>
      </c>
      <c r="Q153" s="5" t="str">
        <f t="shared" si="36"/>
        <v>No</v>
      </c>
      <c r="R153" s="5" t="str">
        <f t="shared" si="37"/>
        <v>No</v>
      </c>
      <c r="S153" s="5" t="str">
        <f t="shared" si="38"/>
        <v>No</v>
      </c>
      <c r="T153" s="5" t="str">
        <f t="shared" si="39"/>
        <v>No</v>
      </c>
      <c r="U153" s="5" t="str">
        <f t="shared" si="40"/>
        <v>No</v>
      </c>
      <c r="V153" s="5" t="str" cm="1">
        <f t="array" ref="V153">IF(OR(DB153:DG153 =1), "Yes", "No")</f>
        <v>No</v>
      </c>
      <c r="W153" s="5" t="str">
        <f t="shared" si="41"/>
        <v>No</v>
      </c>
      <c r="X153" s="5" t="str">
        <f t="shared" si="42"/>
        <v>No</v>
      </c>
      <c r="Y153" s="5" t="str">
        <f t="shared" si="43"/>
        <v>No</v>
      </c>
      <c r="Z153">
        <v>13</v>
      </c>
      <c r="AB153">
        <v>1</v>
      </c>
      <c r="AC153">
        <v>0</v>
      </c>
      <c r="AD153">
        <v>0</v>
      </c>
      <c r="AE153">
        <v>0</v>
      </c>
      <c r="AF153">
        <v>0</v>
      </c>
      <c r="AG153">
        <v>0</v>
      </c>
      <c r="AH153">
        <v>0</v>
      </c>
      <c r="AI153">
        <v>0</v>
      </c>
      <c r="AJ153">
        <v>0</v>
      </c>
      <c r="AK153">
        <v>1</v>
      </c>
      <c r="AM153">
        <v>0</v>
      </c>
      <c r="AN153">
        <v>1</v>
      </c>
      <c r="AO153">
        <v>0</v>
      </c>
      <c r="AQ153">
        <v>54</v>
      </c>
      <c r="AT153">
        <v>54</v>
      </c>
      <c r="AV153">
        <v>1</v>
      </c>
      <c r="AW153">
        <v>1</v>
      </c>
      <c r="AX153">
        <v>0</v>
      </c>
      <c r="AY153">
        <v>0</v>
      </c>
      <c r="AZ153">
        <v>0</v>
      </c>
      <c r="BA153">
        <v>0</v>
      </c>
      <c r="JM153" cm="1">
        <f t="array" ref="JM153">IF(OR(JN153:JQ153 &lt;&gt; ""), 1, 0)</f>
        <v>0</v>
      </c>
    </row>
    <row r="154" spans="1:278" x14ac:dyDescent="0.35">
      <c r="A154">
        <v>374818</v>
      </c>
      <c r="C154">
        <v>1</v>
      </c>
      <c r="D154" t="s">
        <v>889</v>
      </c>
      <c r="E154" t="str">
        <f>_xlfn.XLOOKUP(I154, [1]SchoolDistrictStudyWODuplicates!$K:$K, [1]SchoolDistrictStudyWODuplicates!$E:$E, "")</f>
        <v/>
      </c>
      <c r="G154" t="s">
        <v>890</v>
      </c>
      <c r="H154" s="5" t="e">
        <f>_xlfn.XLOOKUP(A154,#REF!,#REF!, "No")</f>
        <v>#REF!</v>
      </c>
      <c r="I154" s="7">
        <v>3417100</v>
      </c>
      <c r="J154" s="5" t="e">
        <f>_xlfn.XLOOKUP(I154,#REF!,#REF!,"Not Determined")</f>
        <v>#REF!</v>
      </c>
      <c r="K154" s="5" t="s">
        <v>888</v>
      </c>
      <c r="L154" t="s">
        <v>888</v>
      </c>
      <c r="M154" s="13" t="e">
        <f>_xlfn.XLOOKUP(I154,#REF!,#REF!, "No")</f>
        <v>#REF!</v>
      </c>
      <c r="N154" s="5" t="str">
        <f t="shared" si="33"/>
        <v>No</v>
      </c>
      <c r="O154" s="5" t="str">
        <f t="shared" si="34"/>
        <v>Yes</v>
      </c>
      <c r="P154" s="5" t="str">
        <f t="shared" si="35"/>
        <v>Yes</v>
      </c>
      <c r="Q154" s="5" t="str">
        <f t="shared" si="36"/>
        <v>Yes</v>
      </c>
      <c r="R154" s="5" t="str">
        <f t="shared" si="37"/>
        <v>Yes</v>
      </c>
      <c r="S154" s="5" t="str">
        <f t="shared" si="38"/>
        <v>Yes</v>
      </c>
      <c r="T154" s="5" t="str">
        <f t="shared" si="39"/>
        <v>Yes</v>
      </c>
      <c r="U154" s="5" t="str">
        <f t="shared" si="40"/>
        <v>Yes</v>
      </c>
      <c r="V154" s="5" t="str" cm="1">
        <f t="array" ref="V154">IF(OR(DB154:DG154 =1), "Yes", "No")</f>
        <v>No</v>
      </c>
      <c r="W154" s="5" t="str">
        <f t="shared" si="41"/>
        <v>No</v>
      </c>
      <c r="X154" s="5" t="str">
        <f t="shared" si="42"/>
        <v>No</v>
      </c>
      <c r="Y154" s="5" t="str">
        <f t="shared" si="43"/>
        <v>No</v>
      </c>
      <c r="Z154">
        <v>3</v>
      </c>
      <c r="AB154">
        <v>0</v>
      </c>
      <c r="AC154">
        <v>0</v>
      </c>
      <c r="AD154">
        <v>1</v>
      </c>
      <c r="AE154">
        <v>0</v>
      </c>
      <c r="AF154">
        <v>0</v>
      </c>
      <c r="AG154">
        <v>0</v>
      </c>
      <c r="AH154">
        <v>0</v>
      </c>
      <c r="AI154">
        <v>0</v>
      </c>
      <c r="AJ154">
        <v>0</v>
      </c>
      <c r="AK154">
        <v>1</v>
      </c>
      <c r="AM154">
        <v>1</v>
      </c>
      <c r="AN154">
        <v>1</v>
      </c>
      <c r="AO154">
        <v>0</v>
      </c>
      <c r="AP154">
        <v>11</v>
      </c>
      <c r="AQ154">
        <v>3</v>
      </c>
      <c r="AS154">
        <v>11</v>
      </c>
      <c r="AT154">
        <v>3</v>
      </c>
      <c r="AV154">
        <v>0</v>
      </c>
      <c r="AW154">
        <v>1</v>
      </c>
      <c r="AX154">
        <v>0</v>
      </c>
      <c r="AY154">
        <v>0</v>
      </c>
      <c r="AZ154">
        <v>0</v>
      </c>
      <c r="BA154">
        <v>0</v>
      </c>
      <c r="BC154">
        <v>2</v>
      </c>
      <c r="BE154">
        <v>4</v>
      </c>
      <c r="BG154">
        <v>1</v>
      </c>
      <c r="BH154">
        <v>1</v>
      </c>
      <c r="BI154">
        <v>4</v>
      </c>
      <c r="BJ154">
        <v>1</v>
      </c>
      <c r="BK154">
        <v>4</v>
      </c>
      <c r="BL154">
        <v>1</v>
      </c>
      <c r="BM154">
        <v>1</v>
      </c>
      <c r="BN154">
        <v>1</v>
      </c>
      <c r="BO154">
        <v>0</v>
      </c>
      <c r="BP154">
        <v>0</v>
      </c>
      <c r="BQ154">
        <v>0</v>
      </c>
      <c r="BR154">
        <v>1</v>
      </c>
      <c r="BS154">
        <v>0</v>
      </c>
      <c r="BT154">
        <v>0</v>
      </c>
      <c r="BV154">
        <v>1</v>
      </c>
      <c r="BW154">
        <v>0</v>
      </c>
      <c r="BX154">
        <v>0</v>
      </c>
      <c r="BY154">
        <v>0</v>
      </c>
      <c r="BZ154">
        <v>1</v>
      </c>
      <c r="CA154">
        <v>0</v>
      </c>
      <c r="CB154">
        <v>0</v>
      </c>
      <c r="CC154">
        <v>0</v>
      </c>
      <c r="CD154">
        <v>0</v>
      </c>
      <c r="CE154">
        <v>0</v>
      </c>
      <c r="CF154">
        <v>0</v>
      </c>
      <c r="CG154">
        <v>0</v>
      </c>
      <c r="CH154">
        <v>0</v>
      </c>
      <c r="CI154">
        <v>1</v>
      </c>
      <c r="CJ154">
        <v>0</v>
      </c>
      <c r="CK154">
        <v>0</v>
      </c>
      <c r="CL154">
        <v>1</v>
      </c>
      <c r="CM154" t="s">
        <v>891</v>
      </c>
      <c r="CN154">
        <v>14</v>
      </c>
      <c r="CO154">
        <v>4</v>
      </c>
      <c r="CQ154">
        <v>5</v>
      </c>
      <c r="CR154">
        <v>5</v>
      </c>
      <c r="EB154">
        <v>1</v>
      </c>
      <c r="EC154">
        <v>0</v>
      </c>
      <c r="ED154">
        <v>0</v>
      </c>
      <c r="EE154">
        <v>1</v>
      </c>
      <c r="EF154">
        <v>1</v>
      </c>
      <c r="EG154">
        <v>1</v>
      </c>
      <c r="EH154">
        <v>1</v>
      </c>
      <c r="EI154">
        <v>1</v>
      </c>
      <c r="EJ154">
        <v>0</v>
      </c>
      <c r="EK154">
        <v>0</v>
      </c>
      <c r="EM154">
        <v>0</v>
      </c>
      <c r="EN154">
        <v>0</v>
      </c>
      <c r="EO154">
        <v>0</v>
      </c>
      <c r="EP154">
        <v>0</v>
      </c>
      <c r="EQ154">
        <v>1</v>
      </c>
      <c r="ER154">
        <v>0</v>
      </c>
      <c r="ES154">
        <v>0</v>
      </c>
      <c r="ET154">
        <v>1</v>
      </c>
      <c r="EU154">
        <v>0</v>
      </c>
      <c r="EV154">
        <v>0</v>
      </c>
      <c r="EW154">
        <v>1</v>
      </c>
      <c r="EX154">
        <v>0</v>
      </c>
      <c r="EY154">
        <v>0</v>
      </c>
      <c r="IZ154">
        <v>1</v>
      </c>
      <c r="JA154">
        <v>1</v>
      </c>
      <c r="JB154">
        <v>0</v>
      </c>
      <c r="JC154">
        <v>0</v>
      </c>
      <c r="JD154">
        <v>1</v>
      </c>
      <c r="JE154">
        <v>0</v>
      </c>
      <c r="JF154">
        <v>0</v>
      </c>
      <c r="JG154">
        <v>0</v>
      </c>
      <c r="JH154">
        <v>0</v>
      </c>
      <c r="JI154">
        <v>0</v>
      </c>
      <c r="JJ154">
        <v>0</v>
      </c>
      <c r="JL154">
        <v>2</v>
      </c>
      <c r="JM154" cm="1">
        <f t="array" ref="JM154">IF(OR(JN154:JQ154 &lt;&gt; ""), 1, 0)</f>
        <v>0</v>
      </c>
    </row>
    <row r="155" spans="1:278" x14ac:dyDescent="0.35">
      <c r="A155">
        <v>363860</v>
      </c>
      <c r="C155">
        <v>1</v>
      </c>
      <c r="D155" t="s">
        <v>892</v>
      </c>
      <c r="E155" t="str">
        <f>_xlfn.XLOOKUP(I155, [1]SchoolDistrictStudyWODuplicates!$K:$K, [1]SchoolDistrictStudyWODuplicates!$E:$E, "")</f>
        <v>Wayne Township Public Schools</v>
      </c>
      <c r="G155" t="s">
        <v>893</v>
      </c>
      <c r="H155" s="5" t="e">
        <f>_xlfn.XLOOKUP(A155,#REF!,#REF!, "No")</f>
        <v>#REF!</v>
      </c>
      <c r="I155" s="7">
        <v>3417280</v>
      </c>
      <c r="J155" s="5" t="e">
        <f>_xlfn.XLOOKUP(I155,#REF!,#REF!,"Not Determined")</f>
        <v>#REF!</v>
      </c>
      <c r="K155" s="5" t="s">
        <v>888</v>
      </c>
      <c r="L155" t="s">
        <v>888</v>
      </c>
      <c r="M155" s="13" t="e">
        <f>_xlfn.XLOOKUP(I155,#REF!,#REF!, "No")</f>
        <v>#REF!</v>
      </c>
      <c r="N155" s="5" t="str">
        <f t="shared" si="33"/>
        <v>No</v>
      </c>
      <c r="O155" s="5" t="str">
        <f t="shared" si="34"/>
        <v>Yes</v>
      </c>
      <c r="P155" s="5" t="str">
        <f t="shared" si="35"/>
        <v>Yes</v>
      </c>
      <c r="Q155" s="5" t="str">
        <f t="shared" si="36"/>
        <v>Yes</v>
      </c>
      <c r="R155" s="5" t="str">
        <f t="shared" si="37"/>
        <v>Yes</v>
      </c>
      <c r="S155" s="5" t="str">
        <f t="shared" si="38"/>
        <v>Yes</v>
      </c>
      <c r="T155" s="5" t="str">
        <f t="shared" si="39"/>
        <v>Yes</v>
      </c>
      <c r="U155" s="5" t="str">
        <f t="shared" si="40"/>
        <v>Yes</v>
      </c>
      <c r="V155" s="5" t="str" cm="1">
        <f t="array" ref="V155">IF(OR(DB155:DG155 =1), "Yes", "No")</f>
        <v>No</v>
      </c>
      <c r="W155" s="5" t="str">
        <f t="shared" si="41"/>
        <v>No</v>
      </c>
      <c r="X155" s="5" t="str">
        <f t="shared" si="42"/>
        <v>No</v>
      </c>
      <c r="Y155" s="5" t="str">
        <f t="shared" si="43"/>
        <v>No</v>
      </c>
      <c r="Z155">
        <v>3</v>
      </c>
      <c r="AB155">
        <v>0</v>
      </c>
      <c r="AC155">
        <v>0</v>
      </c>
      <c r="AD155">
        <v>0</v>
      </c>
      <c r="AE155">
        <v>1</v>
      </c>
      <c r="AF155">
        <v>0</v>
      </c>
      <c r="AG155">
        <v>1</v>
      </c>
      <c r="AH155">
        <v>0</v>
      </c>
      <c r="AI155">
        <v>0</v>
      </c>
      <c r="AJ155">
        <v>0</v>
      </c>
      <c r="AK155">
        <v>1</v>
      </c>
      <c r="AM155">
        <v>1</v>
      </c>
      <c r="AN155">
        <v>1</v>
      </c>
      <c r="AO155">
        <v>0</v>
      </c>
      <c r="AP155">
        <v>55</v>
      </c>
      <c r="AQ155">
        <v>40</v>
      </c>
      <c r="AS155">
        <v>55</v>
      </c>
      <c r="AT155">
        <v>40</v>
      </c>
      <c r="AV155">
        <v>1</v>
      </c>
      <c r="AW155">
        <v>1</v>
      </c>
      <c r="AX155">
        <v>0</v>
      </c>
      <c r="AY155">
        <v>0</v>
      </c>
      <c r="AZ155">
        <v>0</v>
      </c>
      <c r="BA155">
        <v>0</v>
      </c>
      <c r="BC155">
        <v>2</v>
      </c>
      <c r="BE155">
        <v>1</v>
      </c>
      <c r="BG155">
        <v>1</v>
      </c>
      <c r="BH155">
        <v>1</v>
      </c>
      <c r="BI155">
        <v>4</v>
      </c>
      <c r="BJ155">
        <v>1</v>
      </c>
      <c r="BK155">
        <v>5</v>
      </c>
      <c r="BL155">
        <v>1</v>
      </c>
      <c r="BM155">
        <v>1</v>
      </c>
      <c r="BN155">
        <v>1</v>
      </c>
      <c r="BO155">
        <v>1</v>
      </c>
      <c r="BP155">
        <v>0</v>
      </c>
      <c r="BQ155">
        <v>0</v>
      </c>
      <c r="BR155">
        <v>0</v>
      </c>
      <c r="BS155">
        <v>1</v>
      </c>
      <c r="BT155">
        <v>0</v>
      </c>
      <c r="BV155">
        <v>0</v>
      </c>
      <c r="BW155">
        <v>0</v>
      </c>
      <c r="BX155">
        <v>0</v>
      </c>
      <c r="BY155">
        <v>0</v>
      </c>
      <c r="BZ155">
        <v>1</v>
      </c>
      <c r="CA155">
        <v>0</v>
      </c>
      <c r="CB155">
        <v>0</v>
      </c>
      <c r="CC155">
        <v>0</v>
      </c>
      <c r="CD155">
        <v>0</v>
      </c>
      <c r="CE155">
        <v>0</v>
      </c>
      <c r="CF155">
        <v>0</v>
      </c>
      <c r="CG155">
        <v>0</v>
      </c>
      <c r="CH155">
        <v>0</v>
      </c>
      <c r="CI155">
        <v>0</v>
      </c>
      <c r="CJ155">
        <v>0</v>
      </c>
      <c r="CK155">
        <v>0</v>
      </c>
      <c r="CL155">
        <v>1</v>
      </c>
      <c r="CM155" t="s">
        <v>894</v>
      </c>
      <c r="CN155">
        <v>9</v>
      </c>
      <c r="CO155">
        <v>4</v>
      </c>
      <c r="CQ155">
        <v>5</v>
      </c>
      <c r="CR155">
        <v>5</v>
      </c>
      <c r="EB155">
        <v>0</v>
      </c>
      <c r="EC155">
        <v>0</v>
      </c>
      <c r="ED155">
        <v>1</v>
      </c>
      <c r="EE155">
        <v>0</v>
      </c>
      <c r="EF155">
        <v>0</v>
      </c>
      <c r="EG155">
        <v>1</v>
      </c>
      <c r="EH155">
        <v>0</v>
      </c>
      <c r="EI155">
        <v>0</v>
      </c>
      <c r="EJ155">
        <v>1</v>
      </c>
      <c r="EK155">
        <v>0</v>
      </c>
      <c r="EL155" t="s">
        <v>895</v>
      </c>
      <c r="EM155">
        <v>0</v>
      </c>
      <c r="EN155">
        <v>1</v>
      </c>
      <c r="EO155">
        <v>0</v>
      </c>
      <c r="EP155">
        <v>1</v>
      </c>
      <c r="EQ155">
        <v>1</v>
      </c>
      <c r="ER155">
        <v>0</v>
      </c>
      <c r="ES155">
        <v>0</v>
      </c>
      <c r="ET155">
        <v>1</v>
      </c>
      <c r="EU155">
        <v>1</v>
      </c>
      <c r="EV155">
        <v>0</v>
      </c>
      <c r="EW155">
        <v>1</v>
      </c>
      <c r="EX155">
        <v>0</v>
      </c>
      <c r="EY155">
        <v>0</v>
      </c>
      <c r="FB155" t="s">
        <v>896</v>
      </c>
      <c r="FC155">
        <v>0</v>
      </c>
      <c r="FD155">
        <v>0</v>
      </c>
      <c r="FE155">
        <v>0</v>
      </c>
      <c r="FF155">
        <v>0</v>
      </c>
      <c r="FG155">
        <v>0</v>
      </c>
      <c r="FH155">
        <v>0</v>
      </c>
      <c r="FI155">
        <v>0</v>
      </c>
      <c r="FJ155">
        <v>0</v>
      </c>
      <c r="FK155">
        <v>0</v>
      </c>
      <c r="FL155">
        <v>0</v>
      </c>
      <c r="FM155">
        <v>0</v>
      </c>
      <c r="FN155">
        <v>0</v>
      </c>
      <c r="FO155">
        <v>0</v>
      </c>
      <c r="FP155">
        <v>0</v>
      </c>
      <c r="FQ155">
        <v>0</v>
      </c>
      <c r="FR155">
        <v>1</v>
      </c>
      <c r="FS155">
        <v>0</v>
      </c>
      <c r="FT155">
        <v>0</v>
      </c>
      <c r="FU155">
        <v>0</v>
      </c>
      <c r="FV155">
        <v>0</v>
      </c>
      <c r="FW155">
        <v>0</v>
      </c>
      <c r="FX155">
        <v>0</v>
      </c>
      <c r="IZ155">
        <v>1</v>
      </c>
      <c r="JA155">
        <v>0</v>
      </c>
      <c r="JB155">
        <v>0</v>
      </c>
      <c r="JC155">
        <v>0</v>
      </c>
      <c r="JD155">
        <v>0</v>
      </c>
      <c r="JE155">
        <v>0</v>
      </c>
      <c r="JF155">
        <v>0</v>
      </c>
      <c r="JG155">
        <v>0</v>
      </c>
      <c r="JH155">
        <v>0</v>
      </c>
      <c r="JI155">
        <v>0</v>
      </c>
      <c r="JJ155">
        <v>0</v>
      </c>
      <c r="JL155">
        <v>2</v>
      </c>
      <c r="JM155" cm="1">
        <f t="array" ref="JM155">IF(OR(JN155:JQ155 &lt;&gt; ""), 1, 0)</f>
        <v>0</v>
      </c>
    </row>
    <row r="156" spans="1:278" x14ac:dyDescent="0.35">
      <c r="A156">
        <v>360041</v>
      </c>
      <c r="C156">
        <v>1</v>
      </c>
      <c r="D156" t="s">
        <v>897</v>
      </c>
      <c r="E156" t="str">
        <f>_xlfn.XLOOKUP(I156, [1]SchoolDistrictStudyWODuplicates!$K:$K, [1]SchoolDistrictStudyWODuplicates!$E:$E, "")</f>
        <v/>
      </c>
      <c r="G156" t="s">
        <v>898</v>
      </c>
      <c r="H156" s="5" t="e">
        <f>_xlfn.XLOOKUP(A156,#REF!,#REF!, "No")</f>
        <v>#REF!</v>
      </c>
      <c r="I156" s="7">
        <v>3418120</v>
      </c>
      <c r="J156" s="5" t="e">
        <f>_xlfn.XLOOKUP(I156,#REF!,#REF!,"Not Determined")</f>
        <v>#REF!</v>
      </c>
      <c r="K156" s="5" t="s">
        <v>888</v>
      </c>
      <c r="L156" t="s">
        <v>888</v>
      </c>
      <c r="M156" s="13" t="e">
        <f>_xlfn.XLOOKUP(I156,#REF!,#REF!, "No")</f>
        <v>#REF!</v>
      </c>
      <c r="N156" s="5" t="str">
        <f t="shared" si="33"/>
        <v>No</v>
      </c>
      <c r="O156" s="5" t="str">
        <f t="shared" si="34"/>
        <v>Yes</v>
      </c>
      <c r="P156" s="5" t="str">
        <f t="shared" si="35"/>
        <v>Yes</v>
      </c>
      <c r="Q156" s="5" t="str">
        <f t="shared" si="36"/>
        <v>Yes</v>
      </c>
      <c r="R156" s="5" t="str">
        <f t="shared" si="37"/>
        <v>Yes</v>
      </c>
      <c r="S156" s="5" t="str">
        <f t="shared" si="38"/>
        <v>Yes</v>
      </c>
      <c r="T156" s="5" t="str">
        <f t="shared" si="39"/>
        <v>Yes</v>
      </c>
      <c r="U156" s="5" t="str">
        <f t="shared" si="40"/>
        <v>Yes</v>
      </c>
      <c r="V156" s="5" t="str" cm="1">
        <f t="array" ref="V156">IF(OR(DB156:DG156 =1), "Yes", "No")</f>
        <v>No</v>
      </c>
      <c r="W156" s="5" t="str">
        <f t="shared" si="41"/>
        <v>Yes</v>
      </c>
      <c r="X156" s="5" t="str">
        <f t="shared" si="42"/>
        <v>No</v>
      </c>
      <c r="Y156" s="5" t="str">
        <f t="shared" si="43"/>
        <v>No</v>
      </c>
      <c r="Z156">
        <v>4</v>
      </c>
      <c r="AB156">
        <v>1</v>
      </c>
      <c r="AC156">
        <v>0</v>
      </c>
      <c r="AD156">
        <v>0</v>
      </c>
      <c r="AE156">
        <v>1</v>
      </c>
      <c r="AF156">
        <v>0</v>
      </c>
      <c r="AG156">
        <v>1</v>
      </c>
      <c r="AH156">
        <v>0</v>
      </c>
      <c r="AI156">
        <v>1</v>
      </c>
      <c r="AJ156">
        <v>0</v>
      </c>
      <c r="AK156">
        <v>1</v>
      </c>
      <c r="AM156">
        <v>1</v>
      </c>
      <c r="AN156">
        <v>1</v>
      </c>
      <c r="AO156">
        <v>0</v>
      </c>
      <c r="AP156">
        <v>65</v>
      </c>
      <c r="AQ156">
        <v>55</v>
      </c>
      <c r="AS156">
        <v>65</v>
      </c>
      <c r="AT156">
        <v>55</v>
      </c>
      <c r="AV156">
        <v>1</v>
      </c>
      <c r="AW156">
        <v>1</v>
      </c>
      <c r="AX156">
        <v>0</v>
      </c>
      <c r="AY156">
        <v>0</v>
      </c>
      <c r="AZ156">
        <v>0</v>
      </c>
      <c r="BA156">
        <v>0</v>
      </c>
      <c r="BC156">
        <v>2</v>
      </c>
      <c r="BE156">
        <v>4</v>
      </c>
      <c r="BG156">
        <v>1</v>
      </c>
      <c r="BH156">
        <v>1</v>
      </c>
      <c r="BI156">
        <v>3</v>
      </c>
      <c r="BJ156">
        <v>1</v>
      </c>
      <c r="BK156">
        <v>6</v>
      </c>
      <c r="BL156">
        <v>2</v>
      </c>
      <c r="BM156">
        <v>1</v>
      </c>
      <c r="BN156">
        <v>1</v>
      </c>
      <c r="BO156">
        <v>0</v>
      </c>
      <c r="BP156">
        <v>1</v>
      </c>
      <c r="BQ156">
        <v>1</v>
      </c>
      <c r="BR156">
        <v>1</v>
      </c>
      <c r="BS156">
        <v>0</v>
      </c>
      <c r="BT156">
        <v>0</v>
      </c>
      <c r="BV156">
        <v>0</v>
      </c>
      <c r="BW156">
        <v>0</v>
      </c>
      <c r="BX156">
        <v>0</v>
      </c>
      <c r="BY156">
        <v>0</v>
      </c>
      <c r="BZ156">
        <v>0</v>
      </c>
      <c r="CA156">
        <v>0</v>
      </c>
      <c r="CB156">
        <v>1</v>
      </c>
      <c r="CC156">
        <v>0</v>
      </c>
      <c r="CD156">
        <v>1</v>
      </c>
      <c r="CE156">
        <v>0</v>
      </c>
      <c r="CF156">
        <v>1</v>
      </c>
      <c r="CG156">
        <v>1</v>
      </c>
      <c r="CH156">
        <v>0</v>
      </c>
      <c r="CI156">
        <v>1</v>
      </c>
      <c r="CJ156">
        <v>0</v>
      </c>
      <c r="CK156">
        <v>0</v>
      </c>
      <c r="CL156">
        <v>0</v>
      </c>
      <c r="CN156">
        <v>9</v>
      </c>
      <c r="CO156">
        <v>4</v>
      </c>
      <c r="CQ156">
        <v>3</v>
      </c>
      <c r="CR156">
        <v>3</v>
      </c>
      <c r="EB156">
        <v>0</v>
      </c>
      <c r="EC156">
        <v>1</v>
      </c>
      <c r="ED156">
        <v>1</v>
      </c>
      <c r="EE156">
        <v>0</v>
      </c>
      <c r="EF156">
        <v>0</v>
      </c>
      <c r="EG156">
        <v>1</v>
      </c>
      <c r="EH156">
        <v>0</v>
      </c>
      <c r="EI156">
        <v>0</v>
      </c>
      <c r="EJ156">
        <v>0</v>
      </c>
      <c r="EK156">
        <v>0</v>
      </c>
      <c r="EM156">
        <v>0</v>
      </c>
      <c r="EN156">
        <v>1</v>
      </c>
      <c r="EO156">
        <v>0</v>
      </c>
      <c r="EP156">
        <v>0</v>
      </c>
      <c r="EQ156">
        <v>1</v>
      </c>
      <c r="ER156">
        <v>0</v>
      </c>
      <c r="ES156">
        <v>0</v>
      </c>
      <c r="ET156">
        <v>1</v>
      </c>
      <c r="EU156">
        <v>1</v>
      </c>
      <c r="EV156">
        <v>0</v>
      </c>
      <c r="EW156">
        <v>1</v>
      </c>
      <c r="EX156">
        <v>0</v>
      </c>
      <c r="EY156">
        <v>0</v>
      </c>
      <c r="FB156" t="s">
        <v>500</v>
      </c>
      <c r="FC156">
        <v>1</v>
      </c>
      <c r="FD156">
        <v>1</v>
      </c>
      <c r="FE156">
        <v>0</v>
      </c>
      <c r="FF156">
        <v>0</v>
      </c>
      <c r="FG156">
        <v>0</v>
      </c>
      <c r="FH156">
        <v>0</v>
      </c>
      <c r="FI156">
        <v>0</v>
      </c>
      <c r="FJ156">
        <v>0</v>
      </c>
      <c r="FK156">
        <v>0</v>
      </c>
      <c r="FL156">
        <v>0</v>
      </c>
      <c r="FM156">
        <v>0</v>
      </c>
      <c r="FN156">
        <v>0</v>
      </c>
      <c r="FO156">
        <v>0</v>
      </c>
      <c r="FP156">
        <v>0</v>
      </c>
      <c r="FQ156">
        <v>0</v>
      </c>
      <c r="FR156">
        <v>0</v>
      </c>
      <c r="FS156">
        <v>0</v>
      </c>
      <c r="FT156">
        <v>0</v>
      </c>
      <c r="FU156">
        <v>0</v>
      </c>
      <c r="FV156">
        <v>0</v>
      </c>
      <c r="FW156">
        <v>0</v>
      </c>
      <c r="FX156">
        <v>0</v>
      </c>
      <c r="IZ156">
        <v>0</v>
      </c>
      <c r="JA156">
        <v>0</v>
      </c>
      <c r="JB156">
        <v>0</v>
      </c>
      <c r="JC156">
        <v>0</v>
      </c>
      <c r="JD156">
        <v>1</v>
      </c>
      <c r="JE156">
        <v>1</v>
      </c>
      <c r="JF156">
        <v>0</v>
      </c>
      <c r="JG156">
        <v>0</v>
      </c>
      <c r="JH156">
        <v>0</v>
      </c>
      <c r="JI156">
        <v>0</v>
      </c>
      <c r="JJ156">
        <v>0</v>
      </c>
      <c r="JL156">
        <v>1</v>
      </c>
      <c r="JM156" cm="1">
        <f t="array" ref="JM156">IF(OR(JN156:JQ156 &lt;&gt; ""), 1, 0)</f>
        <v>1</v>
      </c>
      <c r="JN156">
        <v>0</v>
      </c>
      <c r="JO156">
        <v>1</v>
      </c>
      <c r="JP156">
        <v>0</v>
      </c>
      <c r="JQ156">
        <v>0</v>
      </c>
    </row>
    <row r="157" spans="1:278" x14ac:dyDescent="0.35">
      <c r="A157">
        <v>405225</v>
      </c>
      <c r="C157">
        <v>1</v>
      </c>
      <c r="D157" t="s">
        <v>899</v>
      </c>
      <c r="E157" t="str">
        <f>_xlfn.XLOOKUP(I157, [1]SchoolDistrictStudyWODuplicates!$K:$K, [1]SchoolDistrictStudyWODuplicates!$E:$E, "")</f>
        <v/>
      </c>
      <c r="G157" t="s">
        <v>900</v>
      </c>
      <c r="H157" s="7">
        <v>3500480</v>
      </c>
      <c r="I157" s="7">
        <v>3500480</v>
      </c>
      <c r="J157" s="5" t="e">
        <f>_xlfn.XLOOKUP(I157,#REF!,#REF!,"Not Determined")</f>
        <v>#REF!</v>
      </c>
      <c r="K157" s="5" t="s">
        <v>1359</v>
      </c>
      <c r="L157" t="s">
        <v>901</v>
      </c>
      <c r="M157" s="13" t="e">
        <f>_xlfn.XLOOKUP(I157,#REF!,#REF!, "No")</f>
        <v>#REF!</v>
      </c>
      <c r="N157" s="5" t="str">
        <f t="shared" si="33"/>
        <v>No</v>
      </c>
      <c r="O157" s="5" t="str">
        <f t="shared" si="34"/>
        <v>Yes</v>
      </c>
      <c r="P157" s="5" t="str">
        <f t="shared" si="35"/>
        <v>Yes</v>
      </c>
      <c r="Q157" s="5" t="str">
        <f t="shared" si="36"/>
        <v>No</v>
      </c>
      <c r="R157" s="5" t="str">
        <f t="shared" si="37"/>
        <v>Yes</v>
      </c>
      <c r="S157" s="5" t="str">
        <f t="shared" si="38"/>
        <v>Yes</v>
      </c>
      <c r="T157" s="5" t="str">
        <f t="shared" si="39"/>
        <v>No</v>
      </c>
      <c r="U157" s="5" t="str">
        <f t="shared" si="40"/>
        <v>No</v>
      </c>
      <c r="V157" s="5" t="str" cm="1">
        <f t="array" ref="V157">IF(OR(DB157:DG157 =1), "Yes", "No")</f>
        <v>No</v>
      </c>
      <c r="W157" s="5" t="str">
        <f t="shared" si="41"/>
        <v>No</v>
      </c>
      <c r="X157" s="5" t="str">
        <f t="shared" si="42"/>
        <v>No</v>
      </c>
      <c r="Y157" s="5" t="str">
        <f t="shared" si="43"/>
        <v>No</v>
      </c>
      <c r="Z157">
        <v>3</v>
      </c>
      <c r="AB157">
        <v>1</v>
      </c>
      <c r="AC157">
        <v>0</v>
      </c>
      <c r="AD157">
        <v>1</v>
      </c>
      <c r="AE157">
        <v>0</v>
      </c>
      <c r="AF157">
        <v>0</v>
      </c>
      <c r="AG157">
        <v>0</v>
      </c>
      <c r="AH157">
        <v>0</v>
      </c>
      <c r="AI157">
        <v>0</v>
      </c>
      <c r="AJ157">
        <v>0</v>
      </c>
      <c r="AK157">
        <v>1</v>
      </c>
      <c r="AM157">
        <v>0</v>
      </c>
      <c r="AN157">
        <v>1</v>
      </c>
      <c r="AO157">
        <v>0</v>
      </c>
      <c r="AQ157">
        <v>5</v>
      </c>
      <c r="AT157">
        <v>5</v>
      </c>
      <c r="AV157">
        <v>1</v>
      </c>
      <c r="AW157">
        <v>0</v>
      </c>
      <c r="AX157">
        <v>0</v>
      </c>
      <c r="AY157">
        <v>0</v>
      </c>
      <c r="AZ157">
        <v>0</v>
      </c>
      <c r="BA157">
        <v>0</v>
      </c>
      <c r="BC157">
        <v>1</v>
      </c>
      <c r="BE157">
        <v>1</v>
      </c>
      <c r="BG157">
        <v>1</v>
      </c>
      <c r="BH157">
        <v>2</v>
      </c>
      <c r="BI157">
        <v>3</v>
      </c>
      <c r="BJ157">
        <v>2</v>
      </c>
      <c r="BL157">
        <v>2</v>
      </c>
      <c r="BM157">
        <v>1</v>
      </c>
      <c r="BN157">
        <v>2</v>
      </c>
      <c r="BV157">
        <v>0</v>
      </c>
      <c r="BW157">
        <v>0</v>
      </c>
      <c r="BX157">
        <v>1</v>
      </c>
      <c r="BY157">
        <v>0</v>
      </c>
      <c r="BZ157">
        <v>1</v>
      </c>
      <c r="CA157">
        <v>0</v>
      </c>
      <c r="CB157">
        <v>0</v>
      </c>
      <c r="CC157">
        <v>0</v>
      </c>
      <c r="CD157">
        <v>0</v>
      </c>
      <c r="CE157">
        <v>0</v>
      </c>
      <c r="CF157">
        <v>0</v>
      </c>
      <c r="CG157">
        <v>0</v>
      </c>
      <c r="CH157">
        <v>0</v>
      </c>
      <c r="CI157">
        <v>0</v>
      </c>
      <c r="CJ157">
        <v>0</v>
      </c>
      <c r="CK157">
        <v>0</v>
      </c>
      <c r="CL157">
        <v>0</v>
      </c>
      <c r="CN157">
        <v>5</v>
      </c>
      <c r="CO157">
        <v>4</v>
      </c>
      <c r="CQ157">
        <v>2</v>
      </c>
      <c r="CR157">
        <v>1</v>
      </c>
      <c r="EB157">
        <v>0</v>
      </c>
      <c r="EC157">
        <v>0</v>
      </c>
      <c r="ED157">
        <v>1</v>
      </c>
      <c r="EE157">
        <v>0</v>
      </c>
      <c r="EF157">
        <v>0</v>
      </c>
      <c r="EG157">
        <v>0</v>
      </c>
      <c r="EH157">
        <v>0</v>
      </c>
      <c r="EI157">
        <v>0</v>
      </c>
      <c r="EJ157">
        <v>0</v>
      </c>
      <c r="EK157">
        <v>0</v>
      </c>
      <c r="EM157">
        <v>0</v>
      </c>
      <c r="EN157">
        <v>1</v>
      </c>
      <c r="EO157">
        <v>0</v>
      </c>
      <c r="EP157">
        <v>0</v>
      </c>
      <c r="EQ157">
        <v>0</v>
      </c>
      <c r="ER157">
        <v>0</v>
      </c>
      <c r="ES157">
        <v>0</v>
      </c>
      <c r="ET157">
        <v>0</v>
      </c>
      <c r="EU157">
        <v>0</v>
      </c>
      <c r="EV157">
        <v>0</v>
      </c>
      <c r="EW157">
        <v>0</v>
      </c>
      <c r="EX157">
        <v>0</v>
      </c>
      <c r="EY157">
        <v>0</v>
      </c>
      <c r="FB157" t="s">
        <v>421</v>
      </c>
      <c r="FC157">
        <v>1</v>
      </c>
      <c r="FD157">
        <v>0</v>
      </c>
      <c r="FE157">
        <v>0</v>
      </c>
      <c r="FF157">
        <v>0</v>
      </c>
      <c r="FG157">
        <v>0</v>
      </c>
      <c r="FH157">
        <v>0</v>
      </c>
      <c r="FI157">
        <v>0</v>
      </c>
      <c r="FJ157">
        <v>0</v>
      </c>
      <c r="FK157">
        <v>0</v>
      </c>
      <c r="FL157">
        <v>0</v>
      </c>
      <c r="FM157">
        <v>0</v>
      </c>
      <c r="FN157">
        <v>0</v>
      </c>
      <c r="FO157">
        <v>0</v>
      </c>
      <c r="FP157">
        <v>0</v>
      </c>
      <c r="FQ157">
        <v>0</v>
      </c>
      <c r="FR157">
        <v>0</v>
      </c>
      <c r="FS157">
        <v>0</v>
      </c>
      <c r="FT157">
        <v>0</v>
      </c>
      <c r="FU157">
        <v>0</v>
      </c>
      <c r="FV157">
        <v>0</v>
      </c>
      <c r="FW157">
        <v>0</v>
      </c>
      <c r="FX157">
        <v>0</v>
      </c>
      <c r="IZ157">
        <v>1</v>
      </c>
      <c r="JA157">
        <v>0</v>
      </c>
      <c r="JB157">
        <v>0</v>
      </c>
      <c r="JC157">
        <v>0</v>
      </c>
      <c r="JD157">
        <v>0</v>
      </c>
      <c r="JE157">
        <v>0</v>
      </c>
      <c r="JF157">
        <v>0</v>
      </c>
      <c r="JG157">
        <v>0</v>
      </c>
      <c r="JH157">
        <v>0</v>
      </c>
      <c r="JI157">
        <v>0</v>
      </c>
      <c r="JJ157">
        <v>0</v>
      </c>
      <c r="JL157">
        <v>2</v>
      </c>
      <c r="JM157" cm="1">
        <f t="array" ref="JM157">IF(OR(JN157:JQ157 &lt;&gt; ""), 1, 0)</f>
        <v>0</v>
      </c>
    </row>
    <row r="158" spans="1:278" x14ac:dyDescent="0.35">
      <c r="A158">
        <v>405228</v>
      </c>
      <c r="C158">
        <v>1</v>
      </c>
      <c r="D158" t="s">
        <v>902</v>
      </c>
      <c r="E158" t="str">
        <f>_xlfn.XLOOKUP(I158, [1]SchoolDistrictStudyWODuplicates!$K:$K, [1]SchoolDistrictStudyWODuplicates!$E:$E, "")</f>
        <v/>
      </c>
      <c r="G158" t="s">
        <v>870</v>
      </c>
      <c r="H158" s="7">
        <v>3800057</v>
      </c>
      <c r="I158" s="7">
        <v>3800057</v>
      </c>
      <c r="J158" s="5" t="e">
        <f>_xlfn.XLOOKUP(I158,#REF!,#REF!,"Not Determined")</f>
        <v>#REF!</v>
      </c>
      <c r="K158" s="5" t="s">
        <v>802</v>
      </c>
      <c r="L158" t="s">
        <v>903</v>
      </c>
      <c r="M158" s="13" t="e">
        <f>_xlfn.XLOOKUP(I158,#REF!,#REF!, "No")</f>
        <v>#REF!</v>
      </c>
      <c r="N158" s="5" t="str">
        <f t="shared" si="33"/>
        <v>No</v>
      </c>
      <c r="O158" s="5" t="str">
        <f t="shared" si="34"/>
        <v>Yes</v>
      </c>
      <c r="P158" s="5" t="str">
        <f t="shared" si="35"/>
        <v>Yes</v>
      </c>
      <c r="Q158" s="5" t="str">
        <f t="shared" si="36"/>
        <v>Yes</v>
      </c>
      <c r="R158" s="5" t="str">
        <f t="shared" si="37"/>
        <v>Yes</v>
      </c>
      <c r="S158" s="5" t="str">
        <f t="shared" si="38"/>
        <v>Yes</v>
      </c>
      <c r="T158" s="5" t="str">
        <f t="shared" si="39"/>
        <v>Yes</v>
      </c>
      <c r="U158" s="5" t="str">
        <f t="shared" si="40"/>
        <v>Yes</v>
      </c>
      <c r="V158" s="5" t="str" cm="1">
        <f t="array" ref="V158">IF(OR(DB158:DG158 =1), "Yes", "No")</f>
        <v>No</v>
      </c>
      <c r="W158" s="5" t="str">
        <f t="shared" si="41"/>
        <v>No</v>
      </c>
      <c r="X158" s="5" t="str">
        <f t="shared" si="42"/>
        <v>No</v>
      </c>
      <c r="Y158" s="5" t="str">
        <f t="shared" si="43"/>
        <v>No</v>
      </c>
      <c r="Z158">
        <v>6</v>
      </c>
      <c r="AB158">
        <v>1</v>
      </c>
      <c r="AC158">
        <v>0</v>
      </c>
      <c r="AD158">
        <v>0</v>
      </c>
      <c r="AE158">
        <v>1</v>
      </c>
      <c r="AF158">
        <v>0</v>
      </c>
      <c r="AG158">
        <v>0</v>
      </c>
      <c r="AH158">
        <v>0</v>
      </c>
      <c r="AI158">
        <v>1</v>
      </c>
      <c r="AJ158">
        <v>0</v>
      </c>
      <c r="AK158">
        <v>1</v>
      </c>
      <c r="AM158">
        <v>1</v>
      </c>
      <c r="AN158">
        <v>1</v>
      </c>
      <c r="AO158">
        <v>0</v>
      </c>
      <c r="AP158">
        <v>2</v>
      </c>
      <c r="AQ158">
        <v>6</v>
      </c>
      <c r="AS158">
        <v>2</v>
      </c>
      <c r="AT158">
        <v>6</v>
      </c>
      <c r="AV158">
        <v>1</v>
      </c>
      <c r="AW158">
        <v>1</v>
      </c>
      <c r="AX158">
        <v>0</v>
      </c>
      <c r="AY158">
        <v>0</v>
      </c>
      <c r="AZ158">
        <v>0</v>
      </c>
      <c r="BA158">
        <v>0</v>
      </c>
      <c r="BC158">
        <v>1</v>
      </c>
      <c r="BE158">
        <v>1</v>
      </c>
      <c r="BG158">
        <v>1</v>
      </c>
      <c r="BH158">
        <v>1</v>
      </c>
      <c r="BI158">
        <v>4</v>
      </c>
      <c r="BJ158">
        <v>1</v>
      </c>
      <c r="BK158">
        <v>5</v>
      </c>
      <c r="BL158">
        <v>1</v>
      </c>
      <c r="BM158">
        <v>1</v>
      </c>
      <c r="BN158">
        <v>2</v>
      </c>
      <c r="BV158">
        <v>0</v>
      </c>
      <c r="BW158">
        <v>0</v>
      </c>
      <c r="BX158">
        <v>1</v>
      </c>
      <c r="BY158">
        <v>1</v>
      </c>
      <c r="BZ158">
        <v>1</v>
      </c>
      <c r="CA158">
        <v>0</v>
      </c>
      <c r="CB158">
        <v>0</v>
      </c>
      <c r="CC158">
        <v>0</v>
      </c>
      <c r="CD158">
        <v>0</v>
      </c>
      <c r="CE158">
        <v>0</v>
      </c>
      <c r="CF158">
        <v>0</v>
      </c>
      <c r="CG158">
        <v>1</v>
      </c>
      <c r="CH158">
        <v>0</v>
      </c>
      <c r="CI158">
        <v>1</v>
      </c>
      <c r="CJ158">
        <v>0</v>
      </c>
      <c r="CK158">
        <v>1</v>
      </c>
      <c r="CL158">
        <v>0</v>
      </c>
      <c r="CN158">
        <v>4</v>
      </c>
      <c r="CO158">
        <v>4</v>
      </c>
      <c r="CQ158">
        <v>3</v>
      </c>
      <c r="CR158">
        <v>3</v>
      </c>
      <c r="EB158">
        <v>0</v>
      </c>
      <c r="EC158">
        <v>0</v>
      </c>
      <c r="ED158">
        <v>1</v>
      </c>
      <c r="EE158">
        <v>0</v>
      </c>
      <c r="EF158">
        <v>0</v>
      </c>
      <c r="EG158">
        <v>1</v>
      </c>
      <c r="EH158">
        <v>0</v>
      </c>
      <c r="EI158">
        <v>0</v>
      </c>
      <c r="EJ158">
        <v>0</v>
      </c>
      <c r="EK158">
        <v>0</v>
      </c>
      <c r="EM158">
        <v>0</v>
      </c>
      <c r="EN158">
        <v>1</v>
      </c>
      <c r="EO158">
        <v>0</v>
      </c>
      <c r="EP158">
        <v>0</v>
      </c>
      <c r="EQ158">
        <v>0</v>
      </c>
      <c r="ER158">
        <v>0</v>
      </c>
      <c r="ES158">
        <v>0</v>
      </c>
      <c r="ET158">
        <v>0</v>
      </c>
      <c r="EU158">
        <v>0</v>
      </c>
      <c r="EV158">
        <v>0</v>
      </c>
      <c r="EW158">
        <v>1</v>
      </c>
      <c r="EX158">
        <v>0</v>
      </c>
      <c r="EY158">
        <v>0</v>
      </c>
      <c r="FB158" t="s">
        <v>421</v>
      </c>
      <c r="FC158">
        <v>1</v>
      </c>
      <c r="FD158">
        <v>0</v>
      </c>
      <c r="FE158">
        <v>0</v>
      </c>
      <c r="FF158">
        <v>0</v>
      </c>
      <c r="FG158">
        <v>0</v>
      </c>
      <c r="FH158">
        <v>0</v>
      </c>
      <c r="FI158">
        <v>0</v>
      </c>
      <c r="FJ158">
        <v>0</v>
      </c>
      <c r="FK158">
        <v>0</v>
      </c>
      <c r="FL158">
        <v>0</v>
      </c>
      <c r="FM158">
        <v>0</v>
      </c>
      <c r="FN158">
        <v>0</v>
      </c>
      <c r="FO158">
        <v>0</v>
      </c>
      <c r="FP158">
        <v>0</v>
      </c>
      <c r="FQ158">
        <v>0</v>
      </c>
      <c r="FR158">
        <v>0</v>
      </c>
      <c r="FS158">
        <v>0</v>
      </c>
      <c r="FT158">
        <v>0</v>
      </c>
      <c r="FU158">
        <v>0</v>
      </c>
      <c r="FV158">
        <v>0</v>
      </c>
      <c r="FW158">
        <v>0</v>
      </c>
      <c r="FX158">
        <v>0</v>
      </c>
      <c r="IZ158">
        <v>1</v>
      </c>
      <c r="JA158">
        <v>0</v>
      </c>
      <c r="JB158">
        <v>1</v>
      </c>
      <c r="JC158">
        <v>0</v>
      </c>
      <c r="JD158">
        <v>0</v>
      </c>
      <c r="JE158">
        <v>0</v>
      </c>
      <c r="JF158">
        <v>0</v>
      </c>
      <c r="JG158">
        <v>0</v>
      </c>
      <c r="JH158">
        <v>0</v>
      </c>
      <c r="JI158">
        <v>0</v>
      </c>
      <c r="JJ158">
        <v>0</v>
      </c>
      <c r="JL158">
        <v>2</v>
      </c>
      <c r="JM158" cm="1">
        <f t="array" ref="JM158">IF(OR(JN158:JQ158 &lt;&gt; ""), 1, 0)</f>
        <v>0</v>
      </c>
    </row>
    <row r="159" spans="1:278" x14ac:dyDescent="0.35">
      <c r="A159">
        <v>405328</v>
      </c>
      <c r="C159">
        <v>1</v>
      </c>
      <c r="D159" t="s">
        <v>904</v>
      </c>
      <c r="E159" t="str">
        <f>_xlfn.XLOOKUP(I159, [1]SchoolDistrictStudyWODuplicates!$K:$K, [1]SchoolDistrictStudyWODuplicates!$E:$E, "")</f>
        <v/>
      </c>
      <c r="G159" t="s">
        <v>905</v>
      </c>
      <c r="H159" s="7">
        <v>3606240</v>
      </c>
      <c r="I159" s="7">
        <v>3606240</v>
      </c>
      <c r="J159" s="5" t="e">
        <f>_xlfn.XLOOKUP(I159,#REF!,#REF!,"Not Determined")</f>
        <v>#REF!</v>
      </c>
      <c r="K159" s="5" t="s">
        <v>906</v>
      </c>
      <c r="L159" t="s">
        <v>906</v>
      </c>
      <c r="M159" s="13" t="e">
        <f>_xlfn.XLOOKUP(I159,#REF!,#REF!, "No")</f>
        <v>#REF!</v>
      </c>
      <c r="N159" s="5" t="str">
        <f t="shared" si="33"/>
        <v>No</v>
      </c>
      <c r="O159" s="5" t="str">
        <f t="shared" si="34"/>
        <v>Yes</v>
      </c>
      <c r="P159" s="5" t="str">
        <f t="shared" si="35"/>
        <v>Yes</v>
      </c>
      <c r="Q159" s="5" t="str">
        <f t="shared" si="36"/>
        <v>Yes</v>
      </c>
      <c r="R159" s="5" t="str">
        <f t="shared" si="37"/>
        <v>Yes</v>
      </c>
      <c r="S159" s="5" t="str">
        <f t="shared" si="38"/>
        <v>Yes</v>
      </c>
      <c r="T159" s="5" t="str">
        <f t="shared" si="39"/>
        <v>Yes</v>
      </c>
      <c r="U159" s="5" t="str">
        <f t="shared" si="40"/>
        <v>Yes</v>
      </c>
      <c r="V159" s="5" t="str" cm="1">
        <f t="array" ref="V159">IF(OR(DB159:DG159 =1), "Yes", "No")</f>
        <v>No</v>
      </c>
      <c r="W159" s="5" t="str">
        <f t="shared" si="41"/>
        <v>Yes</v>
      </c>
      <c r="X159" s="5" t="str">
        <f t="shared" si="42"/>
        <v>No</v>
      </c>
      <c r="Y159" s="5" t="str">
        <f t="shared" si="43"/>
        <v>No</v>
      </c>
      <c r="Z159">
        <v>4</v>
      </c>
      <c r="AB159">
        <v>0</v>
      </c>
      <c r="AC159">
        <v>0</v>
      </c>
      <c r="AD159">
        <v>0</v>
      </c>
      <c r="AE159">
        <v>1</v>
      </c>
      <c r="AF159">
        <v>0</v>
      </c>
      <c r="AG159">
        <v>0</v>
      </c>
      <c r="AH159">
        <v>0</v>
      </c>
      <c r="AI159">
        <v>0</v>
      </c>
      <c r="AJ159">
        <v>0</v>
      </c>
      <c r="AK159">
        <v>1</v>
      </c>
      <c r="AM159">
        <v>1</v>
      </c>
      <c r="AN159">
        <v>1</v>
      </c>
      <c r="AO159">
        <v>0</v>
      </c>
      <c r="AP159">
        <v>12</v>
      </c>
      <c r="AQ159">
        <v>50</v>
      </c>
      <c r="AS159">
        <v>12</v>
      </c>
      <c r="AT159">
        <v>50</v>
      </c>
      <c r="AV159">
        <v>1</v>
      </c>
      <c r="AW159">
        <v>1</v>
      </c>
      <c r="AX159">
        <v>0</v>
      </c>
      <c r="AY159">
        <v>1</v>
      </c>
      <c r="AZ159">
        <v>0</v>
      </c>
      <c r="BA159">
        <v>0</v>
      </c>
      <c r="BC159">
        <v>2</v>
      </c>
      <c r="BE159">
        <v>1</v>
      </c>
      <c r="BG159">
        <v>1</v>
      </c>
      <c r="BH159">
        <v>1</v>
      </c>
      <c r="BI159">
        <v>5</v>
      </c>
      <c r="BJ159">
        <v>2</v>
      </c>
      <c r="BL159">
        <v>2</v>
      </c>
      <c r="BM159">
        <v>1</v>
      </c>
      <c r="BN159">
        <v>1</v>
      </c>
      <c r="BO159">
        <v>1</v>
      </c>
      <c r="BP159">
        <v>0</v>
      </c>
      <c r="BQ159">
        <v>0</v>
      </c>
      <c r="BR159">
        <v>0</v>
      </c>
      <c r="BS159">
        <v>0</v>
      </c>
      <c r="BT159">
        <v>0</v>
      </c>
      <c r="BV159">
        <v>1</v>
      </c>
      <c r="BW159">
        <v>0</v>
      </c>
      <c r="BX159">
        <v>1</v>
      </c>
      <c r="BY159">
        <v>1</v>
      </c>
      <c r="BZ159">
        <v>1</v>
      </c>
      <c r="CA159">
        <v>0</v>
      </c>
      <c r="CB159">
        <v>0</v>
      </c>
      <c r="CC159">
        <v>1</v>
      </c>
      <c r="CD159">
        <v>1</v>
      </c>
      <c r="CE159">
        <v>0</v>
      </c>
      <c r="CF159">
        <v>0</v>
      </c>
      <c r="CG159">
        <v>1</v>
      </c>
      <c r="CH159">
        <v>0</v>
      </c>
      <c r="CI159">
        <v>1</v>
      </c>
      <c r="CJ159">
        <v>0</v>
      </c>
      <c r="CK159">
        <v>0</v>
      </c>
      <c r="CL159">
        <v>0</v>
      </c>
      <c r="CN159">
        <v>5</v>
      </c>
      <c r="CO159">
        <v>4</v>
      </c>
      <c r="CQ159">
        <v>3</v>
      </c>
      <c r="CR159">
        <v>3</v>
      </c>
      <c r="EB159">
        <v>0</v>
      </c>
      <c r="EC159">
        <v>0</v>
      </c>
      <c r="ED159">
        <v>1</v>
      </c>
      <c r="EE159">
        <v>0</v>
      </c>
      <c r="EF159">
        <v>0</v>
      </c>
      <c r="EG159">
        <v>0</v>
      </c>
      <c r="EH159">
        <v>0</v>
      </c>
      <c r="EI159">
        <v>0</v>
      </c>
      <c r="EJ159">
        <v>1</v>
      </c>
      <c r="EK159">
        <v>0</v>
      </c>
      <c r="EL159" t="s">
        <v>907</v>
      </c>
      <c r="EM159">
        <v>0</v>
      </c>
      <c r="EN159">
        <v>1</v>
      </c>
      <c r="EO159">
        <v>0</v>
      </c>
      <c r="EP159">
        <v>1</v>
      </c>
      <c r="EQ159">
        <v>1</v>
      </c>
      <c r="ER159">
        <v>0</v>
      </c>
      <c r="ES159">
        <v>0</v>
      </c>
      <c r="ET159">
        <v>1</v>
      </c>
      <c r="EU159">
        <v>0</v>
      </c>
      <c r="EV159">
        <v>0</v>
      </c>
      <c r="EW159">
        <v>1</v>
      </c>
      <c r="EX159">
        <v>0</v>
      </c>
      <c r="EY159">
        <v>0</v>
      </c>
      <c r="FB159" t="s">
        <v>274</v>
      </c>
      <c r="FC159">
        <v>1</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IZ159">
        <v>1</v>
      </c>
      <c r="JA159">
        <v>0</v>
      </c>
      <c r="JB159">
        <v>1</v>
      </c>
      <c r="JC159">
        <v>1</v>
      </c>
      <c r="JD159">
        <v>0</v>
      </c>
      <c r="JE159">
        <v>0</v>
      </c>
      <c r="JF159">
        <v>0</v>
      </c>
      <c r="JG159">
        <v>0</v>
      </c>
      <c r="JH159">
        <v>0</v>
      </c>
      <c r="JI159">
        <v>0</v>
      </c>
      <c r="JJ159">
        <v>0</v>
      </c>
      <c r="JL159">
        <v>1</v>
      </c>
      <c r="JM159" cm="1">
        <f t="array" ref="JM159">IF(OR(JN159:JQ159 &lt;&gt; ""), 1, 0)</f>
        <v>1</v>
      </c>
      <c r="JN159">
        <v>1</v>
      </c>
      <c r="JO159">
        <v>1</v>
      </c>
      <c r="JP159">
        <v>0</v>
      </c>
      <c r="JQ159">
        <v>0</v>
      </c>
    </row>
    <row r="160" spans="1:278" x14ac:dyDescent="0.35">
      <c r="A160">
        <v>405502</v>
      </c>
      <c r="C160">
        <v>1</v>
      </c>
      <c r="D160" t="s">
        <v>908</v>
      </c>
      <c r="E160" t="str">
        <f>_xlfn.XLOOKUP(I160, [1]SchoolDistrictStudyWODuplicates!$K:$K, [1]SchoolDistrictStudyWODuplicates!$E:$E, "")</f>
        <v/>
      </c>
      <c r="G160" t="s">
        <v>909</v>
      </c>
      <c r="H160" s="5" t="e">
        <f>_xlfn.XLOOKUP(A160,#REF!,#REF!, "No")</f>
        <v>#REF!</v>
      </c>
      <c r="I160" s="7">
        <v>3904633</v>
      </c>
      <c r="J160" s="5" t="e">
        <f>_xlfn.XLOOKUP(I160,#REF!,#REF!,"Not Determined")</f>
        <v>#REF!</v>
      </c>
      <c r="K160" s="5" t="s">
        <v>910</v>
      </c>
      <c r="L160" t="s">
        <v>910</v>
      </c>
      <c r="M160" s="13" t="e">
        <f>_xlfn.XLOOKUP(I160,#REF!,#REF!, "No")</f>
        <v>#REF!</v>
      </c>
      <c r="N160" s="5" t="str">
        <f t="shared" si="33"/>
        <v>No</v>
      </c>
      <c r="O160" s="5" t="str">
        <f t="shared" si="34"/>
        <v>Yes</v>
      </c>
      <c r="P160" s="5" t="str">
        <f t="shared" si="35"/>
        <v>Yes</v>
      </c>
      <c r="Q160" s="5" t="str">
        <f t="shared" si="36"/>
        <v>Yes</v>
      </c>
      <c r="R160" s="5" t="str">
        <f t="shared" si="37"/>
        <v>Yes</v>
      </c>
      <c r="S160" s="5" t="str">
        <f t="shared" si="38"/>
        <v>Yes</v>
      </c>
      <c r="T160" s="5" t="str">
        <f t="shared" si="39"/>
        <v>Yes</v>
      </c>
      <c r="U160" s="5" t="str">
        <f t="shared" si="40"/>
        <v>Yes</v>
      </c>
      <c r="V160" s="5" t="str" cm="1">
        <f t="array" ref="V160">IF(OR(DB160:DG160 =1), "Yes", "No")</f>
        <v>No</v>
      </c>
      <c r="W160" s="5" t="str">
        <f t="shared" si="41"/>
        <v>No</v>
      </c>
      <c r="X160" s="5" t="str">
        <f t="shared" si="42"/>
        <v>No</v>
      </c>
      <c r="Y160" s="5" t="str">
        <f t="shared" si="43"/>
        <v>No</v>
      </c>
      <c r="Z160">
        <v>4</v>
      </c>
      <c r="AB160">
        <v>1</v>
      </c>
      <c r="AC160">
        <v>0</v>
      </c>
      <c r="AD160">
        <v>0</v>
      </c>
      <c r="AE160">
        <v>1</v>
      </c>
      <c r="AF160">
        <v>0</v>
      </c>
      <c r="AG160">
        <v>0</v>
      </c>
      <c r="AH160">
        <v>0</v>
      </c>
      <c r="AI160">
        <v>0</v>
      </c>
      <c r="AJ160">
        <v>0</v>
      </c>
      <c r="AK160">
        <v>1</v>
      </c>
      <c r="AM160">
        <v>0</v>
      </c>
      <c r="AN160">
        <v>1</v>
      </c>
      <c r="AO160">
        <v>0</v>
      </c>
      <c r="AQ160">
        <v>13</v>
      </c>
      <c r="AT160">
        <v>13</v>
      </c>
      <c r="AV160">
        <v>1</v>
      </c>
      <c r="AW160">
        <v>0</v>
      </c>
      <c r="AX160">
        <v>0</v>
      </c>
      <c r="AY160">
        <v>0</v>
      </c>
      <c r="AZ160">
        <v>0</v>
      </c>
      <c r="BA160">
        <v>0</v>
      </c>
      <c r="BC160">
        <v>1</v>
      </c>
      <c r="BE160">
        <v>1</v>
      </c>
      <c r="BG160">
        <v>1</v>
      </c>
      <c r="BH160">
        <v>1</v>
      </c>
      <c r="BI160">
        <v>3</v>
      </c>
      <c r="BJ160">
        <v>2</v>
      </c>
      <c r="BL160">
        <v>2</v>
      </c>
      <c r="BM160">
        <v>1</v>
      </c>
      <c r="BN160">
        <v>1</v>
      </c>
      <c r="BO160">
        <v>1</v>
      </c>
      <c r="BP160">
        <v>0</v>
      </c>
      <c r="BQ160">
        <v>1</v>
      </c>
      <c r="BR160">
        <v>1</v>
      </c>
      <c r="BS160">
        <v>0</v>
      </c>
      <c r="BT160">
        <v>0</v>
      </c>
      <c r="BV160">
        <v>0</v>
      </c>
      <c r="BW160">
        <v>0</v>
      </c>
      <c r="BX160">
        <v>1</v>
      </c>
      <c r="BY160">
        <v>1</v>
      </c>
      <c r="BZ160">
        <v>1</v>
      </c>
      <c r="CA160">
        <v>1</v>
      </c>
      <c r="CB160">
        <v>0</v>
      </c>
      <c r="CC160">
        <v>1</v>
      </c>
      <c r="CD160">
        <v>0</v>
      </c>
      <c r="CE160">
        <v>0</v>
      </c>
      <c r="CF160">
        <v>0</v>
      </c>
      <c r="CG160">
        <v>0</v>
      </c>
      <c r="CH160">
        <v>0</v>
      </c>
      <c r="CI160">
        <v>0</v>
      </c>
      <c r="CJ160">
        <v>0</v>
      </c>
      <c r="CK160">
        <v>0</v>
      </c>
      <c r="CL160">
        <v>0</v>
      </c>
      <c r="CN160">
        <v>4</v>
      </c>
      <c r="CO160">
        <v>4</v>
      </c>
      <c r="CQ160">
        <v>3</v>
      </c>
      <c r="CR160">
        <v>3</v>
      </c>
      <c r="EB160">
        <v>1</v>
      </c>
      <c r="EC160">
        <v>1</v>
      </c>
      <c r="ED160">
        <v>1</v>
      </c>
      <c r="EE160">
        <v>0</v>
      </c>
      <c r="EF160">
        <v>0</v>
      </c>
      <c r="EG160">
        <v>0</v>
      </c>
      <c r="EH160">
        <v>0</v>
      </c>
      <c r="EI160">
        <v>0</v>
      </c>
      <c r="EJ160">
        <v>0</v>
      </c>
      <c r="EK160">
        <v>0</v>
      </c>
      <c r="EM160">
        <v>0</v>
      </c>
      <c r="EN160">
        <v>1</v>
      </c>
      <c r="EO160">
        <v>0</v>
      </c>
      <c r="EP160">
        <v>1</v>
      </c>
      <c r="EQ160">
        <v>0</v>
      </c>
      <c r="ER160">
        <v>0</v>
      </c>
      <c r="ES160">
        <v>0</v>
      </c>
      <c r="ET160">
        <v>0</v>
      </c>
      <c r="EU160">
        <v>0</v>
      </c>
      <c r="EV160">
        <v>0</v>
      </c>
      <c r="EW160">
        <v>1</v>
      </c>
      <c r="EX160">
        <v>0</v>
      </c>
      <c r="EY160">
        <v>0</v>
      </c>
      <c r="FB160" t="s">
        <v>285</v>
      </c>
      <c r="FC160">
        <v>0</v>
      </c>
      <c r="FD160">
        <v>1</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IZ160">
        <v>1</v>
      </c>
      <c r="JA160">
        <v>0</v>
      </c>
      <c r="JB160">
        <v>1</v>
      </c>
      <c r="JC160">
        <v>0</v>
      </c>
      <c r="JD160">
        <v>0</v>
      </c>
      <c r="JE160">
        <v>1</v>
      </c>
      <c r="JF160">
        <v>0</v>
      </c>
      <c r="JG160">
        <v>0</v>
      </c>
      <c r="JH160">
        <v>0</v>
      </c>
      <c r="JI160">
        <v>0</v>
      </c>
      <c r="JJ160">
        <v>0</v>
      </c>
      <c r="JL160">
        <v>2</v>
      </c>
      <c r="JM160" cm="1">
        <f t="array" ref="JM160">IF(OR(JN160:JQ160 &lt;&gt; ""), 1, 0)</f>
        <v>0</v>
      </c>
    </row>
    <row r="161" spans="1:278" x14ac:dyDescent="0.35">
      <c r="A161">
        <v>396979</v>
      </c>
      <c r="C161">
        <v>1</v>
      </c>
      <c r="D161" t="s">
        <v>911</v>
      </c>
      <c r="E161" t="str">
        <f>_xlfn.XLOOKUP(I161, [1]SchoolDistrictStudyWODuplicates!$K:$K, [1]SchoolDistrictStudyWODuplicates!$E:$E, "")</f>
        <v/>
      </c>
      <c r="G161" t="s">
        <v>912</v>
      </c>
      <c r="H161" s="5" t="e">
        <f>_xlfn.XLOOKUP(A161,#REF!,#REF!, "No")</f>
        <v>#REF!</v>
      </c>
      <c r="I161" s="7">
        <v>3904701</v>
      </c>
      <c r="J161" s="5" t="e">
        <f>_xlfn.XLOOKUP(I161,#REF!,#REF!,"Not Determined")</f>
        <v>#REF!</v>
      </c>
      <c r="K161" s="5" t="s">
        <v>910</v>
      </c>
      <c r="L161" t="s">
        <v>910</v>
      </c>
      <c r="M161" s="13" t="e">
        <f>_xlfn.XLOOKUP(I161,#REF!,#REF!, "No")</f>
        <v>#REF!</v>
      </c>
      <c r="N161" s="5" t="str">
        <f t="shared" si="33"/>
        <v>No</v>
      </c>
      <c r="O161" s="5" t="str">
        <f t="shared" si="34"/>
        <v>Yes</v>
      </c>
      <c r="P161" s="5" t="str">
        <f t="shared" si="35"/>
        <v>Yes</v>
      </c>
      <c r="Q161" s="5" t="str">
        <f t="shared" si="36"/>
        <v>Yes</v>
      </c>
      <c r="R161" s="5" t="str">
        <f t="shared" si="37"/>
        <v>Yes</v>
      </c>
      <c r="S161" s="5" t="str">
        <f t="shared" si="38"/>
        <v>Yes</v>
      </c>
      <c r="T161" s="5" t="str">
        <f t="shared" si="39"/>
        <v>Yes</v>
      </c>
      <c r="U161" s="5" t="str">
        <f t="shared" si="40"/>
        <v>Yes</v>
      </c>
      <c r="V161" s="5" t="str" cm="1">
        <f t="array" ref="V161">IF(OR(DB161:DG161 =1), "Yes", "No")</f>
        <v>No</v>
      </c>
      <c r="W161" s="5" t="str">
        <f t="shared" si="41"/>
        <v>Yes</v>
      </c>
      <c r="X161" s="5" t="str">
        <f t="shared" si="42"/>
        <v>No</v>
      </c>
      <c r="Y161" s="5" t="str">
        <f t="shared" si="43"/>
        <v>No</v>
      </c>
      <c r="Z161">
        <v>3</v>
      </c>
      <c r="AB161">
        <v>0</v>
      </c>
      <c r="AC161">
        <v>0</v>
      </c>
      <c r="AD161">
        <v>1</v>
      </c>
      <c r="AE161">
        <v>0</v>
      </c>
      <c r="AF161">
        <v>0</v>
      </c>
      <c r="AG161">
        <v>1</v>
      </c>
      <c r="AH161">
        <v>0</v>
      </c>
      <c r="AI161">
        <v>0</v>
      </c>
      <c r="AJ161">
        <v>0</v>
      </c>
      <c r="AK161">
        <v>1</v>
      </c>
      <c r="AM161">
        <v>0</v>
      </c>
      <c r="AN161">
        <v>1</v>
      </c>
      <c r="AO161">
        <v>0</v>
      </c>
      <c r="AQ161">
        <v>158</v>
      </c>
      <c r="AT161">
        <v>158</v>
      </c>
      <c r="AV161">
        <v>1</v>
      </c>
      <c r="AW161">
        <v>0</v>
      </c>
      <c r="AX161">
        <v>0</v>
      </c>
      <c r="AY161">
        <v>0</v>
      </c>
      <c r="AZ161">
        <v>0</v>
      </c>
      <c r="BA161">
        <v>0</v>
      </c>
      <c r="BC161">
        <v>1</v>
      </c>
      <c r="BE161">
        <v>1</v>
      </c>
      <c r="BG161">
        <v>1</v>
      </c>
      <c r="BH161">
        <v>1</v>
      </c>
      <c r="BI161">
        <v>2</v>
      </c>
      <c r="BJ161">
        <v>1</v>
      </c>
      <c r="BK161">
        <v>1</v>
      </c>
      <c r="BL161">
        <v>1</v>
      </c>
      <c r="BM161">
        <v>1</v>
      </c>
      <c r="BN161">
        <v>1</v>
      </c>
      <c r="BO161">
        <v>1</v>
      </c>
      <c r="BP161">
        <v>0</v>
      </c>
      <c r="BQ161">
        <v>0</v>
      </c>
      <c r="BR161">
        <v>0</v>
      </c>
      <c r="BS161">
        <v>1</v>
      </c>
      <c r="BT161">
        <v>0</v>
      </c>
      <c r="BV161">
        <v>0</v>
      </c>
      <c r="BW161">
        <v>0</v>
      </c>
      <c r="BX161">
        <v>1</v>
      </c>
      <c r="BY161">
        <v>1</v>
      </c>
      <c r="BZ161">
        <v>0</v>
      </c>
      <c r="CA161">
        <v>0</v>
      </c>
      <c r="CB161">
        <v>0</v>
      </c>
      <c r="CC161">
        <v>0</v>
      </c>
      <c r="CD161">
        <v>0</v>
      </c>
      <c r="CE161">
        <v>0</v>
      </c>
      <c r="CF161">
        <v>0</v>
      </c>
      <c r="CG161">
        <v>0</v>
      </c>
      <c r="CH161">
        <v>0</v>
      </c>
      <c r="CI161">
        <v>0</v>
      </c>
      <c r="CJ161">
        <v>0</v>
      </c>
      <c r="CK161">
        <v>0</v>
      </c>
      <c r="CL161">
        <v>0</v>
      </c>
      <c r="CN161">
        <v>13</v>
      </c>
      <c r="CO161">
        <v>1</v>
      </c>
      <c r="CP161" t="s">
        <v>913</v>
      </c>
      <c r="CQ161">
        <v>5</v>
      </c>
      <c r="CR161">
        <v>5</v>
      </c>
      <c r="EB161">
        <v>0</v>
      </c>
      <c r="EC161">
        <v>1</v>
      </c>
      <c r="ED161">
        <v>1</v>
      </c>
      <c r="EE161">
        <v>1</v>
      </c>
      <c r="EF161">
        <v>0</v>
      </c>
      <c r="EG161">
        <v>1</v>
      </c>
      <c r="EH161">
        <v>0</v>
      </c>
      <c r="EI161">
        <v>0</v>
      </c>
      <c r="EJ161">
        <v>0</v>
      </c>
      <c r="EK161">
        <v>0</v>
      </c>
      <c r="EM161">
        <v>0</v>
      </c>
      <c r="EN161">
        <v>1</v>
      </c>
      <c r="EO161">
        <v>1</v>
      </c>
      <c r="EP161">
        <v>0</v>
      </c>
      <c r="EQ161">
        <v>0</v>
      </c>
      <c r="ER161">
        <v>0</v>
      </c>
      <c r="ES161">
        <v>0</v>
      </c>
      <c r="ET161">
        <v>0</v>
      </c>
      <c r="EU161">
        <v>0</v>
      </c>
      <c r="EV161">
        <v>0</v>
      </c>
      <c r="EW161">
        <v>1</v>
      </c>
      <c r="EX161">
        <v>0</v>
      </c>
      <c r="EY161">
        <v>0</v>
      </c>
      <c r="FB161" t="s">
        <v>914</v>
      </c>
      <c r="FC161">
        <v>1</v>
      </c>
      <c r="FD161">
        <v>1</v>
      </c>
      <c r="FE161">
        <v>0</v>
      </c>
      <c r="FF161">
        <v>0</v>
      </c>
      <c r="FG161">
        <v>0</v>
      </c>
      <c r="FH161">
        <v>0</v>
      </c>
      <c r="FI161">
        <v>0</v>
      </c>
      <c r="FJ161">
        <v>0</v>
      </c>
      <c r="FK161">
        <v>0</v>
      </c>
      <c r="FL161">
        <v>0</v>
      </c>
      <c r="FM161">
        <v>0</v>
      </c>
      <c r="FN161">
        <v>0</v>
      </c>
      <c r="FO161">
        <v>1</v>
      </c>
      <c r="FP161">
        <v>0</v>
      </c>
      <c r="FQ161">
        <v>0</v>
      </c>
      <c r="FR161">
        <v>0</v>
      </c>
      <c r="FS161">
        <v>0</v>
      </c>
      <c r="FT161">
        <v>0</v>
      </c>
      <c r="FU161">
        <v>0</v>
      </c>
      <c r="FV161">
        <v>0</v>
      </c>
      <c r="FW161">
        <v>0</v>
      </c>
      <c r="FX161">
        <v>0</v>
      </c>
      <c r="FY161" t="s">
        <v>915</v>
      </c>
      <c r="FZ161">
        <v>1</v>
      </c>
      <c r="GA161">
        <v>0</v>
      </c>
      <c r="GB161">
        <v>1</v>
      </c>
      <c r="GC161">
        <v>0</v>
      </c>
      <c r="GD161">
        <v>0</v>
      </c>
      <c r="GE161">
        <v>0</v>
      </c>
      <c r="GF161">
        <v>0</v>
      </c>
      <c r="GG161">
        <v>0</v>
      </c>
      <c r="GH161">
        <v>0</v>
      </c>
      <c r="GI161">
        <v>0</v>
      </c>
      <c r="GJ161">
        <v>0</v>
      </c>
      <c r="GK161">
        <v>0</v>
      </c>
      <c r="GL161">
        <v>0</v>
      </c>
      <c r="GM161">
        <v>0</v>
      </c>
      <c r="GN161">
        <v>0</v>
      </c>
      <c r="GO161">
        <v>0</v>
      </c>
      <c r="GP161">
        <v>0</v>
      </c>
      <c r="GQ161">
        <v>0</v>
      </c>
      <c r="GR161">
        <v>0</v>
      </c>
      <c r="IZ161">
        <v>1</v>
      </c>
      <c r="JA161">
        <v>1</v>
      </c>
      <c r="JB161">
        <v>0</v>
      </c>
      <c r="JC161">
        <v>0</v>
      </c>
      <c r="JD161">
        <v>1</v>
      </c>
      <c r="JE161">
        <v>0</v>
      </c>
      <c r="JF161">
        <v>0</v>
      </c>
      <c r="JG161">
        <v>0</v>
      </c>
      <c r="JH161">
        <v>0</v>
      </c>
      <c r="JI161">
        <v>0</v>
      </c>
      <c r="JJ161">
        <v>0</v>
      </c>
      <c r="JL161">
        <v>1</v>
      </c>
      <c r="JM161" cm="1">
        <f t="array" ref="JM161">IF(OR(JN161:JQ161 &lt;&gt; ""), 1, 0)</f>
        <v>1</v>
      </c>
      <c r="JN161">
        <v>1</v>
      </c>
      <c r="JO161">
        <v>0</v>
      </c>
      <c r="JP161">
        <v>0</v>
      </c>
      <c r="JQ161">
        <v>0</v>
      </c>
    </row>
    <row r="162" spans="1:278" x14ac:dyDescent="0.35">
      <c r="A162">
        <v>405205</v>
      </c>
      <c r="C162">
        <v>1</v>
      </c>
      <c r="D162" t="s">
        <v>920</v>
      </c>
      <c r="E162" t="str">
        <f>_xlfn.XLOOKUP(I162, [1]SchoolDistrictStudyWODuplicates!$K:$K, [1]SchoolDistrictStudyWODuplicates!$E:$E, "")</f>
        <v/>
      </c>
      <c r="G162" t="s">
        <v>921</v>
      </c>
      <c r="H162" s="5" t="e">
        <f>_xlfn.XLOOKUP(A162,#REF!,#REF!, "No")</f>
        <v>#REF!</v>
      </c>
      <c r="I162" s="7">
        <v>3904890</v>
      </c>
      <c r="J162" s="5" t="e">
        <f>_xlfn.XLOOKUP(I162,#REF!,#REF!,"Not Determined")</f>
        <v>#REF!</v>
      </c>
      <c r="K162" s="5" t="s">
        <v>910</v>
      </c>
      <c r="L162" t="s">
        <v>910</v>
      </c>
      <c r="M162" s="13" t="e">
        <f>_xlfn.XLOOKUP(I162,#REF!,#REF!, "No")</f>
        <v>#REF!</v>
      </c>
      <c r="N162" s="5" t="str">
        <f t="shared" si="33"/>
        <v>No</v>
      </c>
      <c r="O162" s="5" t="str">
        <f t="shared" si="34"/>
        <v>Yes</v>
      </c>
      <c r="P162" s="5" t="str">
        <f t="shared" si="35"/>
        <v>Yes</v>
      </c>
      <c r="Q162" s="5" t="str">
        <f t="shared" si="36"/>
        <v>Yes</v>
      </c>
      <c r="R162" s="5" t="str">
        <f t="shared" si="37"/>
        <v>Yes</v>
      </c>
      <c r="S162" s="5" t="str">
        <f t="shared" si="38"/>
        <v>Yes</v>
      </c>
      <c r="T162" s="5" t="str">
        <f t="shared" si="39"/>
        <v>Yes</v>
      </c>
      <c r="U162" s="5" t="str">
        <f t="shared" si="40"/>
        <v>Yes</v>
      </c>
      <c r="V162" s="5" t="str" cm="1">
        <f t="array" ref="V162">IF(OR(DB162:DG162 =1), "Yes", "No")</f>
        <v>No</v>
      </c>
      <c r="W162" s="5" t="str">
        <f t="shared" si="41"/>
        <v>Yes</v>
      </c>
      <c r="X162" s="5" t="str">
        <f t="shared" si="42"/>
        <v>No</v>
      </c>
      <c r="Y162" s="5" t="str">
        <f t="shared" si="43"/>
        <v>No</v>
      </c>
      <c r="Z162">
        <v>4</v>
      </c>
      <c r="AB162">
        <v>0</v>
      </c>
      <c r="AC162">
        <v>0</v>
      </c>
      <c r="AD162">
        <v>0</v>
      </c>
      <c r="AE162">
        <v>1</v>
      </c>
      <c r="AF162">
        <v>0</v>
      </c>
      <c r="AG162">
        <v>0</v>
      </c>
      <c r="AH162">
        <v>0</v>
      </c>
      <c r="AI162">
        <v>0</v>
      </c>
      <c r="AJ162">
        <v>0</v>
      </c>
      <c r="AK162">
        <v>1</v>
      </c>
      <c r="AM162">
        <v>1</v>
      </c>
      <c r="AN162">
        <v>1</v>
      </c>
      <c r="AO162">
        <v>1</v>
      </c>
      <c r="AP162">
        <v>0</v>
      </c>
      <c r="AQ162">
        <v>22</v>
      </c>
      <c r="AR162">
        <v>0</v>
      </c>
      <c r="AT162">
        <v>22</v>
      </c>
      <c r="AV162">
        <v>1</v>
      </c>
      <c r="AW162">
        <v>0</v>
      </c>
      <c r="AX162">
        <v>0</v>
      </c>
      <c r="AY162">
        <v>0</v>
      </c>
      <c r="AZ162">
        <v>0</v>
      </c>
      <c r="BA162">
        <v>0</v>
      </c>
      <c r="BC162">
        <v>1</v>
      </c>
      <c r="BE162">
        <v>1</v>
      </c>
      <c r="BG162">
        <v>1</v>
      </c>
      <c r="BH162">
        <v>1</v>
      </c>
      <c r="BI162">
        <v>5</v>
      </c>
      <c r="BJ162">
        <v>2</v>
      </c>
      <c r="BL162">
        <v>2</v>
      </c>
      <c r="BM162">
        <v>1</v>
      </c>
      <c r="BN162">
        <v>2</v>
      </c>
      <c r="BV162">
        <v>1</v>
      </c>
      <c r="BW162">
        <v>0</v>
      </c>
      <c r="BX162">
        <v>1</v>
      </c>
      <c r="BY162">
        <v>0</v>
      </c>
      <c r="BZ162">
        <v>1</v>
      </c>
      <c r="CA162">
        <v>0</v>
      </c>
      <c r="CB162">
        <v>0</v>
      </c>
      <c r="CC162">
        <v>0</v>
      </c>
      <c r="CD162">
        <v>1</v>
      </c>
      <c r="CE162">
        <v>0</v>
      </c>
      <c r="CF162">
        <v>0</v>
      </c>
      <c r="CG162">
        <v>0</v>
      </c>
      <c r="CH162">
        <v>0</v>
      </c>
      <c r="CI162">
        <v>0</v>
      </c>
      <c r="CJ162">
        <v>0</v>
      </c>
      <c r="CK162">
        <v>0</v>
      </c>
      <c r="CL162">
        <v>0</v>
      </c>
      <c r="CN162">
        <v>5</v>
      </c>
      <c r="CO162">
        <v>4</v>
      </c>
      <c r="CQ162">
        <v>3</v>
      </c>
      <c r="CR162">
        <v>3</v>
      </c>
      <c r="EB162">
        <v>0</v>
      </c>
      <c r="EC162">
        <v>0</v>
      </c>
      <c r="ED162">
        <v>1</v>
      </c>
      <c r="EE162">
        <v>0</v>
      </c>
      <c r="EF162">
        <v>0</v>
      </c>
      <c r="EG162">
        <v>1</v>
      </c>
      <c r="EH162">
        <v>1</v>
      </c>
      <c r="EI162">
        <v>1</v>
      </c>
      <c r="EJ162">
        <v>0</v>
      </c>
      <c r="EK162">
        <v>0</v>
      </c>
      <c r="EM162">
        <v>0</v>
      </c>
      <c r="EN162">
        <v>0</v>
      </c>
      <c r="EO162">
        <v>0</v>
      </c>
      <c r="EP162">
        <v>1</v>
      </c>
      <c r="EQ162">
        <v>1</v>
      </c>
      <c r="ER162">
        <v>1</v>
      </c>
      <c r="ES162">
        <v>0</v>
      </c>
      <c r="ET162">
        <v>1</v>
      </c>
      <c r="EU162">
        <v>1</v>
      </c>
      <c r="EV162">
        <v>0</v>
      </c>
      <c r="EW162">
        <v>0</v>
      </c>
      <c r="EX162">
        <v>0</v>
      </c>
      <c r="EY162">
        <v>0</v>
      </c>
      <c r="IZ162">
        <v>1</v>
      </c>
      <c r="JA162">
        <v>0</v>
      </c>
      <c r="JB162">
        <v>0</v>
      </c>
      <c r="JC162">
        <v>1</v>
      </c>
      <c r="JD162">
        <v>0</v>
      </c>
      <c r="JE162">
        <v>0</v>
      </c>
      <c r="JF162">
        <v>0</v>
      </c>
      <c r="JG162">
        <v>1</v>
      </c>
      <c r="JH162">
        <v>0</v>
      </c>
      <c r="JI162">
        <v>0</v>
      </c>
      <c r="JJ162">
        <v>0</v>
      </c>
      <c r="JL162">
        <v>1</v>
      </c>
      <c r="JM162" cm="1">
        <f t="array" ref="JM162">IF(OR(JN162:JQ162 &lt;&gt; ""), 1, 0)</f>
        <v>1</v>
      </c>
      <c r="JN162">
        <v>1</v>
      </c>
      <c r="JO162">
        <v>0</v>
      </c>
      <c r="JP162">
        <v>1</v>
      </c>
      <c r="JQ162">
        <v>0</v>
      </c>
    </row>
    <row r="163" spans="1:278" x14ac:dyDescent="0.35">
      <c r="A163">
        <v>405402</v>
      </c>
      <c r="C163">
        <v>1</v>
      </c>
      <c r="D163" t="s">
        <v>922</v>
      </c>
      <c r="E163" t="str">
        <f>_xlfn.XLOOKUP(I163, [1]SchoolDistrictStudyWODuplicates!$K:$K, [1]SchoolDistrictStudyWODuplicates!$E:$E, "")</f>
        <v/>
      </c>
      <c r="G163" t="s">
        <v>923</v>
      </c>
      <c r="H163" s="5" t="e">
        <f>_xlfn.XLOOKUP(A163,#REF!,#REF!, "No")</f>
        <v>#REF!</v>
      </c>
      <c r="I163" s="7">
        <v>3904823</v>
      </c>
      <c r="J163" s="5" t="e">
        <f>_xlfn.XLOOKUP(I163,#REF!,#REF!,"Not Determined")</f>
        <v>#REF!</v>
      </c>
      <c r="K163" s="5" t="s">
        <v>910</v>
      </c>
      <c r="L163" t="s">
        <v>910</v>
      </c>
      <c r="M163" s="13" t="e">
        <f>_xlfn.XLOOKUP(I163,#REF!,#REF!, "No")</f>
        <v>#REF!</v>
      </c>
      <c r="N163" s="5" t="str">
        <f t="shared" si="33"/>
        <v>No</v>
      </c>
      <c r="O163" s="5" t="str">
        <f t="shared" si="34"/>
        <v>Yes</v>
      </c>
      <c r="P163" s="5" t="str">
        <f t="shared" si="35"/>
        <v>Yes</v>
      </c>
      <c r="Q163" s="5" t="str">
        <f t="shared" si="36"/>
        <v>Yes</v>
      </c>
      <c r="R163" s="5" t="str">
        <f t="shared" si="37"/>
        <v>Yes</v>
      </c>
      <c r="S163" s="5" t="str">
        <f t="shared" si="38"/>
        <v>Yes</v>
      </c>
      <c r="T163" s="5" t="str">
        <f t="shared" si="39"/>
        <v>Yes</v>
      </c>
      <c r="U163" s="5" t="str">
        <f t="shared" si="40"/>
        <v>Yes</v>
      </c>
      <c r="V163" s="5" t="str" cm="1">
        <f t="array" ref="V163">IF(OR(DB163:DG163 =1), "Yes", "No")</f>
        <v>No</v>
      </c>
      <c r="W163" s="5" t="str">
        <f t="shared" si="41"/>
        <v>Yes</v>
      </c>
      <c r="X163" s="5" t="str">
        <f t="shared" si="42"/>
        <v>No</v>
      </c>
      <c r="Y163" s="5" t="str">
        <f t="shared" si="43"/>
        <v>No</v>
      </c>
      <c r="Z163">
        <v>13</v>
      </c>
      <c r="AB163">
        <v>0</v>
      </c>
      <c r="AC163">
        <v>0</v>
      </c>
      <c r="AD163">
        <v>0</v>
      </c>
      <c r="AE163">
        <v>0</v>
      </c>
      <c r="AF163">
        <v>0</v>
      </c>
      <c r="AG163">
        <v>1</v>
      </c>
      <c r="AH163">
        <v>0</v>
      </c>
      <c r="AI163">
        <v>0</v>
      </c>
      <c r="AJ163">
        <v>0</v>
      </c>
      <c r="AK163">
        <v>1</v>
      </c>
      <c r="AM163">
        <v>0</v>
      </c>
      <c r="AN163">
        <v>1</v>
      </c>
      <c r="AO163">
        <v>0</v>
      </c>
      <c r="AQ163">
        <v>62</v>
      </c>
      <c r="AT163">
        <v>62</v>
      </c>
      <c r="AV163">
        <v>1</v>
      </c>
      <c r="AW163">
        <v>0</v>
      </c>
      <c r="AX163">
        <v>0</v>
      </c>
      <c r="AY163">
        <v>0</v>
      </c>
      <c r="AZ163">
        <v>0</v>
      </c>
      <c r="BA163">
        <v>0</v>
      </c>
      <c r="BC163">
        <v>1</v>
      </c>
      <c r="BE163">
        <v>1</v>
      </c>
      <c r="BG163">
        <v>1</v>
      </c>
      <c r="BH163">
        <v>1</v>
      </c>
      <c r="BI163">
        <v>4</v>
      </c>
      <c r="BJ163">
        <v>1</v>
      </c>
      <c r="BK163">
        <v>4</v>
      </c>
      <c r="BL163">
        <v>1</v>
      </c>
      <c r="BM163">
        <v>1</v>
      </c>
      <c r="BN163">
        <v>2</v>
      </c>
      <c r="BV163">
        <v>0</v>
      </c>
      <c r="BW163">
        <v>0</v>
      </c>
      <c r="BX163">
        <v>0</v>
      </c>
      <c r="BY163">
        <v>1</v>
      </c>
      <c r="BZ163">
        <v>0</v>
      </c>
      <c r="CA163">
        <v>0</v>
      </c>
      <c r="CB163">
        <v>0</v>
      </c>
      <c r="CC163">
        <v>0</v>
      </c>
      <c r="CD163">
        <v>0</v>
      </c>
      <c r="CE163">
        <v>0</v>
      </c>
      <c r="CF163">
        <v>0</v>
      </c>
      <c r="CG163">
        <v>0</v>
      </c>
      <c r="CH163">
        <v>0</v>
      </c>
      <c r="CI163">
        <v>1</v>
      </c>
      <c r="CJ163">
        <v>0</v>
      </c>
      <c r="CK163">
        <v>0</v>
      </c>
      <c r="CL163">
        <v>0</v>
      </c>
      <c r="CN163">
        <v>4</v>
      </c>
      <c r="CO163">
        <v>4</v>
      </c>
      <c r="CQ163">
        <v>4</v>
      </c>
      <c r="CR163">
        <v>4</v>
      </c>
      <c r="EB163">
        <v>0</v>
      </c>
      <c r="EC163">
        <v>1</v>
      </c>
      <c r="ED163">
        <v>1</v>
      </c>
      <c r="EE163">
        <v>0</v>
      </c>
      <c r="EF163">
        <v>0</v>
      </c>
      <c r="EG163">
        <v>1</v>
      </c>
      <c r="EH163">
        <v>1</v>
      </c>
      <c r="EI163">
        <v>1</v>
      </c>
      <c r="EJ163">
        <v>0</v>
      </c>
      <c r="EK163">
        <v>0</v>
      </c>
      <c r="EM163">
        <v>0</v>
      </c>
      <c r="EN163">
        <v>1</v>
      </c>
      <c r="EO163">
        <v>0</v>
      </c>
      <c r="EP163">
        <v>0</v>
      </c>
      <c r="EQ163">
        <v>0</v>
      </c>
      <c r="ER163">
        <v>0</v>
      </c>
      <c r="ES163">
        <v>0</v>
      </c>
      <c r="ET163">
        <v>0</v>
      </c>
      <c r="EU163">
        <v>0</v>
      </c>
      <c r="EV163">
        <v>0</v>
      </c>
      <c r="EW163">
        <v>0</v>
      </c>
      <c r="EX163">
        <v>0</v>
      </c>
      <c r="EY163">
        <v>0</v>
      </c>
      <c r="FB163" t="s">
        <v>857</v>
      </c>
      <c r="FC163">
        <v>1</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IZ163">
        <v>1</v>
      </c>
      <c r="JA163">
        <v>0</v>
      </c>
      <c r="JB163">
        <v>1</v>
      </c>
      <c r="JC163">
        <v>0</v>
      </c>
      <c r="JD163">
        <v>0</v>
      </c>
      <c r="JE163">
        <v>0</v>
      </c>
      <c r="JF163">
        <v>0</v>
      </c>
      <c r="JG163">
        <v>0</v>
      </c>
      <c r="JH163">
        <v>0</v>
      </c>
      <c r="JI163">
        <v>1</v>
      </c>
      <c r="JJ163">
        <v>0</v>
      </c>
      <c r="JK163" t="s">
        <v>924</v>
      </c>
      <c r="JL163">
        <v>1</v>
      </c>
      <c r="JM163" cm="1">
        <f t="array" ref="JM163">IF(OR(JN163:JQ163 &lt;&gt; ""), 1, 0)</f>
        <v>1</v>
      </c>
      <c r="JN163">
        <v>1</v>
      </c>
      <c r="JO163">
        <v>1</v>
      </c>
      <c r="JP163">
        <v>0</v>
      </c>
      <c r="JQ163">
        <v>0</v>
      </c>
    </row>
    <row r="164" spans="1:278" x14ac:dyDescent="0.35">
      <c r="A164">
        <v>362873</v>
      </c>
      <c r="C164">
        <v>1</v>
      </c>
      <c r="D164" t="s">
        <v>925</v>
      </c>
      <c r="E164" t="str">
        <f>_xlfn.XLOOKUP(I164, [1]SchoolDistrictStudyWODuplicates!$K:$K, [1]SchoolDistrictStudyWODuplicates!$E:$E, "")</f>
        <v/>
      </c>
      <c r="G164" t="s">
        <v>926</v>
      </c>
      <c r="H164" s="5" t="e">
        <f>_xlfn.XLOOKUP(A164,#REF!,#REF!, "No")</f>
        <v>#REF!</v>
      </c>
      <c r="I164" s="7">
        <v>3904520</v>
      </c>
      <c r="J164" s="5" t="e">
        <f>_xlfn.XLOOKUP(I164,#REF!,#REF!,"Not Determined")</f>
        <v>#REF!</v>
      </c>
      <c r="K164" s="5" t="s">
        <v>910</v>
      </c>
      <c r="L164" t="s">
        <v>927</v>
      </c>
      <c r="M164" s="13" t="e">
        <f>_xlfn.XLOOKUP(I164,#REF!,#REF!, "No")</f>
        <v>#REF!</v>
      </c>
      <c r="N164" s="5" t="str">
        <f t="shared" si="33"/>
        <v>No</v>
      </c>
      <c r="O164" s="5" t="str">
        <f t="shared" si="34"/>
        <v>Yes</v>
      </c>
      <c r="P164" s="5" t="str">
        <f t="shared" si="35"/>
        <v>Yes</v>
      </c>
      <c r="Q164" s="5" t="str">
        <f t="shared" si="36"/>
        <v>Yes</v>
      </c>
      <c r="R164" s="5" t="str">
        <f t="shared" si="37"/>
        <v>No</v>
      </c>
      <c r="S164" s="5" t="str">
        <f t="shared" si="38"/>
        <v>No</v>
      </c>
      <c r="T164" s="5" t="str">
        <f t="shared" si="39"/>
        <v>No</v>
      </c>
      <c r="U164" s="5" t="str">
        <f t="shared" si="40"/>
        <v>No</v>
      </c>
      <c r="V164" s="5" t="str" cm="1">
        <f t="array" ref="V164">IF(OR(DB164:DG164 =1), "Yes", "No")</f>
        <v>No</v>
      </c>
      <c r="W164" s="5" t="str">
        <f t="shared" si="41"/>
        <v>Yes</v>
      </c>
      <c r="X164" s="5" t="str">
        <f t="shared" si="42"/>
        <v>No</v>
      </c>
      <c r="Y164" s="5" t="str">
        <f t="shared" si="43"/>
        <v>No</v>
      </c>
      <c r="Z164">
        <v>13</v>
      </c>
      <c r="AB164">
        <v>1</v>
      </c>
      <c r="AC164">
        <v>0</v>
      </c>
      <c r="AD164">
        <v>0</v>
      </c>
      <c r="AE164">
        <v>1</v>
      </c>
      <c r="AF164">
        <v>0</v>
      </c>
      <c r="AG164">
        <v>0</v>
      </c>
      <c r="AH164">
        <v>0</v>
      </c>
      <c r="AI164">
        <v>1</v>
      </c>
      <c r="AJ164">
        <v>1</v>
      </c>
      <c r="AK164">
        <v>1</v>
      </c>
      <c r="AM164">
        <v>1</v>
      </c>
      <c r="AN164">
        <v>1</v>
      </c>
      <c r="AO164">
        <v>0</v>
      </c>
      <c r="AP164">
        <v>1</v>
      </c>
      <c r="AQ164">
        <v>15</v>
      </c>
      <c r="AS164">
        <v>1</v>
      </c>
      <c r="AT164">
        <v>15</v>
      </c>
      <c r="AV164">
        <v>1</v>
      </c>
      <c r="AW164">
        <v>0</v>
      </c>
      <c r="AX164">
        <v>0</v>
      </c>
      <c r="AY164">
        <v>1</v>
      </c>
      <c r="AZ164">
        <v>0</v>
      </c>
      <c r="BA164">
        <v>0</v>
      </c>
      <c r="BC164">
        <v>4</v>
      </c>
      <c r="BE164">
        <v>1</v>
      </c>
      <c r="BG164">
        <v>1</v>
      </c>
      <c r="BH164">
        <v>1</v>
      </c>
      <c r="BI164">
        <v>2</v>
      </c>
      <c r="BJ164">
        <v>1</v>
      </c>
      <c r="BK164">
        <v>6</v>
      </c>
      <c r="BL164">
        <v>2</v>
      </c>
      <c r="BM164">
        <v>1</v>
      </c>
      <c r="BN164">
        <v>1</v>
      </c>
      <c r="BO164">
        <v>1</v>
      </c>
      <c r="BP164">
        <v>0</v>
      </c>
      <c r="BQ164">
        <v>0</v>
      </c>
      <c r="BR164">
        <v>0</v>
      </c>
      <c r="BS164">
        <v>0</v>
      </c>
      <c r="BT164">
        <v>0</v>
      </c>
      <c r="BV164">
        <v>0</v>
      </c>
      <c r="BW164">
        <v>0</v>
      </c>
      <c r="BX164">
        <v>0</v>
      </c>
      <c r="BY164">
        <v>0</v>
      </c>
      <c r="BZ164">
        <v>1</v>
      </c>
      <c r="CA164">
        <v>0</v>
      </c>
      <c r="CB164">
        <v>0</v>
      </c>
      <c r="CC164">
        <v>0</v>
      </c>
      <c r="CD164">
        <v>1</v>
      </c>
      <c r="CE164">
        <v>0</v>
      </c>
      <c r="CF164">
        <v>0</v>
      </c>
      <c r="CG164">
        <v>0</v>
      </c>
      <c r="CH164">
        <v>0</v>
      </c>
      <c r="CI164">
        <v>1</v>
      </c>
      <c r="CJ164">
        <v>0</v>
      </c>
      <c r="CK164">
        <v>1</v>
      </c>
      <c r="CL164">
        <v>0</v>
      </c>
      <c r="CN164">
        <v>16</v>
      </c>
      <c r="CO164">
        <v>4</v>
      </c>
      <c r="CQ164">
        <v>6</v>
      </c>
      <c r="CR164">
        <v>6</v>
      </c>
      <c r="EB164">
        <v>0</v>
      </c>
      <c r="EC164">
        <v>0</v>
      </c>
      <c r="ED164">
        <v>1</v>
      </c>
      <c r="EE164">
        <v>0</v>
      </c>
      <c r="EF164">
        <v>0</v>
      </c>
      <c r="EG164">
        <v>1</v>
      </c>
      <c r="EH164">
        <v>0</v>
      </c>
      <c r="EI164">
        <v>0</v>
      </c>
      <c r="EJ164">
        <v>0</v>
      </c>
      <c r="EK164">
        <v>0</v>
      </c>
      <c r="EM164">
        <v>0</v>
      </c>
      <c r="EN164">
        <v>1</v>
      </c>
      <c r="EO164">
        <v>0</v>
      </c>
      <c r="EP164">
        <v>0</v>
      </c>
      <c r="EQ164">
        <v>1</v>
      </c>
      <c r="ER164">
        <v>0</v>
      </c>
      <c r="ES164">
        <v>0</v>
      </c>
      <c r="ET164">
        <v>0</v>
      </c>
      <c r="EU164">
        <v>0</v>
      </c>
      <c r="EV164">
        <v>0</v>
      </c>
      <c r="EW164">
        <v>1</v>
      </c>
      <c r="EX164">
        <v>0</v>
      </c>
      <c r="EY164">
        <v>0</v>
      </c>
      <c r="FB164" t="s">
        <v>928</v>
      </c>
      <c r="FC164">
        <v>1</v>
      </c>
      <c r="FD164">
        <v>1</v>
      </c>
      <c r="FE164">
        <v>0</v>
      </c>
      <c r="FF164">
        <v>0</v>
      </c>
      <c r="FG164">
        <v>0</v>
      </c>
      <c r="FH164">
        <v>0</v>
      </c>
      <c r="FI164">
        <v>0</v>
      </c>
      <c r="FJ164">
        <v>0</v>
      </c>
      <c r="FK164">
        <v>0</v>
      </c>
      <c r="FL164">
        <v>0</v>
      </c>
      <c r="FM164">
        <v>0</v>
      </c>
      <c r="FN164">
        <v>0</v>
      </c>
      <c r="FO164">
        <v>0</v>
      </c>
      <c r="FP164">
        <v>0</v>
      </c>
      <c r="FQ164">
        <v>0</v>
      </c>
      <c r="FR164">
        <v>0</v>
      </c>
      <c r="FS164">
        <v>0</v>
      </c>
      <c r="FT164">
        <v>0</v>
      </c>
      <c r="FU164">
        <v>0</v>
      </c>
      <c r="FV164">
        <v>0</v>
      </c>
      <c r="FW164">
        <v>0</v>
      </c>
      <c r="FX164">
        <v>0</v>
      </c>
      <c r="IZ164">
        <v>0</v>
      </c>
      <c r="JA164">
        <v>0</v>
      </c>
      <c r="JB164">
        <v>0</v>
      </c>
      <c r="JC164">
        <v>0</v>
      </c>
      <c r="JD164">
        <v>0</v>
      </c>
      <c r="JE164">
        <v>0</v>
      </c>
      <c r="JF164">
        <v>0</v>
      </c>
      <c r="JG164">
        <v>0</v>
      </c>
      <c r="JH164">
        <v>0</v>
      </c>
      <c r="JI164">
        <v>0</v>
      </c>
      <c r="JJ164">
        <v>1</v>
      </c>
      <c r="JL164">
        <v>1</v>
      </c>
      <c r="JM164" cm="1">
        <f t="array" ref="JM164">IF(OR(JN164:JQ164 &lt;&gt; ""), 1, 0)</f>
        <v>1</v>
      </c>
      <c r="JN164">
        <v>1</v>
      </c>
      <c r="JO164">
        <v>0</v>
      </c>
      <c r="JP164">
        <v>0</v>
      </c>
      <c r="JQ164">
        <v>0</v>
      </c>
    </row>
    <row r="165" spans="1:278" x14ac:dyDescent="0.35">
      <c r="A165">
        <v>405244</v>
      </c>
      <c r="C165">
        <v>1</v>
      </c>
      <c r="D165" t="s">
        <v>929</v>
      </c>
      <c r="E165" t="str">
        <f>_xlfn.XLOOKUP(I165, [1]SchoolDistrictStudyWODuplicates!$K:$K, [1]SchoolDistrictStudyWODuplicates!$E:$E, "")</f>
        <v/>
      </c>
      <c r="G165" t="s">
        <v>930</v>
      </c>
      <c r="H165" s="7">
        <v>3904527</v>
      </c>
      <c r="I165" s="7">
        <v>3904527</v>
      </c>
      <c r="J165" s="5" t="e">
        <f>_xlfn.XLOOKUP(I165,#REF!,#REF!,"Not Determined")</f>
        <v>#REF!</v>
      </c>
      <c r="K165" s="5" t="s">
        <v>910</v>
      </c>
      <c r="L165" t="s">
        <v>931</v>
      </c>
      <c r="M165" s="13" t="e">
        <f>_xlfn.XLOOKUP(I165,#REF!,#REF!, "No")</f>
        <v>#REF!</v>
      </c>
      <c r="N165" s="5" t="str">
        <f t="shared" si="33"/>
        <v>No</v>
      </c>
      <c r="O165" s="5" t="str">
        <f t="shared" si="34"/>
        <v>Yes</v>
      </c>
      <c r="P165" s="5" t="str">
        <f t="shared" si="35"/>
        <v>Yes</v>
      </c>
      <c r="Q165" s="5" t="str">
        <f t="shared" si="36"/>
        <v>Yes</v>
      </c>
      <c r="R165" s="5" t="str">
        <f t="shared" si="37"/>
        <v>Yes</v>
      </c>
      <c r="S165" s="5" t="str">
        <f t="shared" si="38"/>
        <v>Yes</v>
      </c>
      <c r="T165" s="5" t="str">
        <f t="shared" si="39"/>
        <v>Yes</v>
      </c>
      <c r="U165" s="5" t="str">
        <f t="shared" si="40"/>
        <v>Yes</v>
      </c>
      <c r="V165" s="5" t="str" cm="1">
        <f t="array" ref="V165">IF(OR(DB165:DG165 =1), "Yes", "No")</f>
        <v>No</v>
      </c>
      <c r="W165" s="5" t="str">
        <f t="shared" si="41"/>
        <v>Yes</v>
      </c>
      <c r="X165" s="5" t="str">
        <f t="shared" si="42"/>
        <v>No</v>
      </c>
      <c r="Y165" s="5" t="str">
        <f t="shared" si="43"/>
        <v>No</v>
      </c>
      <c r="Z165">
        <v>13</v>
      </c>
      <c r="AB165">
        <v>0</v>
      </c>
      <c r="AC165">
        <v>0</v>
      </c>
      <c r="AD165">
        <v>0</v>
      </c>
      <c r="AE165">
        <v>0</v>
      </c>
      <c r="AF165">
        <v>0</v>
      </c>
      <c r="AG165">
        <v>0</v>
      </c>
      <c r="AH165">
        <v>0</v>
      </c>
      <c r="AI165">
        <v>0</v>
      </c>
      <c r="AJ165">
        <v>1</v>
      </c>
      <c r="AK165">
        <v>1</v>
      </c>
      <c r="AM165">
        <v>0</v>
      </c>
      <c r="AN165">
        <v>1</v>
      </c>
      <c r="AO165">
        <v>0</v>
      </c>
      <c r="AQ165">
        <v>25</v>
      </c>
      <c r="AT165">
        <v>25</v>
      </c>
      <c r="AV165">
        <v>1</v>
      </c>
      <c r="AW165">
        <v>0</v>
      </c>
      <c r="AX165">
        <v>0</v>
      </c>
      <c r="AY165">
        <v>0</v>
      </c>
      <c r="AZ165">
        <v>0</v>
      </c>
      <c r="BA165">
        <v>0</v>
      </c>
      <c r="BC165">
        <v>1</v>
      </c>
      <c r="BE165">
        <v>1</v>
      </c>
      <c r="BG165">
        <v>1</v>
      </c>
      <c r="BH165">
        <v>1</v>
      </c>
      <c r="BI165">
        <v>4</v>
      </c>
      <c r="BJ165">
        <v>1</v>
      </c>
      <c r="BK165">
        <v>4</v>
      </c>
      <c r="BL165">
        <v>1</v>
      </c>
      <c r="BM165">
        <v>1</v>
      </c>
      <c r="BN165">
        <v>2</v>
      </c>
      <c r="BV165">
        <v>0</v>
      </c>
      <c r="BW165">
        <v>0</v>
      </c>
      <c r="BX165">
        <v>1</v>
      </c>
      <c r="BY165">
        <v>0</v>
      </c>
      <c r="BZ165">
        <v>1</v>
      </c>
      <c r="CA165">
        <v>0</v>
      </c>
      <c r="CB165">
        <v>0</v>
      </c>
      <c r="CC165">
        <v>0</v>
      </c>
      <c r="CD165">
        <v>0</v>
      </c>
      <c r="CE165">
        <v>0</v>
      </c>
      <c r="CF165">
        <v>0</v>
      </c>
      <c r="CG165">
        <v>0</v>
      </c>
      <c r="CH165">
        <v>0</v>
      </c>
      <c r="CI165">
        <v>1</v>
      </c>
      <c r="CJ165">
        <v>0</v>
      </c>
      <c r="CK165">
        <v>0</v>
      </c>
      <c r="CL165">
        <v>0</v>
      </c>
      <c r="CN165">
        <v>5</v>
      </c>
      <c r="CO165">
        <v>4</v>
      </c>
      <c r="CQ165">
        <v>4</v>
      </c>
      <c r="CR165">
        <v>4</v>
      </c>
      <c r="EB165">
        <v>0</v>
      </c>
      <c r="EC165">
        <v>0</v>
      </c>
      <c r="ED165">
        <v>0</v>
      </c>
      <c r="EE165">
        <v>1</v>
      </c>
      <c r="EF165">
        <v>0</v>
      </c>
      <c r="EG165">
        <v>0</v>
      </c>
      <c r="EH165">
        <v>1</v>
      </c>
      <c r="EI165">
        <v>0</v>
      </c>
      <c r="EJ165">
        <v>0</v>
      </c>
      <c r="EK165">
        <v>0</v>
      </c>
      <c r="EM165">
        <v>0</v>
      </c>
      <c r="EN165">
        <v>0</v>
      </c>
      <c r="EO165">
        <v>0</v>
      </c>
      <c r="EP165">
        <v>1</v>
      </c>
      <c r="EQ165">
        <v>0</v>
      </c>
      <c r="ER165">
        <v>0</v>
      </c>
      <c r="ES165">
        <v>0</v>
      </c>
      <c r="ET165">
        <v>0</v>
      </c>
      <c r="EU165">
        <v>0</v>
      </c>
      <c r="EV165">
        <v>0</v>
      </c>
      <c r="EW165">
        <v>1</v>
      </c>
      <c r="EX165">
        <v>0</v>
      </c>
      <c r="EY165">
        <v>0</v>
      </c>
      <c r="IZ165">
        <v>1</v>
      </c>
      <c r="JA165">
        <v>1</v>
      </c>
      <c r="JB165">
        <v>1</v>
      </c>
      <c r="JC165">
        <v>0</v>
      </c>
      <c r="JD165">
        <v>0</v>
      </c>
      <c r="JE165">
        <v>0</v>
      </c>
      <c r="JF165">
        <v>0</v>
      </c>
      <c r="JG165">
        <v>0</v>
      </c>
      <c r="JH165">
        <v>0</v>
      </c>
      <c r="JI165">
        <v>0</v>
      </c>
      <c r="JJ165">
        <v>0</v>
      </c>
      <c r="JL165">
        <v>1</v>
      </c>
      <c r="JM165" cm="1">
        <f t="array" ref="JM165">IF(OR(JN165:JQ165 &lt;&gt; ""), 1, 0)</f>
        <v>1</v>
      </c>
      <c r="JN165">
        <v>1</v>
      </c>
      <c r="JO165">
        <v>0</v>
      </c>
      <c r="JP165">
        <v>1</v>
      </c>
      <c r="JQ165">
        <v>0</v>
      </c>
    </row>
    <row r="166" spans="1:278" x14ac:dyDescent="0.35">
      <c r="A166">
        <v>405216</v>
      </c>
      <c r="C166">
        <v>1</v>
      </c>
      <c r="D166" t="s">
        <v>932</v>
      </c>
      <c r="E166" t="str">
        <f>_xlfn.XLOOKUP(I166, [1]SchoolDistrictStudyWODuplicates!$K:$K, [1]SchoolDistrictStudyWODuplicates!$E:$E, "")</f>
        <v/>
      </c>
      <c r="F166" s="5" t="s">
        <v>1357</v>
      </c>
      <c r="G166" t="s">
        <v>933</v>
      </c>
      <c r="H166" s="5" t="e">
        <f>_xlfn.XLOOKUP(A166,#REF!,#REF!, "No")</f>
        <v>#REF!</v>
      </c>
      <c r="I166" s="7">
        <v>3904961</v>
      </c>
      <c r="J166" s="5" t="e">
        <f>_xlfn.XLOOKUP(I166,#REF!,#REF!,"Not Determined")</f>
        <v>#REF!</v>
      </c>
      <c r="K166" s="5" t="s">
        <v>910</v>
      </c>
      <c r="L166" t="s">
        <v>927</v>
      </c>
      <c r="M166" s="13" t="e">
        <f>_xlfn.XLOOKUP(I166,#REF!,#REF!, "No")</f>
        <v>#REF!</v>
      </c>
      <c r="N166" s="5" t="str">
        <f t="shared" si="33"/>
        <v>No</v>
      </c>
      <c r="O166" s="5" t="str">
        <f t="shared" si="34"/>
        <v>Yes</v>
      </c>
      <c r="P166" s="5" t="str">
        <f t="shared" si="35"/>
        <v>No</v>
      </c>
      <c r="Q166" s="5" t="str">
        <f t="shared" si="36"/>
        <v>No</v>
      </c>
      <c r="R166" s="5" t="str">
        <f t="shared" si="37"/>
        <v>Yes</v>
      </c>
      <c r="S166" s="5" t="str">
        <f t="shared" si="38"/>
        <v>No</v>
      </c>
      <c r="T166" s="5" t="str">
        <f t="shared" si="39"/>
        <v>Yes</v>
      </c>
      <c r="U166" s="5" t="str">
        <f t="shared" si="40"/>
        <v>No</v>
      </c>
      <c r="V166" s="5" t="str" cm="1">
        <f t="array" ref="V166">IF(OR(DB166:DG166 =1), "Yes", "No")</f>
        <v>No</v>
      </c>
      <c r="W166" s="5" t="str">
        <f t="shared" si="41"/>
        <v>No</v>
      </c>
      <c r="X166" s="5" t="str">
        <f t="shared" si="42"/>
        <v>No</v>
      </c>
      <c r="Y166" s="5" t="str">
        <f t="shared" si="43"/>
        <v>No</v>
      </c>
      <c r="Z166">
        <v>3</v>
      </c>
      <c r="AB166">
        <v>1</v>
      </c>
      <c r="AC166">
        <v>0</v>
      </c>
      <c r="AD166">
        <v>1</v>
      </c>
      <c r="AE166">
        <v>0</v>
      </c>
      <c r="AF166">
        <v>0</v>
      </c>
      <c r="AG166">
        <v>0</v>
      </c>
      <c r="AH166">
        <v>0</v>
      </c>
      <c r="AI166">
        <v>0</v>
      </c>
      <c r="AJ166">
        <v>0</v>
      </c>
      <c r="AK166">
        <v>1</v>
      </c>
      <c r="AM166">
        <v>0</v>
      </c>
      <c r="AN166">
        <v>1</v>
      </c>
      <c r="AO166">
        <v>0</v>
      </c>
      <c r="AQ166">
        <v>9</v>
      </c>
      <c r="AT166">
        <v>9</v>
      </c>
      <c r="AV166">
        <v>1</v>
      </c>
      <c r="AW166">
        <v>0</v>
      </c>
      <c r="AX166">
        <v>0</v>
      </c>
      <c r="AY166">
        <v>0</v>
      </c>
      <c r="AZ166">
        <v>0</v>
      </c>
      <c r="BA166">
        <v>0</v>
      </c>
      <c r="BC166">
        <v>1</v>
      </c>
      <c r="BE166">
        <v>1</v>
      </c>
      <c r="BG166">
        <v>1</v>
      </c>
      <c r="BH166">
        <v>2</v>
      </c>
      <c r="BI166">
        <v>4</v>
      </c>
      <c r="BJ166">
        <v>2</v>
      </c>
      <c r="BL166">
        <v>2</v>
      </c>
      <c r="BM166">
        <v>2</v>
      </c>
      <c r="BN166">
        <v>1</v>
      </c>
      <c r="BO166">
        <v>0</v>
      </c>
      <c r="BP166">
        <v>1</v>
      </c>
      <c r="BQ166">
        <v>0</v>
      </c>
      <c r="BR166">
        <v>0</v>
      </c>
      <c r="BS166">
        <v>0</v>
      </c>
      <c r="BT166">
        <v>0</v>
      </c>
      <c r="BV166">
        <v>1</v>
      </c>
      <c r="BW166">
        <v>0</v>
      </c>
      <c r="BX166">
        <v>1</v>
      </c>
      <c r="BY166">
        <v>0</v>
      </c>
      <c r="BZ166">
        <v>0</v>
      </c>
      <c r="CA166">
        <v>0</v>
      </c>
      <c r="CB166">
        <v>0</v>
      </c>
      <c r="CC166">
        <v>0</v>
      </c>
      <c r="CD166">
        <v>0</v>
      </c>
      <c r="CE166">
        <v>0</v>
      </c>
      <c r="CF166">
        <v>0</v>
      </c>
      <c r="CG166">
        <v>1</v>
      </c>
      <c r="CH166">
        <v>0</v>
      </c>
      <c r="CI166">
        <v>1</v>
      </c>
      <c r="CJ166">
        <v>0</v>
      </c>
      <c r="CK166">
        <v>0</v>
      </c>
      <c r="CL166">
        <v>0</v>
      </c>
      <c r="CN166">
        <v>3</v>
      </c>
      <c r="CO166">
        <v>4</v>
      </c>
      <c r="CQ166">
        <v>4</v>
      </c>
      <c r="CR166">
        <v>6</v>
      </c>
      <c r="EB166">
        <v>0</v>
      </c>
      <c r="EC166">
        <v>0</v>
      </c>
      <c r="ED166">
        <v>0</v>
      </c>
      <c r="EE166">
        <v>1</v>
      </c>
      <c r="EF166">
        <v>1</v>
      </c>
      <c r="EG166">
        <v>1</v>
      </c>
      <c r="EH166">
        <v>0</v>
      </c>
      <c r="EI166">
        <v>0</v>
      </c>
      <c r="EJ166">
        <v>0</v>
      </c>
      <c r="EK166">
        <v>0</v>
      </c>
      <c r="EM166">
        <v>1</v>
      </c>
      <c r="EN166">
        <v>0</v>
      </c>
      <c r="EO166">
        <v>0</v>
      </c>
      <c r="EP166">
        <v>0</v>
      </c>
      <c r="EQ166">
        <v>0</v>
      </c>
      <c r="ER166">
        <v>0</v>
      </c>
      <c r="ES166">
        <v>0</v>
      </c>
      <c r="ET166">
        <v>0</v>
      </c>
      <c r="EU166">
        <v>0</v>
      </c>
      <c r="EV166">
        <v>0</v>
      </c>
      <c r="EW166">
        <v>0</v>
      </c>
      <c r="EX166">
        <v>0</v>
      </c>
      <c r="EY166">
        <v>0</v>
      </c>
      <c r="EZ166" t="s">
        <v>274</v>
      </c>
      <c r="FA166">
        <v>9</v>
      </c>
      <c r="IZ166">
        <v>1</v>
      </c>
      <c r="JA166">
        <v>0</v>
      </c>
      <c r="JB166">
        <v>1</v>
      </c>
      <c r="JC166">
        <v>0</v>
      </c>
      <c r="JD166">
        <v>1</v>
      </c>
      <c r="JE166">
        <v>0</v>
      </c>
      <c r="JF166">
        <v>0</v>
      </c>
      <c r="JG166">
        <v>0</v>
      </c>
      <c r="JH166">
        <v>0</v>
      </c>
      <c r="JI166">
        <v>0</v>
      </c>
      <c r="JJ166">
        <v>0</v>
      </c>
      <c r="JL166">
        <v>2</v>
      </c>
      <c r="JM166" cm="1">
        <f t="array" ref="JM166">IF(OR(JN166:JQ166 &lt;&gt; ""), 1, 0)</f>
        <v>0</v>
      </c>
    </row>
    <row r="167" spans="1:278" x14ac:dyDescent="0.35">
      <c r="A167">
        <v>363242</v>
      </c>
      <c r="C167">
        <v>1</v>
      </c>
      <c r="D167" t="s">
        <v>934</v>
      </c>
      <c r="E167" t="str">
        <f>_xlfn.XLOOKUP(I167, [1]SchoolDistrictStudyWODuplicates!$K:$K, [1]SchoolDistrictStudyWODuplicates!$E:$E, "")</f>
        <v>Licking Heights Local School</v>
      </c>
      <c r="G167" t="s">
        <v>935</v>
      </c>
      <c r="H167" s="5" t="e">
        <f>_xlfn.XLOOKUP(A167,#REF!,#REF!, "No")</f>
        <v>#REF!</v>
      </c>
      <c r="I167" s="7">
        <v>3904800</v>
      </c>
      <c r="J167" s="5" t="e">
        <f>_xlfn.XLOOKUP(I167,#REF!,#REF!,"Not Determined")</f>
        <v>#REF!</v>
      </c>
      <c r="K167" s="5" t="s">
        <v>910</v>
      </c>
      <c r="L167" t="s">
        <v>927</v>
      </c>
      <c r="M167" s="13" t="e">
        <f>_xlfn.XLOOKUP(I167,#REF!,#REF!, "No")</f>
        <v>#REF!</v>
      </c>
      <c r="N167" s="5" t="str">
        <f t="shared" si="33"/>
        <v>No</v>
      </c>
      <c r="O167" s="5" t="str">
        <f t="shared" si="34"/>
        <v>Yes</v>
      </c>
      <c r="P167" s="5" t="str">
        <f t="shared" si="35"/>
        <v>Yes</v>
      </c>
      <c r="Q167" s="5" t="str">
        <f t="shared" si="36"/>
        <v>Yes</v>
      </c>
      <c r="R167" s="5" t="str">
        <f t="shared" si="37"/>
        <v>Yes</v>
      </c>
      <c r="S167" s="5" t="str">
        <f t="shared" si="38"/>
        <v>Yes</v>
      </c>
      <c r="T167" s="5" t="str">
        <f t="shared" si="39"/>
        <v>Yes</v>
      </c>
      <c r="U167" s="5" t="str">
        <f t="shared" si="40"/>
        <v>Yes</v>
      </c>
      <c r="V167" s="5" t="str" cm="1">
        <f t="array" ref="V167">IF(OR(DB167:DG167 =1), "Yes", "No")</f>
        <v>No</v>
      </c>
      <c r="W167" s="5" t="str">
        <f t="shared" si="41"/>
        <v>No</v>
      </c>
      <c r="X167" s="5" t="str">
        <f t="shared" si="42"/>
        <v>No</v>
      </c>
      <c r="Y167" s="5" t="str">
        <f t="shared" si="43"/>
        <v>No</v>
      </c>
      <c r="Z167">
        <v>4</v>
      </c>
      <c r="AB167">
        <v>0</v>
      </c>
      <c r="AC167">
        <v>0</v>
      </c>
      <c r="AD167">
        <v>0</v>
      </c>
      <c r="AE167">
        <v>0</v>
      </c>
      <c r="AF167">
        <v>0</v>
      </c>
      <c r="AG167">
        <v>0</v>
      </c>
      <c r="AH167">
        <v>1</v>
      </c>
      <c r="AI167">
        <v>0</v>
      </c>
      <c r="AJ167">
        <v>0</v>
      </c>
      <c r="AK167">
        <v>1</v>
      </c>
      <c r="AM167">
        <v>0</v>
      </c>
      <c r="AN167">
        <v>1</v>
      </c>
      <c r="AO167">
        <v>0</v>
      </c>
      <c r="AQ167">
        <v>54</v>
      </c>
      <c r="AT167">
        <v>54</v>
      </c>
      <c r="AV167">
        <v>1</v>
      </c>
      <c r="AW167">
        <v>0</v>
      </c>
      <c r="AX167">
        <v>0</v>
      </c>
      <c r="AY167">
        <v>0</v>
      </c>
      <c r="AZ167">
        <v>0</v>
      </c>
      <c r="BA167">
        <v>0</v>
      </c>
      <c r="BC167">
        <v>1</v>
      </c>
      <c r="BE167">
        <v>1</v>
      </c>
      <c r="BG167">
        <v>1</v>
      </c>
      <c r="BH167">
        <v>1</v>
      </c>
      <c r="BI167">
        <v>5</v>
      </c>
      <c r="BJ167">
        <v>2</v>
      </c>
      <c r="BL167">
        <v>1</v>
      </c>
      <c r="BM167">
        <v>1</v>
      </c>
      <c r="BN167">
        <v>2</v>
      </c>
      <c r="BV167">
        <v>0</v>
      </c>
      <c r="BW167">
        <v>0</v>
      </c>
      <c r="BX167">
        <v>0</v>
      </c>
      <c r="BY167">
        <v>0</v>
      </c>
      <c r="BZ167">
        <v>1</v>
      </c>
      <c r="CA167">
        <v>0</v>
      </c>
      <c r="CB167">
        <v>0</v>
      </c>
      <c r="CC167">
        <v>0</v>
      </c>
      <c r="CD167">
        <v>1</v>
      </c>
      <c r="CE167">
        <v>1</v>
      </c>
      <c r="CF167">
        <v>0</v>
      </c>
      <c r="CG167">
        <v>0</v>
      </c>
      <c r="CH167">
        <v>0</v>
      </c>
      <c r="CI167">
        <v>1</v>
      </c>
      <c r="CJ167">
        <v>0</v>
      </c>
      <c r="CK167">
        <v>0</v>
      </c>
      <c r="CL167">
        <v>0</v>
      </c>
      <c r="CN167">
        <v>14</v>
      </c>
      <c r="CO167">
        <v>4</v>
      </c>
      <c r="CQ167">
        <v>3</v>
      </c>
      <c r="CR167">
        <v>3</v>
      </c>
      <c r="EB167">
        <v>0</v>
      </c>
      <c r="EC167">
        <v>1</v>
      </c>
      <c r="ED167">
        <v>1</v>
      </c>
      <c r="EE167">
        <v>1</v>
      </c>
      <c r="EF167">
        <v>0</v>
      </c>
      <c r="EG167">
        <v>0</v>
      </c>
      <c r="EH167">
        <v>0</v>
      </c>
      <c r="EI167">
        <v>0</v>
      </c>
      <c r="EJ167">
        <v>0</v>
      </c>
      <c r="EK167">
        <v>0</v>
      </c>
      <c r="EM167">
        <v>0</v>
      </c>
      <c r="EN167">
        <v>1</v>
      </c>
      <c r="EO167">
        <v>1</v>
      </c>
      <c r="EP167">
        <v>0</v>
      </c>
      <c r="EQ167">
        <v>1</v>
      </c>
      <c r="ER167">
        <v>0</v>
      </c>
      <c r="ES167">
        <v>0</v>
      </c>
      <c r="ET167">
        <v>0</v>
      </c>
      <c r="EU167">
        <v>0</v>
      </c>
      <c r="EV167">
        <v>0</v>
      </c>
      <c r="EW167">
        <v>1</v>
      </c>
      <c r="EX167">
        <v>0</v>
      </c>
      <c r="EY167">
        <v>0</v>
      </c>
      <c r="FB167" t="s">
        <v>936</v>
      </c>
      <c r="FC167">
        <v>0</v>
      </c>
      <c r="FD167">
        <v>0</v>
      </c>
      <c r="FE167">
        <v>0</v>
      </c>
      <c r="FF167">
        <v>0</v>
      </c>
      <c r="FG167">
        <v>0</v>
      </c>
      <c r="FH167">
        <v>0</v>
      </c>
      <c r="FI167">
        <v>0</v>
      </c>
      <c r="FJ167">
        <v>0</v>
      </c>
      <c r="FK167">
        <v>0</v>
      </c>
      <c r="FL167">
        <v>0</v>
      </c>
      <c r="FM167">
        <v>0</v>
      </c>
      <c r="FN167">
        <v>0</v>
      </c>
      <c r="FO167">
        <v>0</v>
      </c>
      <c r="FP167">
        <v>0</v>
      </c>
      <c r="FQ167">
        <v>0</v>
      </c>
      <c r="FR167">
        <v>1</v>
      </c>
      <c r="FS167">
        <v>0</v>
      </c>
      <c r="FT167">
        <v>0</v>
      </c>
      <c r="FU167">
        <v>0</v>
      </c>
      <c r="FV167">
        <v>0</v>
      </c>
      <c r="FW167">
        <v>0</v>
      </c>
      <c r="FX167">
        <v>0</v>
      </c>
      <c r="FY167" t="s">
        <v>937</v>
      </c>
      <c r="FZ167">
        <v>0</v>
      </c>
      <c r="GA167">
        <v>0</v>
      </c>
      <c r="GB167">
        <v>0</v>
      </c>
      <c r="GC167">
        <v>0</v>
      </c>
      <c r="GD167">
        <v>0</v>
      </c>
      <c r="GE167">
        <v>0</v>
      </c>
      <c r="GF167">
        <v>0</v>
      </c>
      <c r="GG167">
        <v>0</v>
      </c>
      <c r="GH167">
        <v>0</v>
      </c>
      <c r="GI167">
        <v>0</v>
      </c>
      <c r="GJ167">
        <v>0</v>
      </c>
      <c r="GK167">
        <v>0</v>
      </c>
      <c r="GL167">
        <v>0</v>
      </c>
      <c r="GM167">
        <v>0</v>
      </c>
      <c r="GN167">
        <v>0</v>
      </c>
      <c r="GO167">
        <v>0</v>
      </c>
      <c r="GP167">
        <v>0</v>
      </c>
      <c r="GQ167">
        <v>1</v>
      </c>
      <c r="GR167">
        <v>0</v>
      </c>
      <c r="IZ167">
        <v>1</v>
      </c>
      <c r="JA167">
        <v>1</v>
      </c>
      <c r="JB167">
        <v>0</v>
      </c>
      <c r="JC167">
        <v>0</v>
      </c>
      <c r="JD167">
        <v>0</v>
      </c>
      <c r="JE167">
        <v>0</v>
      </c>
      <c r="JF167">
        <v>1</v>
      </c>
      <c r="JG167">
        <v>0</v>
      </c>
      <c r="JH167">
        <v>0</v>
      </c>
      <c r="JI167">
        <v>0</v>
      </c>
      <c r="JJ167">
        <v>0</v>
      </c>
      <c r="JL167">
        <v>2</v>
      </c>
      <c r="JM167" cm="1">
        <f t="array" ref="JM167">IF(OR(JN167:JQ167 &lt;&gt; ""), 1, 0)</f>
        <v>0</v>
      </c>
    </row>
    <row r="168" spans="1:278" x14ac:dyDescent="0.35">
      <c r="A168">
        <v>363910</v>
      </c>
      <c r="C168">
        <v>1</v>
      </c>
      <c r="D168" t="s">
        <v>938</v>
      </c>
      <c r="E168" t="str">
        <f>_xlfn.XLOOKUP(I168, [1]SchoolDistrictStudyWODuplicates!$K:$K, [1]SchoolDistrictStudyWODuplicates!$E:$E, "")</f>
        <v/>
      </c>
      <c r="G168" t="s">
        <v>939</v>
      </c>
      <c r="H168" s="7">
        <v>3905000</v>
      </c>
      <c r="I168" s="7">
        <v>3905000</v>
      </c>
      <c r="J168" s="5" t="e">
        <f>_xlfn.XLOOKUP(I168,#REF!,#REF!,"Not Determined")</f>
        <v>#REF!</v>
      </c>
      <c r="K168" s="5" t="s">
        <v>910</v>
      </c>
      <c r="L168" t="s">
        <v>927</v>
      </c>
      <c r="M168" s="13" t="e">
        <f>_xlfn.XLOOKUP(I168,#REF!,#REF!, "No")</f>
        <v>#REF!</v>
      </c>
      <c r="N168" s="5" t="str">
        <f t="shared" si="33"/>
        <v>No</v>
      </c>
      <c r="O168" s="5" t="str">
        <f t="shared" si="34"/>
        <v>Yes</v>
      </c>
      <c r="P168" s="5" t="str">
        <f t="shared" si="35"/>
        <v>Yes</v>
      </c>
      <c r="Q168" s="5" t="str">
        <f t="shared" si="36"/>
        <v>Yes</v>
      </c>
      <c r="R168" s="5" t="str">
        <f t="shared" si="37"/>
        <v>Yes</v>
      </c>
      <c r="S168" s="5" t="str">
        <f t="shared" si="38"/>
        <v>Yes</v>
      </c>
      <c r="T168" s="5" t="str">
        <f t="shared" si="39"/>
        <v>Yes</v>
      </c>
      <c r="U168" s="5" t="str">
        <f t="shared" si="40"/>
        <v>Yes</v>
      </c>
      <c r="V168" s="5" t="str" cm="1">
        <f t="array" ref="V168">IF(OR(DB168:DG168 =1), "Yes", "No")</f>
        <v>No</v>
      </c>
      <c r="W168" s="5" t="str">
        <f t="shared" si="41"/>
        <v>Yes</v>
      </c>
      <c r="X168" s="5" t="str">
        <f t="shared" si="42"/>
        <v>No</v>
      </c>
      <c r="Y168" s="5" t="str">
        <f t="shared" si="43"/>
        <v>No</v>
      </c>
      <c r="Z168">
        <v>5</v>
      </c>
      <c r="AB168">
        <v>0</v>
      </c>
      <c r="AC168">
        <v>0</v>
      </c>
      <c r="AD168">
        <v>0</v>
      </c>
      <c r="AE168">
        <v>0</v>
      </c>
      <c r="AF168">
        <v>1</v>
      </c>
      <c r="AG168">
        <v>0</v>
      </c>
      <c r="AH168">
        <v>0</v>
      </c>
      <c r="AI168">
        <v>0</v>
      </c>
      <c r="AJ168">
        <v>0</v>
      </c>
      <c r="AK168">
        <v>1</v>
      </c>
      <c r="AM168">
        <v>0</v>
      </c>
      <c r="AN168">
        <v>1</v>
      </c>
      <c r="AO168">
        <v>0</v>
      </c>
      <c r="AQ168">
        <v>17</v>
      </c>
      <c r="AT168">
        <v>17</v>
      </c>
      <c r="AV168">
        <v>1</v>
      </c>
      <c r="AW168">
        <v>0</v>
      </c>
      <c r="AX168">
        <v>0</v>
      </c>
      <c r="AY168">
        <v>0</v>
      </c>
      <c r="AZ168">
        <v>0</v>
      </c>
      <c r="BA168">
        <v>0</v>
      </c>
      <c r="BC168">
        <v>1</v>
      </c>
      <c r="BE168">
        <v>1</v>
      </c>
      <c r="BG168">
        <v>1</v>
      </c>
      <c r="BH168">
        <v>1</v>
      </c>
      <c r="BI168">
        <v>4</v>
      </c>
      <c r="BJ168">
        <v>1</v>
      </c>
      <c r="BK168">
        <v>4</v>
      </c>
      <c r="BL168">
        <v>1</v>
      </c>
      <c r="BM168">
        <v>1</v>
      </c>
      <c r="BN168">
        <v>2</v>
      </c>
      <c r="BV168">
        <v>0</v>
      </c>
      <c r="BW168">
        <v>0</v>
      </c>
      <c r="BX168">
        <v>0</v>
      </c>
      <c r="BY168">
        <v>0</v>
      </c>
      <c r="BZ168">
        <v>0</v>
      </c>
      <c r="CA168">
        <v>0</v>
      </c>
      <c r="CB168">
        <v>0</v>
      </c>
      <c r="CC168">
        <v>0</v>
      </c>
      <c r="CD168">
        <v>0</v>
      </c>
      <c r="CE168">
        <v>0</v>
      </c>
      <c r="CF168">
        <v>0</v>
      </c>
      <c r="CG168">
        <v>0</v>
      </c>
      <c r="CH168">
        <v>0</v>
      </c>
      <c r="CI168">
        <v>1</v>
      </c>
      <c r="CJ168">
        <v>0</v>
      </c>
      <c r="CK168">
        <v>1</v>
      </c>
      <c r="CL168">
        <v>0</v>
      </c>
      <c r="CN168">
        <v>14</v>
      </c>
      <c r="CO168">
        <v>4</v>
      </c>
      <c r="CQ168">
        <v>5</v>
      </c>
      <c r="CR168">
        <v>4</v>
      </c>
      <c r="EB168">
        <v>0</v>
      </c>
      <c r="EC168">
        <v>1</v>
      </c>
      <c r="ED168">
        <v>1</v>
      </c>
      <c r="EE168">
        <v>0</v>
      </c>
      <c r="EF168">
        <v>0</v>
      </c>
      <c r="EG168">
        <v>0</v>
      </c>
      <c r="EH168">
        <v>1</v>
      </c>
      <c r="EI168">
        <v>0</v>
      </c>
      <c r="EJ168">
        <v>0</v>
      </c>
      <c r="EK168">
        <v>0</v>
      </c>
      <c r="EM168">
        <v>0</v>
      </c>
      <c r="EN168">
        <v>1</v>
      </c>
      <c r="EO168">
        <v>0</v>
      </c>
      <c r="EP168">
        <v>0</v>
      </c>
      <c r="EQ168">
        <v>0</v>
      </c>
      <c r="ER168">
        <v>0</v>
      </c>
      <c r="ES168">
        <v>0</v>
      </c>
      <c r="ET168">
        <v>0</v>
      </c>
      <c r="EU168">
        <v>0</v>
      </c>
      <c r="EV168">
        <v>1</v>
      </c>
      <c r="EW168">
        <v>0</v>
      </c>
      <c r="EX168">
        <v>0</v>
      </c>
      <c r="EY168">
        <v>0</v>
      </c>
      <c r="FB168" t="s">
        <v>421</v>
      </c>
      <c r="FC168">
        <v>1</v>
      </c>
      <c r="FD168">
        <v>0</v>
      </c>
      <c r="FE168">
        <v>0</v>
      </c>
      <c r="FF168">
        <v>0</v>
      </c>
      <c r="FG168">
        <v>0</v>
      </c>
      <c r="FH168">
        <v>0</v>
      </c>
      <c r="FI168">
        <v>0</v>
      </c>
      <c r="FJ168">
        <v>0</v>
      </c>
      <c r="FK168">
        <v>0</v>
      </c>
      <c r="FL168">
        <v>0</v>
      </c>
      <c r="FM168">
        <v>0</v>
      </c>
      <c r="FN168">
        <v>0</v>
      </c>
      <c r="FO168">
        <v>0</v>
      </c>
      <c r="FP168">
        <v>0</v>
      </c>
      <c r="FQ168">
        <v>0</v>
      </c>
      <c r="FR168">
        <v>0</v>
      </c>
      <c r="FS168">
        <v>0</v>
      </c>
      <c r="FT168">
        <v>0</v>
      </c>
      <c r="FU168">
        <v>0</v>
      </c>
      <c r="FV168">
        <v>0</v>
      </c>
      <c r="FW168">
        <v>0</v>
      </c>
      <c r="FX168">
        <v>0</v>
      </c>
      <c r="HC168" t="s">
        <v>940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0</v>
      </c>
      <c r="IW168">
        <v>1</v>
      </c>
      <c r="IZ168">
        <v>1</v>
      </c>
      <c r="JA168">
        <v>0</v>
      </c>
      <c r="JB168">
        <v>1</v>
      </c>
      <c r="JC168">
        <v>0</v>
      </c>
      <c r="JD168">
        <v>0</v>
      </c>
      <c r="JE168">
        <v>0</v>
      </c>
      <c r="JF168">
        <v>1</v>
      </c>
      <c r="JG168">
        <v>0</v>
      </c>
      <c r="JH168">
        <v>0</v>
      </c>
      <c r="JI168">
        <v>0</v>
      </c>
      <c r="JJ168">
        <v>0</v>
      </c>
      <c r="JL168">
        <v>1</v>
      </c>
      <c r="JM168" cm="1">
        <f t="array" ref="JM168">IF(OR(JN168:JQ168 &lt;&gt; ""), 1, 0)</f>
        <v>1</v>
      </c>
      <c r="JN168">
        <v>1</v>
      </c>
      <c r="JO168">
        <v>1</v>
      </c>
      <c r="JP168">
        <v>0</v>
      </c>
      <c r="JQ168">
        <v>0</v>
      </c>
    </row>
    <row r="169" spans="1:278" x14ac:dyDescent="0.35">
      <c r="A169">
        <v>405184</v>
      </c>
      <c r="C169">
        <v>1</v>
      </c>
      <c r="D169" t="s">
        <v>941</v>
      </c>
      <c r="E169" t="str">
        <f>_xlfn.XLOOKUP(I169, [1]SchoolDistrictStudyWODuplicates!$K:$K, [1]SchoolDistrictStudyWODuplicates!$E:$E, "")</f>
        <v/>
      </c>
      <c r="G169" t="s">
        <v>942</v>
      </c>
      <c r="H169" s="5" t="e">
        <f>_xlfn.XLOOKUP(A169,#REF!,#REF!, "No")</f>
        <v>#REF!</v>
      </c>
      <c r="I169" s="7">
        <v>3905063</v>
      </c>
      <c r="J169" s="5" t="e">
        <f>_xlfn.XLOOKUP(I169,#REF!,#REF!,"Not Determined")</f>
        <v>#REF!</v>
      </c>
      <c r="K169" s="5" t="s">
        <v>910</v>
      </c>
      <c r="L169" t="s">
        <v>927</v>
      </c>
      <c r="M169" s="13" t="e">
        <f>_xlfn.XLOOKUP(I169,#REF!,#REF!, "No")</f>
        <v>#REF!</v>
      </c>
      <c r="N169" s="5" t="str">
        <f t="shared" si="33"/>
        <v>No</v>
      </c>
      <c r="O169" s="5" t="str">
        <f t="shared" si="34"/>
        <v>Yes</v>
      </c>
      <c r="P169" s="5" t="str">
        <f t="shared" si="35"/>
        <v>Yes</v>
      </c>
      <c r="Q169" s="5" t="str">
        <f t="shared" si="36"/>
        <v>No</v>
      </c>
      <c r="R169" s="5" t="str">
        <f t="shared" si="37"/>
        <v>Yes</v>
      </c>
      <c r="S169" s="5" t="str">
        <f t="shared" si="38"/>
        <v>Yes</v>
      </c>
      <c r="T169" s="5" t="str">
        <f t="shared" si="39"/>
        <v>Yes</v>
      </c>
      <c r="U169" s="5" t="str">
        <f t="shared" si="40"/>
        <v>No</v>
      </c>
      <c r="V169" s="5" t="str" cm="1">
        <f t="array" ref="V169">IF(OR(DB169:DG169 =1), "Yes", "No")</f>
        <v>No</v>
      </c>
      <c r="W169" s="5" t="str">
        <f t="shared" si="41"/>
        <v>No</v>
      </c>
      <c r="X169" s="5" t="str">
        <f t="shared" si="42"/>
        <v>No</v>
      </c>
      <c r="Y169" s="5" t="str">
        <f t="shared" si="43"/>
        <v>No</v>
      </c>
      <c r="Z169">
        <v>13</v>
      </c>
      <c r="AB169">
        <v>0</v>
      </c>
      <c r="AC169">
        <v>0</v>
      </c>
      <c r="AD169">
        <v>0</v>
      </c>
      <c r="AE169">
        <v>0</v>
      </c>
      <c r="AF169">
        <v>0</v>
      </c>
      <c r="AG169">
        <v>0</v>
      </c>
      <c r="AH169">
        <v>0</v>
      </c>
      <c r="AI169">
        <v>1</v>
      </c>
      <c r="AJ169">
        <v>0</v>
      </c>
      <c r="AK169">
        <v>1</v>
      </c>
      <c r="AM169">
        <v>1</v>
      </c>
      <c r="AN169">
        <v>1</v>
      </c>
      <c r="AO169">
        <v>1</v>
      </c>
      <c r="AP169">
        <v>2</v>
      </c>
      <c r="AQ169">
        <v>2</v>
      </c>
      <c r="AR169">
        <v>7</v>
      </c>
      <c r="AS169">
        <v>2</v>
      </c>
      <c r="AT169">
        <v>2</v>
      </c>
      <c r="AU169">
        <v>7</v>
      </c>
      <c r="AV169">
        <v>1</v>
      </c>
      <c r="AW169">
        <v>1</v>
      </c>
      <c r="AX169">
        <v>0</v>
      </c>
      <c r="AY169">
        <v>0</v>
      </c>
      <c r="AZ169">
        <v>0</v>
      </c>
      <c r="BA169">
        <v>0</v>
      </c>
      <c r="BC169">
        <v>1</v>
      </c>
      <c r="BE169">
        <v>1</v>
      </c>
      <c r="BG169">
        <v>1</v>
      </c>
      <c r="BH169">
        <v>3</v>
      </c>
      <c r="BI169">
        <v>4</v>
      </c>
      <c r="BJ169">
        <v>2</v>
      </c>
      <c r="BL169">
        <v>2</v>
      </c>
      <c r="BM169">
        <v>1</v>
      </c>
      <c r="BN169">
        <v>1</v>
      </c>
      <c r="BO169">
        <v>1</v>
      </c>
      <c r="BP169">
        <v>0</v>
      </c>
      <c r="BQ169">
        <v>0</v>
      </c>
      <c r="BR169">
        <v>0</v>
      </c>
      <c r="BS169">
        <v>0</v>
      </c>
      <c r="BT169">
        <v>0</v>
      </c>
      <c r="BV169">
        <v>0</v>
      </c>
      <c r="BW169">
        <v>0</v>
      </c>
      <c r="BX169">
        <v>0</v>
      </c>
      <c r="BY169">
        <v>1</v>
      </c>
      <c r="BZ169">
        <v>1</v>
      </c>
      <c r="CA169">
        <v>0</v>
      </c>
      <c r="CB169">
        <v>0</v>
      </c>
      <c r="CC169">
        <v>0</v>
      </c>
      <c r="CD169">
        <v>1</v>
      </c>
      <c r="CE169">
        <v>0</v>
      </c>
      <c r="CF169">
        <v>1</v>
      </c>
      <c r="CG169">
        <v>1</v>
      </c>
      <c r="CH169">
        <v>0</v>
      </c>
      <c r="CI169">
        <v>1</v>
      </c>
      <c r="CJ169">
        <v>0</v>
      </c>
      <c r="CK169">
        <v>1</v>
      </c>
      <c r="CL169">
        <v>0</v>
      </c>
      <c r="CN169">
        <v>4</v>
      </c>
      <c r="CO169">
        <v>4</v>
      </c>
      <c r="CQ169">
        <v>3</v>
      </c>
      <c r="CR169">
        <v>1</v>
      </c>
      <c r="EB169">
        <v>0</v>
      </c>
      <c r="EC169">
        <v>1</v>
      </c>
      <c r="ED169">
        <v>1</v>
      </c>
      <c r="EE169">
        <v>0</v>
      </c>
      <c r="EF169">
        <v>0</v>
      </c>
      <c r="EG169">
        <v>0</v>
      </c>
      <c r="EH169">
        <v>0</v>
      </c>
      <c r="EI169">
        <v>0</v>
      </c>
      <c r="EJ169">
        <v>0</v>
      </c>
      <c r="EK169">
        <v>0</v>
      </c>
      <c r="EM169">
        <v>0</v>
      </c>
      <c r="EN169">
        <v>1</v>
      </c>
      <c r="EO169">
        <v>0</v>
      </c>
      <c r="EP169">
        <v>1</v>
      </c>
      <c r="EQ169">
        <v>1</v>
      </c>
      <c r="ER169">
        <v>0</v>
      </c>
      <c r="ES169">
        <v>0</v>
      </c>
      <c r="ET169">
        <v>0</v>
      </c>
      <c r="EU169">
        <v>0</v>
      </c>
      <c r="EV169">
        <v>1</v>
      </c>
      <c r="EW169">
        <v>0</v>
      </c>
      <c r="EX169">
        <v>0</v>
      </c>
      <c r="EY169">
        <v>0</v>
      </c>
      <c r="FB169" t="s">
        <v>857</v>
      </c>
      <c r="FC169">
        <v>1</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HC169" t="s">
        <v>943</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1</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0</v>
      </c>
      <c r="IW169">
        <v>0</v>
      </c>
      <c r="IZ169">
        <v>0</v>
      </c>
      <c r="JA169">
        <v>0</v>
      </c>
      <c r="JB169">
        <v>0</v>
      </c>
      <c r="JC169">
        <v>0</v>
      </c>
      <c r="JD169">
        <v>0</v>
      </c>
      <c r="JE169">
        <v>0</v>
      </c>
      <c r="JF169">
        <v>0</v>
      </c>
      <c r="JG169">
        <v>0</v>
      </c>
      <c r="JH169">
        <v>0</v>
      </c>
      <c r="JI169">
        <v>0</v>
      </c>
      <c r="JJ169">
        <v>1</v>
      </c>
      <c r="JL169">
        <v>2</v>
      </c>
      <c r="JM169" cm="1">
        <f t="array" ref="JM169">IF(OR(JN169:JQ169 &lt;&gt; ""), 1, 0)</f>
        <v>0</v>
      </c>
    </row>
    <row r="170" spans="1:278" x14ac:dyDescent="0.35">
      <c r="A170">
        <v>396952</v>
      </c>
      <c r="C170">
        <v>1</v>
      </c>
      <c r="D170" t="s">
        <v>944</v>
      </c>
      <c r="E170" t="str">
        <f>_xlfn.XLOOKUP(I170, [1]SchoolDistrictStudyWODuplicates!$K:$K, [1]SchoolDistrictStudyWODuplicates!$E:$E, "")</f>
        <v/>
      </c>
      <c r="G170" t="s">
        <v>945</v>
      </c>
      <c r="H170" s="5" t="e">
        <f>_xlfn.XLOOKUP(A170,#REF!,#REF!, "No")</f>
        <v>#REF!</v>
      </c>
      <c r="I170" s="7">
        <v>3904594</v>
      </c>
      <c r="J170" s="5" t="e">
        <f>_xlfn.XLOOKUP(I170,#REF!,#REF!,"Not Determined")</f>
        <v>#REF!</v>
      </c>
      <c r="K170" s="5" t="s">
        <v>910</v>
      </c>
      <c r="L170" t="s">
        <v>927</v>
      </c>
      <c r="M170" s="13" t="e">
        <f>_xlfn.XLOOKUP(I170,#REF!,#REF!, "No")</f>
        <v>#REF!</v>
      </c>
      <c r="N170" s="5" t="str">
        <f t="shared" si="33"/>
        <v>No</v>
      </c>
      <c r="O170" s="5" t="str">
        <f t="shared" si="34"/>
        <v>Yes</v>
      </c>
      <c r="P170" s="5" t="str">
        <f t="shared" si="35"/>
        <v>No</v>
      </c>
      <c r="Q170" s="5" t="str">
        <f t="shared" si="36"/>
        <v>Yes</v>
      </c>
      <c r="R170" s="5" t="str">
        <f t="shared" si="37"/>
        <v>No</v>
      </c>
      <c r="S170" s="5" t="str">
        <f t="shared" si="38"/>
        <v>No</v>
      </c>
      <c r="T170" s="5" t="str">
        <f t="shared" si="39"/>
        <v>No</v>
      </c>
      <c r="U170" s="5" t="str">
        <f t="shared" si="40"/>
        <v>No</v>
      </c>
      <c r="V170" s="5" t="str" cm="1">
        <f t="array" ref="V170">IF(OR(DB170:DG170 =1), "Yes", "No")</f>
        <v>No</v>
      </c>
      <c r="W170" s="5" t="str">
        <f t="shared" si="41"/>
        <v>No</v>
      </c>
      <c r="X170" s="5" t="str">
        <f t="shared" si="42"/>
        <v>No</v>
      </c>
      <c r="Y170" s="5" t="str">
        <f t="shared" si="43"/>
        <v>No</v>
      </c>
      <c r="Z170">
        <v>3</v>
      </c>
      <c r="AB170">
        <v>1</v>
      </c>
      <c r="AC170">
        <v>0</v>
      </c>
      <c r="AD170">
        <v>1</v>
      </c>
      <c r="AE170">
        <v>0</v>
      </c>
      <c r="AF170">
        <v>0</v>
      </c>
      <c r="AG170">
        <v>0</v>
      </c>
      <c r="AH170">
        <v>0</v>
      </c>
      <c r="AI170">
        <v>1</v>
      </c>
      <c r="AJ170">
        <v>0</v>
      </c>
      <c r="AK170">
        <v>1</v>
      </c>
      <c r="AM170">
        <v>0</v>
      </c>
      <c r="AN170">
        <v>1</v>
      </c>
      <c r="AO170">
        <v>1</v>
      </c>
      <c r="AQ170">
        <v>2</v>
      </c>
      <c r="AR170">
        <v>6</v>
      </c>
      <c r="AT170">
        <v>2</v>
      </c>
      <c r="AU170">
        <v>6</v>
      </c>
      <c r="AV170">
        <v>1</v>
      </c>
      <c r="AW170">
        <v>1</v>
      </c>
      <c r="AX170">
        <v>0</v>
      </c>
      <c r="AY170">
        <v>0</v>
      </c>
      <c r="AZ170">
        <v>0</v>
      </c>
      <c r="BA170">
        <v>0</v>
      </c>
      <c r="BC170">
        <v>2</v>
      </c>
      <c r="BE170">
        <v>1</v>
      </c>
      <c r="BG170">
        <v>1</v>
      </c>
      <c r="BH170">
        <v>1</v>
      </c>
      <c r="BI170">
        <v>4</v>
      </c>
      <c r="BJ170">
        <v>1</v>
      </c>
      <c r="BK170">
        <v>4</v>
      </c>
      <c r="BL170">
        <v>2</v>
      </c>
      <c r="BM170">
        <v>2</v>
      </c>
      <c r="BN170">
        <v>2</v>
      </c>
      <c r="BV170">
        <v>0</v>
      </c>
      <c r="BW170">
        <v>0</v>
      </c>
      <c r="BX170">
        <v>1</v>
      </c>
      <c r="BY170">
        <v>1</v>
      </c>
      <c r="BZ170">
        <v>1</v>
      </c>
      <c r="CA170">
        <v>0</v>
      </c>
      <c r="CB170">
        <v>0</v>
      </c>
      <c r="CC170">
        <v>0</v>
      </c>
      <c r="CD170">
        <v>1</v>
      </c>
      <c r="CE170">
        <v>0</v>
      </c>
      <c r="CF170">
        <v>1</v>
      </c>
      <c r="CG170">
        <v>1</v>
      </c>
      <c r="CH170">
        <v>0</v>
      </c>
      <c r="CI170">
        <v>1</v>
      </c>
      <c r="CJ170">
        <v>0</v>
      </c>
      <c r="CK170">
        <v>0</v>
      </c>
      <c r="CL170">
        <v>0</v>
      </c>
      <c r="CN170">
        <v>9</v>
      </c>
      <c r="CO170">
        <v>4</v>
      </c>
      <c r="CQ170">
        <v>6</v>
      </c>
      <c r="CR170">
        <v>6</v>
      </c>
      <c r="EB170">
        <v>1</v>
      </c>
      <c r="EC170">
        <v>0</v>
      </c>
      <c r="ED170">
        <v>0</v>
      </c>
      <c r="EE170">
        <v>1</v>
      </c>
      <c r="EF170">
        <v>1</v>
      </c>
      <c r="EG170">
        <v>1</v>
      </c>
      <c r="EH170">
        <v>0</v>
      </c>
      <c r="EI170">
        <v>1</v>
      </c>
      <c r="EJ170">
        <v>0</v>
      </c>
      <c r="EK170">
        <v>0</v>
      </c>
      <c r="EM170">
        <v>0</v>
      </c>
      <c r="EN170">
        <v>0</v>
      </c>
      <c r="EO170">
        <v>0</v>
      </c>
      <c r="EP170">
        <v>0</v>
      </c>
      <c r="EQ170">
        <v>0</v>
      </c>
      <c r="ER170">
        <v>0</v>
      </c>
      <c r="ES170">
        <v>0</v>
      </c>
      <c r="ET170">
        <v>0</v>
      </c>
      <c r="EU170">
        <v>0</v>
      </c>
      <c r="EV170">
        <v>0</v>
      </c>
      <c r="EW170">
        <v>0</v>
      </c>
      <c r="EX170">
        <v>0</v>
      </c>
      <c r="EY170">
        <v>1</v>
      </c>
      <c r="IZ170">
        <v>1</v>
      </c>
      <c r="JA170">
        <v>1</v>
      </c>
      <c r="JB170">
        <v>0</v>
      </c>
      <c r="JC170">
        <v>1</v>
      </c>
      <c r="JD170">
        <v>0</v>
      </c>
      <c r="JE170">
        <v>0</v>
      </c>
      <c r="JF170">
        <v>0</v>
      </c>
      <c r="JG170">
        <v>0</v>
      </c>
      <c r="JH170">
        <v>0</v>
      </c>
      <c r="JI170">
        <v>0</v>
      </c>
      <c r="JJ170">
        <v>0</v>
      </c>
      <c r="JL170">
        <v>2</v>
      </c>
      <c r="JM170" cm="1">
        <f t="array" ref="JM170">IF(OR(JN170:JQ170 &lt;&gt; ""), 1, 0)</f>
        <v>0</v>
      </c>
    </row>
    <row r="171" spans="1:278" x14ac:dyDescent="0.35">
      <c r="A171">
        <v>393051</v>
      </c>
      <c r="C171">
        <v>1</v>
      </c>
      <c r="D171" t="s">
        <v>946</v>
      </c>
      <c r="E171" t="str">
        <f>_xlfn.XLOOKUP(I171, [1]SchoolDistrictStudyWODuplicates!$K:$K, [1]SchoolDistrictStudyWODuplicates!$E:$E, "")</f>
        <v>Ridgemont Local School District</v>
      </c>
      <c r="G171" t="s">
        <v>947</v>
      </c>
      <c r="H171" s="7">
        <v>3904750</v>
      </c>
      <c r="I171" s="7">
        <v>3904750</v>
      </c>
      <c r="J171" s="5" t="e">
        <f>_xlfn.XLOOKUP(I171,#REF!,#REF!,"Not Determined")</f>
        <v>#REF!</v>
      </c>
      <c r="K171" s="5" t="s">
        <v>910</v>
      </c>
      <c r="L171" t="s">
        <v>927</v>
      </c>
      <c r="M171" s="13" t="e">
        <f>_xlfn.XLOOKUP(I171,#REF!,#REF!, "No")</f>
        <v>#REF!</v>
      </c>
      <c r="N171" s="5" t="str">
        <f t="shared" si="33"/>
        <v>No</v>
      </c>
      <c r="O171" s="5" t="str">
        <f t="shared" si="34"/>
        <v>Yes</v>
      </c>
      <c r="P171" s="5" t="str">
        <f t="shared" si="35"/>
        <v>Yes</v>
      </c>
      <c r="Q171" s="5" t="str">
        <f t="shared" si="36"/>
        <v>Yes</v>
      </c>
      <c r="R171" s="5" t="str">
        <f t="shared" si="37"/>
        <v>Yes</v>
      </c>
      <c r="S171" s="5" t="str">
        <f t="shared" si="38"/>
        <v>Yes</v>
      </c>
      <c r="T171" s="5" t="str">
        <f t="shared" si="39"/>
        <v>Yes</v>
      </c>
      <c r="U171" s="5" t="str">
        <f t="shared" si="40"/>
        <v>Yes</v>
      </c>
      <c r="V171" s="5" t="str" cm="1">
        <f t="array" ref="V171">IF(OR(DB171:DG171 =1), "Yes", "No")</f>
        <v>No</v>
      </c>
      <c r="W171" s="5" t="str">
        <f t="shared" si="41"/>
        <v>No</v>
      </c>
      <c r="X171" s="5" t="str">
        <f t="shared" si="42"/>
        <v>No</v>
      </c>
      <c r="Y171" s="5" t="str">
        <f t="shared" si="43"/>
        <v>No</v>
      </c>
      <c r="Z171">
        <v>3</v>
      </c>
      <c r="AB171">
        <v>0</v>
      </c>
      <c r="AC171">
        <v>0</v>
      </c>
      <c r="AD171">
        <v>1</v>
      </c>
      <c r="AE171">
        <v>0</v>
      </c>
      <c r="AF171">
        <v>0</v>
      </c>
      <c r="AG171">
        <v>0</v>
      </c>
      <c r="AH171">
        <v>0</v>
      </c>
      <c r="AI171">
        <v>0</v>
      </c>
      <c r="AJ171">
        <v>0</v>
      </c>
      <c r="AK171">
        <v>1</v>
      </c>
      <c r="AM171">
        <v>0</v>
      </c>
      <c r="AN171">
        <v>1</v>
      </c>
      <c r="AO171">
        <v>1</v>
      </c>
      <c r="AQ171">
        <v>3</v>
      </c>
      <c r="AR171">
        <v>7</v>
      </c>
      <c r="AT171">
        <v>3</v>
      </c>
      <c r="AU171">
        <v>7</v>
      </c>
      <c r="AV171">
        <v>1</v>
      </c>
      <c r="AW171">
        <v>0</v>
      </c>
      <c r="AX171">
        <v>0</v>
      </c>
      <c r="AY171">
        <v>0</v>
      </c>
      <c r="AZ171">
        <v>0</v>
      </c>
      <c r="BA171">
        <v>0</v>
      </c>
      <c r="BC171">
        <v>1</v>
      </c>
      <c r="BE171">
        <v>1</v>
      </c>
      <c r="BG171">
        <v>1</v>
      </c>
      <c r="BH171">
        <v>1</v>
      </c>
      <c r="BI171">
        <v>3</v>
      </c>
      <c r="BJ171">
        <v>2</v>
      </c>
      <c r="BL171">
        <v>2</v>
      </c>
      <c r="BM171">
        <v>1</v>
      </c>
      <c r="BN171">
        <v>2</v>
      </c>
      <c r="BV171">
        <v>1</v>
      </c>
      <c r="BW171">
        <v>0</v>
      </c>
      <c r="BX171">
        <v>1</v>
      </c>
      <c r="BY171">
        <v>1</v>
      </c>
      <c r="BZ171">
        <v>1</v>
      </c>
      <c r="CA171">
        <v>0</v>
      </c>
      <c r="CB171">
        <v>0</v>
      </c>
      <c r="CC171">
        <v>1</v>
      </c>
      <c r="CD171">
        <v>0</v>
      </c>
      <c r="CE171">
        <v>0</v>
      </c>
      <c r="CF171">
        <v>0</v>
      </c>
      <c r="CG171">
        <v>0</v>
      </c>
      <c r="CH171">
        <v>0</v>
      </c>
      <c r="CI171">
        <v>1</v>
      </c>
      <c r="CJ171">
        <v>0</v>
      </c>
      <c r="CK171">
        <v>0</v>
      </c>
      <c r="CL171">
        <v>0</v>
      </c>
      <c r="CN171">
        <v>3</v>
      </c>
      <c r="CO171">
        <v>4</v>
      </c>
      <c r="CQ171">
        <v>3</v>
      </c>
      <c r="CR171">
        <v>3</v>
      </c>
      <c r="EB171">
        <v>0</v>
      </c>
      <c r="EC171">
        <v>1</v>
      </c>
      <c r="ED171">
        <v>1</v>
      </c>
      <c r="EE171">
        <v>1</v>
      </c>
      <c r="EF171">
        <v>0</v>
      </c>
      <c r="EG171">
        <v>1</v>
      </c>
      <c r="EH171">
        <v>0</v>
      </c>
      <c r="EI171">
        <v>0</v>
      </c>
      <c r="EJ171">
        <v>0</v>
      </c>
      <c r="EK171">
        <v>0</v>
      </c>
      <c r="EM171">
        <v>0</v>
      </c>
      <c r="EN171">
        <v>1</v>
      </c>
      <c r="EO171">
        <v>1</v>
      </c>
      <c r="EP171">
        <v>1</v>
      </c>
      <c r="EQ171">
        <v>0</v>
      </c>
      <c r="ER171">
        <v>0</v>
      </c>
      <c r="ES171">
        <v>0</v>
      </c>
      <c r="ET171">
        <v>0</v>
      </c>
      <c r="EU171">
        <v>1</v>
      </c>
      <c r="EV171">
        <v>1</v>
      </c>
      <c r="EW171">
        <v>1</v>
      </c>
      <c r="EX171">
        <v>0</v>
      </c>
      <c r="EY171">
        <v>0</v>
      </c>
      <c r="FB171" t="s">
        <v>948</v>
      </c>
      <c r="FC171">
        <v>1</v>
      </c>
      <c r="FD171">
        <v>1</v>
      </c>
      <c r="FE171">
        <v>0</v>
      </c>
      <c r="FF171">
        <v>0</v>
      </c>
      <c r="FG171">
        <v>0</v>
      </c>
      <c r="FH171">
        <v>0</v>
      </c>
      <c r="FI171">
        <v>0</v>
      </c>
      <c r="FJ171">
        <v>1</v>
      </c>
      <c r="FK171">
        <v>0</v>
      </c>
      <c r="FL171">
        <v>0</v>
      </c>
      <c r="FM171">
        <v>0</v>
      </c>
      <c r="FN171">
        <v>0</v>
      </c>
      <c r="FO171">
        <v>0</v>
      </c>
      <c r="FP171">
        <v>0</v>
      </c>
      <c r="FQ171">
        <v>0</v>
      </c>
      <c r="FR171">
        <v>0</v>
      </c>
      <c r="FS171">
        <v>0</v>
      </c>
      <c r="FT171">
        <v>0</v>
      </c>
      <c r="FU171">
        <v>0</v>
      </c>
      <c r="FV171">
        <v>0</v>
      </c>
      <c r="FW171">
        <v>0</v>
      </c>
      <c r="FX171">
        <v>0</v>
      </c>
      <c r="FY171" t="s">
        <v>949</v>
      </c>
      <c r="FZ171">
        <v>1</v>
      </c>
      <c r="GA171">
        <v>0</v>
      </c>
      <c r="GB171">
        <v>0</v>
      </c>
      <c r="GC171">
        <v>0</v>
      </c>
      <c r="GD171">
        <v>0</v>
      </c>
      <c r="GE171">
        <v>0</v>
      </c>
      <c r="GF171">
        <v>0</v>
      </c>
      <c r="GG171">
        <v>0</v>
      </c>
      <c r="GH171">
        <v>0</v>
      </c>
      <c r="GI171">
        <v>0</v>
      </c>
      <c r="GJ171">
        <v>0</v>
      </c>
      <c r="GK171">
        <v>0</v>
      </c>
      <c r="GL171">
        <v>0</v>
      </c>
      <c r="GM171">
        <v>0</v>
      </c>
      <c r="GN171">
        <v>0</v>
      </c>
      <c r="GO171">
        <v>0</v>
      </c>
      <c r="GP171">
        <v>0</v>
      </c>
      <c r="GQ171">
        <v>0</v>
      </c>
      <c r="GR171">
        <v>0</v>
      </c>
      <c r="HC171" t="s">
        <v>950</v>
      </c>
      <c r="HD171">
        <v>1</v>
      </c>
      <c r="HE171">
        <v>0</v>
      </c>
      <c r="HF171">
        <v>0</v>
      </c>
      <c r="HG171">
        <v>0</v>
      </c>
      <c r="HH171">
        <v>0</v>
      </c>
      <c r="HI171">
        <v>0</v>
      </c>
      <c r="HJ171">
        <v>0</v>
      </c>
      <c r="HK171">
        <v>0</v>
      </c>
      <c r="HL171">
        <v>0</v>
      </c>
      <c r="HM171">
        <v>0</v>
      </c>
      <c r="HN171">
        <v>0</v>
      </c>
      <c r="HO171">
        <v>0</v>
      </c>
      <c r="HP171">
        <v>0</v>
      </c>
      <c r="HQ171">
        <v>0</v>
      </c>
      <c r="HR171">
        <v>0</v>
      </c>
      <c r="HS171">
        <v>0</v>
      </c>
      <c r="HT171">
        <v>0</v>
      </c>
      <c r="HU171">
        <v>0</v>
      </c>
      <c r="HV171">
        <v>1</v>
      </c>
      <c r="HW171">
        <v>0</v>
      </c>
      <c r="HX171">
        <v>0</v>
      </c>
      <c r="HY171">
        <v>0</v>
      </c>
      <c r="HZ171">
        <v>0</v>
      </c>
      <c r="IA171">
        <v>0</v>
      </c>
      <c r="IB171">
        <v>0</v>
      </c>
      <c r="IC171">
        <v>0</v>
      </c>
      <c r="ID171">
        <v>0</v>
      </c>
      <c r="IE171">
        <v>0</v>
      </c>
      <c r="IF171">
        <v>0</v>
      </c>
      <c r="IG171">
        <v>0</v>
      </c>
      <c r="IH171">
        <v>0</v>
      </c>
      <c r="II171">
        <v>0</v>
      </c>
      <c r="IJ171">
        <v>0</v>
      </c>
      <c r="IK171">
        <v>0</v>
      </c>
      <c r="IL171">
        <v>0</v>
      </c>
      <c r="IM171">
        <v>0</v>
      </c>
      <c r="IN171">
        <v>0</v>
      </c>
      <c r="IO171">
        <v>0</v>
      </c>
      <c r="IP171">
        <v>0</v>
      </c>
      <c r="IQ171">
        <v>0</v>
      </c>
      <c r="IR171">
        <v>0</v>
      </c>
      <c r="IS171">
        <v>0</v>
      </c>
      <c r="IT171">
        <v>0</v>
      </c>
      <c r="IU171">
        <v>0</v>
      </c>
      <c r="IV171">
        <v>0</v>
      </c>
      <c r="IW171">
        <v>0</v>
      </c>
      <c r="IZ171">
        <v>1</v>
      </c>
      <c r="JA171">
        <v>0</v>
      </c>
      <c r="JB171">
        <v>0</v>
      </c>
      <c r="JC171">
        <v>0</v>
      </c>
      <c r="JD171">
        <v>1</v>
      </c>
      <c r="JE171">
        <v>0</v>
      </c>
      <c r="JF171">
        <v>0</v>
      </c>
      <c r="JG171">
        <v>0</v>
      </c>
      <c r="JH171">
        <v>1</v>
      </c>
      <c r="JI171">
        <v>0</v>
      </c>
      <c r="JJ171">
        <v>0</v>
      </c>
      <c r="JL171">
        <v>2</v>
      </c>
      <c r="JM171" cm="1">
        <f t="array" ref="JM171">IF(OR(JN171:JQ171 &lt;&gt; ""), 1, 0)</f>
        <v>0</v>
      </c>
    </row>
    <row r="172" spans="1:278" x14ac:dyDescent="0.35">
      <c r="A172">
        <v>405494</v>
      </c>
      <c r="C172">
        <v>1</v>
      </c>
      <c r="D172" t="s">
        <v>951</v>
      </c>
      <c r="E172" t="str">
        <f>_xlfn.XLOOKUP(I172, [1]SchoolDistrictStudyWODuplicates!$K:$K, [1]SchoolDistrictStudyWODuplicates!$E:$E, "")</f>
        <v/>
      </c>
      <c r="G172" t="s">
        <v>952</v>
      </c>
      <c r="H172" s="5" t="e">
        <f>_xlfn.XLOOKUP(A172,#REF!,#REF!, "No")</f>
        <v>#REF!</v>
      </c>
      <c r="I172" s="7">
        <v>3910009</v>
      </c>
      <c r="J172" s="5" t="e">
        <f>_xlfn.XLOOKUP(I172,#REF!,#REF!,"Not Determined")</f>
        <v>#REF!</v>
      </c>
      <c r="K172" s="5" t="s">
        <v>910</v>
      </c>
      <c r="L172" t="s">
        <v>927</v>
      </c>
      <c r="M172" s="13" t="e">
        <f>_xlfn.XLOOKUP(I172,#REF!,#REF!, "No")</f>
        <v>#REF!</v>
      </c>
      <c r="N172" s="5" t="str">
        <f t="shared" si="33"/>
        <v>No</v>
      </c>
      <c r="O172" s="5" t="str">
        <f t="shared" si="34"/>
        <v>Yes</v>
      </c>
      <c r="P172" s="5" t="str">
        <f t="shared" si="35"/>
        <v>Yes</v>
      </c>
      <c r="Q172" s="5" t="str">
        <f t="shared" si="36"/>
        <v>Yes</v>
      </c>
      <c r="R172" s="5" t="str">
        <f t="shared" si="37"/>
        <v>No</v>
      </c>
      <c r="S172" s="5" t="str">
        <f t="shared" si="38"/>
        <v>No</v>
      </c>
      <c r="T172" s="5" t="str">
        <f t="shared" si="39"/>
        <v>No</v>
      </c>
      <c r="U172" s="5" t="str">
        <f t="shared" si="40"/>
        <v>No</v>
      </c>
      <c r="V172" s="5" t="str" cm="1">
        <f t="array" ref="V172">IF(OR(DB172:DG172 =1), "Yes", "No")</f>
        <v>No</v>
      </c>
      <c r="W172" s="5" t="str">
        <f t="shared" si="41"/>
        <v>No</v>
      </c>
      <c r="X172" s="5" t="str">
        <f t="shared" si="42"/>
        <v>No</v>
      </c>
      <c r="Y172" s="5" t="str">
        <f t="shared" si="43"/>
        <v>No</v>
      </c>
      <c r="Z172">
        <v>3</v>
      </c>
      <c r="AB172">
        <v>1</v>
      </c>
      <c r="AC172">
        <v>0</v>
      </c>
      <c r="AD172">
        <v>1</v>
      </c>
      <c r="AE172">
        <v>0</v>
      </c>
      <c r="AF172">
        <v>0</v>
      </c>
      <c r="AG172">
        <v>0</v>
      </c>
      <c r="AH172">
        <v>0</v>
      </c>
      <c r="AI172">
        <v>0</v>
      </c>
      <c r="AJ172">
        <v>0</v>
      </c>
      <c r="AK172">
        <v>1</v>
      </c>
      <c r="AM172">
        <v>0</v>
      </c>
      <c r="AN172">
        <v>1</v>
      </c>
      <c r="AO172">
        <v>1</v>
      </c>
      <c r="AQ172">
        <v>1</v>
      </c>
      <c r="AR172">
        <v>14</v>
      </c>
      <c r="AT172">
        <v>1</v>
      </c>
      <c r="AU172">
        <v>14</v>
      </c>
      <c r="AV172">
        <v>1</v>
      </c>
      <c r="AW172">
        <v>0</v>
      </c>
      <c r="AX172">
        <v>0</v>
      </c>
      <c r="AY172">
        <v>0</v>
      </c>
      <c r="AZ172">
        <v>0</v>
      </c>
      <c r="BA172">
        <v>0</v>
      </c>
      <c r="BC172">
        <v>2</v>
      </c>
      <c r="BE172">
        <v>1</v>
      </c>
      <c r="BG172">
        <v>1</v>
      </c>
      <c r="BH172">
        <v>1</v>
      </c>
      <c r="BI172">
        <v>4</v>
      </c>
      <c r="BJ172">
        <v>2</v>
      </c>
      <c r="BL172">
        <v>2</v>
      </c>
      <c r="BM172">
        <v>1</v>
      </c>
      <c r="BN172">
        <v>2</v>
      </c>
      <c r="BV172">
        <v>0</v>
      </c>
      <c r="BW172">
        <v>0</v>
      </c>
      <c r="BX172">
        <v>1</v>
      </c>
      <c r="BY172">
        <v>0</v>
      </c>
      <c r="BZ172">
        <v>1</v>
      </c>
      <c r="CA172">
        <v>0</v>
      </c>
      <c r="CB172">
        <v>0</v>
      </c>
      <c r="CC172">
        <v>1</v>
      </c>
      <c r="CD172">
        <v>1</v>
      </c>
      <c r="CE172">
        <v>0</v>
      </c>
      <c r="CF172">
        <v>0</v>
      </c>
      <c r="CG172">
        <v>0</v>
      </c>
      <c r="CH172">
        <v>0</v>
      </c>
      <c r="CI172">
        <v>0</v>
      </c>
      <c r="CJ172">
        <v>0</v>
      </c>
      <c r="CK172">
        <v>1</v>
      </c>
      <c r="CL172">
        <v>0</v>
      </c>
      <c r="CN172">
        <v>5</v>
      </c>
      <c r="CO172">
        <v>4</v>
      </c>
      <c r="CQ172">
        <v>6</v>
      </c>
      <c r="CR172">
        <v>6</v>
      </c>
      <c r="EB172">
        <v>0</v>
      </c>
      <c r="EC172">
        <v>0</v>
      </c>
      <c r="ED172">
        <v>1</v>
      </c>
      <c r="EE172">
        <v>0</v>
      </c>
      <c r="EF172">
        <v>0</v>
      </c>
      <c r="EG172">
        <v>1</v>
      </c>
      <c r="EH172">
        <v>0</v>
      </c>
      <c r="EI172">
        <v>0</v>
      </c>
      <c r="EJ172">
        <v>0</v>
      </c>
      <c r="EK172">
        <v>0</v>
      </c>
      <c r="EM172">
        <v>0</v>
      </c>
      <c r="EN172">
        <v>1</v>
      </c>
      <c r="EO172">
        <v>0</v>
      </c>
      <c r="EP172">
        <v>1</v>
      </c>
      <c r="EQ172">
        <v>0</v>
      </c>
      <c r="ER172">
        <v>0</v>
      </c>
      <c r="ES172">
        <v>0</v>
      </c>
      <c r="ET172">
        <v>0</v>
      </c>
      <c r="EU172">
        <v>0</v>
      </c>
      <c r="EV172">
        <v>1</v>
      </c>
      <c r="EW172">
        <v>1</v>
      </c>
      <c r="EX172">
        <v>0</v>
      </c>
      <c r="EY172">
        <v>0</v>
      </c>
      <c r="FB172" t="s">
        <v>400</v>
      </c>
      <c r="FC172">
        <v>0</v>
      </c>
      <c r="FD172">
        <v>1</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HC172" t="s">
        <v>953</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1</v>
      </c>
      <c r="IA172">
        <v>0</v>
      </c>
      <c r="IB172">
        <v>0</v>
      </c>
      <c r="IC172">
        <v>0</v>
      </c>
      <c r="ID172">
        <v>0</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Z172">
        <v>0</v>
      </c>
      <c r="JA172">
        <v>0</v>
      </c>
      <c r="JB172">
        <v>0</v>
      </c>
      <c r="JC172">
        <v>1</v>
      </c>
      <c r="JD172">
        <v>0</v>
      </c>
      <c r="JE172">
        <v>0</v>
      </c>
      <c r="JF172">
        <v>0</v>
      </c>
      <c r="JG172">
        <v>0</v>
      </c>
      <c r="JH172">
        <v>0</v>
      </c>
      <c r="JI172">
        <v>0</v>
      </c>
      <c r="JJ172">
        <v>0</v>
      </c>
      <c r="JL172">
        <v>2</v>
      </c>
      <c r="JM172" cm="1">
        <f t="array" ref="JM172">IF(OR(JN172:JQ172 &lt;&gt; ""), 1, 0)</f>
        <v>0</v>
      </c>
    </row>
    <row r="173" spans="1:278" x14ac:dyDescent="0.35">
      <c r="A173">
        <v>405227</v>
      </c>
      <c r="C173">
        <v>1</v>
      </c>
      <c r="D173" t="s">
        <v>954</v>
      </c>
      <c r="E173" t="str">
        <f>_xlfn.XLOOKUP(I173, [1]SchoolDistrictStudyWODuplicates!$K:$K, [1]SchoolDistrictStudyWODuplicates!$E:$E, "")</f>
        <v/>
      </c>
      <c r="G173" t="s">
        <v>955</v>
      </c>
      <c r="H173" s="5" t="e">
        <f>_xlfn.XLOOKUP(A173,#REF!,#REF!, "No")</f>
        <v>#REF!</v>
      </c>
      <c r="I173" s="7">
        <v>3904627</v>
      </c>
      <c r="J173" s="5" t="e">
        <f>_xlfn.XLOOKUP(I173,#REF!,#REF!,"Not Determined")</f>
        <v>#REF!</v>
      </c>
      <c r="K173" s="5" t="s">
        <v>910</v>
      </c>
      <c r="L173" t="s">
        <v>927</v>
      </c>
      <c r="M173" s="13" t="e">
        <f>_xlfn.XLOOKUP(I173,#REF!,#REF!, "No")</f>
        <v>#REF!</v>
      </c>
      <c r="N173" s="5" t="str">
        <f t="shared" si="33"/>
        <v>No</v>
      </c>
      <c r="O173" s="5" t="str">
        <f t="shared" si="34"/>
        <v>Yes</v>
      </c>
      <c r="P173" s="5" t="str">
        <f t="shared" si="35"/>
        <v>No</v>
      </c>
      <c r="Q173" s="5" t="str">
        <f t="shared" si="36"/>
        <v>Yes</v>
      </c>
      <c r="R173" s="5" t="str">
        <f t="shared" si="37"/>
        <v>Yes</v>
      </c>
      <c r="S173" s="5" t="str">
        <f t="shared" si="38"/>
        <v>Yes</v>
      </c>
      <c r="T173" s="5" t="str">
        <f t="shared" si="39"/>
        <v>No</v>
      </c>
      <c r="U173" s="5" t="str">
        <f t="shared" si="40"/>
        <v>No</v>
      </c>
      <c r="V173" s="5" t="str" cm="1">
        <f t="array" ref="V173">IF(OR(DB173:DG173 =1), "Yes", "No")</f>
        <v>No</v>
      </c>
      <c r="W173" s="5" t="str">
        <f t="shared" si="41"/>
        <v>Yes</v>
      </c>
      <c r="X173" s="5" t="str">
        <f t="shared" si="42"/>
        <v>No</v>
      </c>
      <c r="Y173" s="5" t="str">
        <f t="shared" si="43"/>
        <v>No</v>
      </c>
      <c r="Z173">
        <v>7</v>
      </c>
      <c r="AB173">
        <v>0</v>
      </c>
      <c r="AC173">
        <v>0</v>
      </c>
      <c r="AD173">
        <v>0</v>
      </c>
      <c r="AE173">
        <v>0</v>
      </c>
      <c r="AF173">
        <v>0</v>
      </c>
      <c r="AG173">
        <v>0</v>
      </c>
      <c r="AH173">
        <v>0</v>
      </c>
      <c r="AI173">
        <v>1</v>
      </c>
      <c r="AJ173">
        <v>0</v>
      </c>
      <c r="AK173">
        <v>1</v>
      </c>
      <c r="AM173">
        <v>0</v>
      </c>
      <c r="AN173">
        <v>1</v>
      </c>
      <c r="AO173">
        <v>0</v>
      </c>
      <c r="AQ173">
        <v>10</v>
      </c>
      <c r="AT173">
        <v>10</v>
      </c>
      <c r="AV173">
        <v>1</v>
      </c>
      <c r="AW173">
        <v>0</v>
      </c>
      <c r="AX173">
        <v>0</v>
      </c>
      <c r="AY173">
        <v>0</v>
      </c>
      <c r="AZ173">
        <v>0</v>
      </c>
      <c r="BA173">
        <v>0</v>
      </c>
      <c r="BC173">
        <v>5</v>
      </c>
      <c r="BE173">
        <v>1</v>
      </c>
      <c r="BG173">
        <v>1</v>
      </c>
      <c r="BH173">
        <v>1</v>
      </c>
      <c r="BI173">
        <v>1</v>
      </c>
      <c r="BJ173">
        <v>2</v>
      </c>
      <c r="BL173">
        <v>2</v>
      </c>
      <c r="BM173">
        <v>2</v>
      </c>
      <c r="BN173">
        <v>2</v>
      </c>
      <c r="BV173">
        <v>1</v>
      </c>
      <c r="BW173">
        <v>0</v>
      </c>
      <c r="BX173">
        <v>0</v>
      </c>
      <c r="BY173">
        <v>0</v>
      </c>
      <c r="BZ173">
        <v>0</v>
      </c>
      <c r="CA173">
        <v>0</v>
      </c>
      <c r="CB173">
        <v>0</v>
      </c>
      <c r="CC173">
        <v>0</v>
      </c>
      <c r="CD173">
        <v>0</v>
      </c>
      <c r="CE173">
        <v>0</v>
      </c>
      <c r="CF173">
        <v>0</v>
      </c>
      <c r="CG173">
        <v>0</v>
      </c>
      <c r="CH173">
        <v>0</v>
      </c>
      <c r="CI173">
        <v>0</v>
      </c>
      <c r="CJ173">
        <v>0</v>
      </c>
      <c r="CK173">
        <v>0</v>
      </c>
      <c r="CL173">
        <v>0</v>
      </c>
      <c r="CN173">
        <v>6</v>
      </c>
      <c r="CO173">
        <v>4</v>
      </c>
      <c r="CQ173">
        <v>1</v>
      </c>
      <c r="CR173">
        <v>1</v>
      </c>
      <c r="EB173">
        <v>0</v>
      </c>
      <c r="EC173">
        <v>0</v>
      </c>
      <c r="ED173">
        <v>0</v>
      </c>
      <c r="EE173">
        <v>0</v>
      </c>
      <c r="EF173">
        <v>0</v>
      </c>
      <c r="EG173">
        <v>0</v>
      </c>
      <c r="EH173">
        <v>0</v>
      </c>
      <c r="EI173">
        <v>0</v>
      </c>
      <c r="EJ173">
        <v>0</v>
      </c>
      <c r="EK173">
        <v>1</v>
      </c>
      <c r="EM173">
        <v>0</v>
      </c>
      <c r="EN173">
        <v>0</v>
      </c>
      <c r="EO173">
        <v>0</v>
      </c>
      <c r="EP173">
        <v>0</v>
      </c>
      <c r="EQ173">
        <v>0</v>
      </c>
      <c r="ER173">
        <v>0</v>
      </c>
      <c r="ES173">
        <v>0</v>
      </c>
      <c r="ET173">
        <v>0</v>
      </c>
      <c r="EU173">
        <v>0</v>
      </c>
      <c r="EV173">
        <v>0</v>
      </c>
      <c r="EW173">
        <v>0</v>
      </c>
      <c r="EX173">
        <v>0</v>
      </c>
      <c r="EY173">
        <v>1</v>
      </c>
      <c r="IZ173">
        <v>0</v>
      </c>
      <c r="JA173">
        <v>0</v>
      </c>
      <c r="JB173">
        <v>0</v>
      </c>
      <c r="JC173">
        <v>0</v>
      </c>
      <c r="JD173">
        <v>0</v>
      </c>
      <c r="JE173">
        <v>0</v>
      </c>
      <c r="JF173">
        <v>0</v>
      </c>
      <c r="JG173">
        <v>0</v>
      </c>
      <c r="JH173">
        <v>0</v>
      </c>
      <c r="JI173">
        <v>0</v>
      </c>
      <c r="JJ173">
        <v>1</v>
      </c>
      <c r="JL173">
        <v>1</v>
      </c>
      <c r="JM173" cm="1">
        <f t="array" ref="JM173">IF(OR(JN173:JQ173 &lt;&gt; ""), 1, 0)</f>
        <v>1</v>
      </c>
      <c r="JN173">
        <v>1</v>
      </c>
      <c r="JO173">
        <v>0</v>
      </c>
      <c r="JP173">
        <v>0</v>
      </c>
      <c r="JQ173">
        <v>0</v>
      </c>
    </row>
    <row r="174" spans="1:278" x14ac:dyDescent="0.35">
      <c r="A174">
        <v>380192</v>
      </c>
      <c r="C174">
        <v>1</v>
      </c>
      <c r="D174" t="s">
        <v>956</v>
      </c>
      <c r="E174" t="str">
        <f>_xlfn.XLOOKUP(I174, [1]SchoolDistrictStudyWODuplicates!$K:$K, [1]SchoolDistrictStudyWODuplicates!$E:$E, "")</f>
        <v>West Holmes Local Schools</v>
      </c>
      <c r="G174" t="s">
        <v>957</v>
      </c>
      <c r="H174" s="5" t="e">
        <f>_xlfn.XLOOKUP(A174,#REF!,#REF!, "No")</f>
        <v>#REF!</v>
      </c>
      <c r="I174" s="7">
        <v>3904769</v>
      </c>
      <c r="J174" s="5" t="e">
        <f>_xlfn.XLOOKUP(I174,#REF!,#REF!,"Not Determined")</f>
        <v>#REF!</v>
      </c>
      <c r="K174" s="5" t="s">
        <v>910</v>
      </c>
      <c r="L174" t="s">
        <v>927</v>
      </c>
      <c r="M174" s="13" t="e">
        <f>_xlfn.XLOOKUP(I174,#REF!,#REF!, "No")</f>
        <v>#REF!</v>
      </c>
      <c r="N174" s="5" t="str">
        <f t="shared" si="33"/>
        <v>No</v>
      </c>
      <c r="O174" s="5" t="str">
        <f t="shared" si="34"/>
        <v>Yes</v>
      </c>
      <c r="P174" s="5" t="str">
        <f t="shared" si="35"/>
        <v>Yes</v>
      </c>
      <c r="Q174" s="5" t="str">
        <f t="shared" si="36"/>
        <v>Yes</v>
      </c>
      <c r="R174" s="5" t="str">
        <f t="shared" si="37"/>
        <v>Yes</v>
      </c>
      <c r="S174" s="5" t="str">
        <f t="shared" si="38"/>
        <v>Yes</v>
      </c>
      <c r="T174" s="5" t="str">
        <f t="shared" si="39"/>
        <v>Yes</v>
      </c>
      <c r="U174" s="5" t="str">
        <f t="shared" si="40"/>
        <v>Yes</v>
      </c>
      <c r="V174" s="5" t="str" cm="1">
        <f t="array" ref="V174">IF(OR(DB174:DG174 =1), "Yes", "No")</f>
        <v>No</v>
      </c>
      <c r="W174" s="5" t="str">
        <f t="shared" si="41"/>
        <v>No</v>
      </c>
      <c r="X174" s="5" t="str">
        <f t="shared" si="42"/>
        <v>No</v>
      </c>
      <c r="Y174" s="5" t="str">
        <f t="shared" si="43"/>
        <v>No</v>
      </c>
      <c r="Z174">
        <v>13</v>
      </c>
      <c r="AB174">
        <v>0</v>
      </c>
      <c r="AC174">
        <v>0</v>
      </c>
      <c r="AD174">
        <v>0</v>
      </c>
      <c r="AE174">
        <v>0</v>
      </c>
      <c r="AF174">
        <v>0</v>
      </c>
      <c r="AG174">
        <v>0</v>
      </c>
      <c r="AH174">
        <v>0</v>
      </c>
      <c r="AI174">
        <v>0</v>
      </c>
      <c r="AJ174">
        <v>1</v>
      </c>
      <c r="AK174">
        <v>1</v>
      </c>
      <c r="AM174">
        <v>0</v>
      </c>
      <c r="AN174">
        <v>1</v>
      </c>
      <c r="AO174">
        <v>0</v>
      </c>
      <c r="AQ174">
        <v>31</v>
      </c>
      <c r="AT174">
        <v>31</v>
      </c>
      <c r="AV174">
        <v>1</v>
      </c>
      <c r="AW174">
        <v>1</v>
      </c>
      <c r="AX174">
        <v>0</v>
      </c>
      <c r="AY174">
        <v>0</v>
      </c>
      <c r="AZ174">
        <v>0</v>
      </c>
      <c r="BA174">
        <v>0</v>
      </c>
      <c r="BC174">
        <v>2</v>
      </c>
      <c r="BE174">
        <v>1</v>
      </c>
      <c r="BG174">
        <v>1</v>
      </c>
      <c r="BH174">
        <v>1</v>
      </c>
      <c r="BI174">
        <v>4</v>
      </c>
      <c r="BJ174">
        <v>1</v>
      </c>
      <c r="BK174">
        <v>5</v>
      </c>
      <c r="BL174">
        <v>1</v>
      </c>
      <c r="BM174">
        <v>1</v>
      </c>
      <c r="BN174">
        <v>2</v>
      </c>
      <c r="BV174">
        <v>0</v>
      </c>
      <c r="BW174">
        <v>0</v>
      </c>
      <c r="BX174">
        <v>1</v>
      </c>
      <c r="BY174">
        <v>0</v>
      </c>
      <c r="BZ174">
        <v>1</v>
      </c>
      <c r="CA174">
        <v>0</v>
      </c>
      <c r="CB174">
        <v>0</v>
      </c>
      <c r="CC174">
        <v>0</v>
      </c>
      <c r="CD174">
        <v>0</v>
      </c>
      <c r="CE174">
        <v>0</v>
      </c>
      <c r="CF174">
        <v>0</v>
      </c>
      <c r="CG174">
        <v>0</v>
      </c>
      <c r="CH174">
        <v>0</v>
      </c>
      <c r="CI174">
        <v>1</v>
      </c>
      <c r="CJ174">
        <v>0</v>
      </c>
      <c r="CK174">
        <v>1</v>
      </c>
      <c r="CL174">
        <v>0</v>
      </c>
      <c r="CN174">
        <v>3</v>
      </c>
      <c r="CO174">
        <v>4</v>
      </c>
      <c r="CQ174">
        <v>5</v>
      </c>
      <c r="CR174">
        <v>5</v>
      </c>
      <c r="EB174">
        <v>0</v>
      </c>
      <c r="EC174">
        <v>0</v>
      </c>
      <c r="ED174">
        <v>1</v>
      </c>
      <c r="EE174">
        <v>0</v>
      </c>
      <c r="EF174">
        <v>0</v>
      </c>
      <c r="EG174">
        <v>0</v>
      </c>
      <c r="EH174">
        <v>0</v>
      </c>
      <c r="EI174">
        <v>1</v>
      </c>
      <c r="EJ174">
        <v>0</v>
      </c>
      <c r="EK174">
        <v>0</v>
      </c>
      <c r="EM174">
        <v>0</v>
      </c>
      <c r="EN174">
        <v>1</v>
      </c>
      <c r="EO174">
        <v>0</v>
      </c>
      <c r="EP174">
        <v>1</v>
      </c>
      <c r="EQ174">
        <v>0</v>
      </c>
      <c r="ER174">
        <v>0</v>
      </c>
      <c r="ES174">
        <v>0</v>
      </c>
      <c r="ET174">
        <v>0</v>
      </c>
      <c r="EU174">
        <v>0</v>
      </c>
      <c r="EV174">
        <v>1</v>
      </c>
      <c r="EW174">
        <v>0</v>
      </c>
      <c r="EX174">
        <v>0</v>
      </c>
      <c r="EY174">
        <v>0</v>
      </c>
      <c r="FB174" t="s">
        <v>274</v>
      </c>
      <c r="FC174">
        <v>1</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HC174" t="s">
        <v>958</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1</v>
      </c>
      <c r="IC174">
        <v>0</v>
      </c>
      <c r="ID174">
        <v>0</v>
      </c>
      <c r="IE174">
        <v>0</v>
      </c>
      <c r="IF174">
        <v>0</v>
      </c>
      <c r="IG174">
        <v>0</v>
      </c>
      <c r="IH174">
        <v>0</v>
      </c>
      <c r="II174">
        <v>0</v>
      </c>
      <c r="IJ174">
        <v>0</v>
      </c>
      <c r="IK174">
        <v>0</v>
      </c>
      <c r="IL174">
        <v>0</v>
      </c>
      <c r="IM174">
        <v>0</v>
      </c>
      <c r="IN174">
        <v>0</v>
      </c>
      <c r="IO174">
        <v>0</v>
      </c>
      <c r="IP174">
        <v>0</v>
      </c>
      <c r="IQ174">
        <v>0</v>
      </c>
      <c r="IR174">
        <v>0</v>
      </c>
      <c r="IS174">
        <v>0</v>
      </c>
      <c r="IT174">
        <v>0</v>
      </c>
      <c r="IU174">
        <v>0</v>
      </c>
      <c r="IV174">
        <v>0</v>
      </c>
      <c r="IW174">
        <v>0</v>
      </c>
      <c r="IZ174">
        <v>0</v>
      </c>
      <c r="JA174">
        <v>0</v>
      </c>
      <c r="JB174">
        <v>1</v>
      </c>
      <c r="JC174">
        <v>1</v>
      </c>
      <c r="JD174">
        <v>0</v>
      </c>
      <c r="JE174">
        <v>0</v>
      </c>
      <c r="JF174">
        <v>0</v>
      </c>
      <c r="JG174">
        <v>0</v>
      </c>
      <c r="JH174">
        <v>0</v>
      </c>
      <c r="JI174">
        <v>0</v>
      </c>
      <c r="JJ174">
        <v>0</v>
      </c>
      <c r="JL174">
        <v>2</v>
      </c>
      <c r="JM174" cm="1">
        <f t="array" ref="JM174">IF(OR(JN174:JQ174 &lt;&gt; ""), 1, 0)</f>
        <v>0</v>
      </c>
    </row>
    <row r="175" spans="1:278" x14ac:dyDescent="0.35">
      <c r="A175">
        <v>397113</v>
      </c>
      <c r="C175">
        <v>1</v>
      </c>
      <c r="D175" t="s">
        <v>959</v>
      </c>
      <c r="E175" t="str">
        <f>_xlfn.XLOOKUP(I175, [1]SchoolDistrictStudyWODuplicates!$K:$K, [1]SchoolDistrictStudyWODuplicates!$E:$E, "")</f>
        <v/>
      </c>
      <c r="G175" t="s">
        <v>960</v>
      </c>
      <c r="H175" s="5" t="e">
        <f>_xlfn.XLOOKUP(A175,#REF!,#REF!, "No")</f>
        <v>#REF!</v>
      </c>
      <c r="I175" s="7">
        <v>3904516</v>
      </c>
      <c r="J175" s="5" t="e">
        <f>_xlfn.XLOOKUP(I175,#REF!,#REF!,"Not Determined")</f>
        <v>#REF!</v>
      </c>
      <c r="K175" s="5" t="s">
        <v>910</v>
      </c>
      <c r="L175" t="s">
        <v>927</v>
      </c>
      <c r="M175" s="13" t="e">
        <f>_xlfn.XLOOKUP(I175,#REF!,#REF!, "No")</f>
        <v>#REF!</v>
      </c>
      <c r="N175" s="5" t="str">
        <f t="shared" si="33"/>
        <v>No</v>
      </c>
      <c r="O175" s="5" t="str">
        <f t="shared" si="34"/>
        <v>Yes</v>
      </c>
      <c r="P175" s="5" t="str">
        <f t="shared" si="35"/>
        <v>Yes</v>
      </c>
      <c r="Q175" s="5" t="str">
        <f t="shared" si="36"/>
        <v>Yes</v>
      </c>
      <c r="R175" s="5" t="str">
        <f t="shared" si="37"/>
        <v>Yes</v>
      </c>
      <c r="S175" s="5" t="str">
        <f t="shared" si="38"/>
        <v>Yes</v>
      </c>
      <c r="T175" s="5" t="str">
        <f t="shared" si="39"/>
        <v>Yes</v>
      </c>
      <c r="U175" s="5" t="str">
        <f t="shared" si="40"/>
        <v>Yes</v>
      </c>
      <c r="V175" s="5" t="str" cm="1">
        <f t="array" ref="V175">IF(OR(DB175:DG175 =1), "Yes", "No")</f>
        <v>No</v>
      </c>
      <c r="W175" s="5" t="str">
        <f t="shared" si="41"/>
        <v>Yes</v>
      </c>
      <c r="X175" s="5" t="str">
        <f t="shared" si="42"/>
        <v>No</v>
      </c>
      <c r="Y175" s="5" t="str">
        <f t="shared" si="43"/>
        <v>No</v>
      </c>
      <c r="Z175">
        <v>5</v>
      </c>
      <c r="AB175">
        <v>1</v>
      </c>
      <c r="AC175">
        <v>1</v>
      </c>
      <c r="AD175">
        <v>0</v>
      </c>
      <c r="AE175">
        <v>0</v>
      </c>
      <c r="AF175">
        <v>0</v>
      </c>
      <c r="AG175">
        <v>1</v>
      </c>
      <c r="AH175">
        <v>0</v>
      </c>
      <c r="AI175">
        <v>1</v>
      </c>
      <c r="AJ175">
        <v>0</v>
      </c>
      <c r="AK175">
        <v>3</v>
      </c>
      <c r="AL175" t="s">
        <v>961</v>
      </c>
      <c r="AM175">
        <v>0</v>
      </c>
      <c r="AN175">
        <v>1</v>
      </c>
      <c r="AO175">
        <v>0</v>
      </c>
      <c r="AQ175">
        <v>83</v>
      </c>
      <c r="AT175">
        <v>83</v>
      </c>
      <c r="AV175">
        <v>1</v>
      </c>
      <c r="AW175">
        <v>0</v>
      </c>
      <c r="AX175">
        <v>0</v>
      </c>
      <c r="AY175">
        <v>0</v>
      </c>
      <c r="AZ175">
        <v>0</v>
      </c>
      <c r="BA175">
        <v>0</v>
      </c>
      <c r="BC175">
        <v>1</v>
      </c>
      <c r="BE175">
        <v>1</v>
      </c>
      <c r="BG175">
        <v>1</v>
      </c>
      <c r="BH175">
        <v>1</v>
      </c>
      <c r="BI175">
        <v>3</v>
      </c>
      <c r="BJ175">
        <v>1</v>
      </c>
      <c r="BK175">
        <v>5</v>
      </c>
      <c r="BL175">
        <v>1</v>
      </c>
      <c r="BM175">
        <v>1</v>
      </c>
      <c r="BN175">
        <v>1</v>
      </c>
      <c r="BO175">
        <v>0</v>
      </c>
      <c r="BP175">
        <v>1</v>
      </c>
      <c r="BQ175">
        <v>1</v>
      </c>
      <c r="BR175">
        <v>1</v>
      </c>
      <c r="BS175">
        <v>0</v>
      </c>
      <c r="BT175">
        <v>0</v>
      </c>
      <c r="BV175">
        <v>0</v>
      </c>
      <c r="BW175">
        <v>0</v>
      </c>
      <c r="BX175">
        <v>0</v>
      </c>
      <c r="BY175">
        <v>0</v>
      </c>
      <c r="BZ175">
        <v>0</v>
      </c>
      <c r="CA175">
        <v>0</v>
      </c>
      <c r="CB175">
        <v>0</v>
      </c>
      <c r="CC175">
        <v>0</v>
      </c>
      <c r="CD175">
        <v>0</v>
      </c>
      <c r="CE175">
        <v>0</v>
      </c>
      <c r="CF175">
        <v>0</v>
      </c>
      <c r="CG175">
        <v>0</v>
      </c>
      <c r="CH175">
        <v>0</v>
      </c>
      <c r="CI175">
        <v>0</v>
      </c>
      <c r="CJ175">
        <v>0</v>
      </c>
      <c r="CK175">
        <v>0</v>
      </c>
      <c r="CL175">
        <v>1</v>
      </c>
      <c r="CM175" t="s">
        <v>962</v>
      </c>
      <c r="CN175">
        <v>9</v>
      </c>
      <c r="CO175">
        <v>4</v>
      </c>
      <c r="CQ175">
        <v>3</v>
      </c>
      <c r="CR175">
        <v>3</v>
      </c>
      <c r="EB175">
        <v>0</v>
      </c>
      <c r="EC175">
        <v>0</v>
      </c>
      <c r="ED175">
        <v>1</v>
      </c>
      <c r="EE175">
        <v>0</v>
      </c>
      <c r="EF175">
        <v>0</v>
      </c>
      <c r="EG175">
        <v>1</v>
      </c>
      <c r="EH175">
        <v>0</v>
      </c>
      <c r="EI175">
        <v>0</v>
      </c>
      <c r="EJ175">
        <v>0</v>
      </c>
      <c r="EK175">
        <v>0</v>
      </c>
      <c r="EM175">
        <v>0</v>
      </c>
      <c r="EN175">
        <v>0</v>
      </c>
      <c r="EO175">
        <v>0</v>
      </c>
      <c r="EP175">
        <v>1</v>
      </c>
      <c r="EQ175">
        <v>1</v>
      </c>
      <c r="ER175">
        <v>0</v>
      </c>
      <c r="ES175">
        <v>0</v>
      </c>
      <c r="ET175">
        <v>0</v>
      </c>
      <c r="EU175">
        <v>0</v>
      </c>
      <c r="EV175">
        <v>0</v>
      </c>
      <c r="EW175">
        <v>0</v>
      </c>
      <c r="EX175">
        <v>0</v>
      </c>
      <c r="EY175">
        <v>0</v>
      </c>
      <c r="IZ175">
        <v>1</v>
      </c>
      <c r="JA175">
        <v>1</v>
      </c>
      <c r="JB175">
        <v>1</v>
      </c>
      <c r="JC175">
        <v>0</v>
      </c>
      <c r="JD175">
        <v>0</v>
      </c>
      <c r="JE175">
        <v>0</v>
      </c>
      <c r="JF175">
        <v>0</v>
      </c>
      <c r="JG175">
        <v>0</v>
      </c>
      <c r="JH175">
        <v>0</v>
      </c>
      <c r="JI175">
        <v>0</v>
      </c>
      <c r="JJ175">
        <v>0</v>
      </c>
      <c r="JL175">
        <v>1</v>
      </c>
      <c r="JM175" cm="1">
        <f t="array" ref="JM175">IF(OR(JN175:JQ175 &lt;&gt; ""), 1, 0)</f>
        <v>1</v>
      </c>
      <c r="JN175">
        <v>0</v>
      </c>
      <c r="JO175">
        <v>0</v>
      </c>
      <c r="JP175">
        <v>0</v>
      </c>
      <c r="JQ175">
        <v>1</v>
      </c>
      <c r="JR175" t="s">
        <v>963</v>
      </c>
    </row>
    <row r="176" spans="1:278" x14ac:dyDescent="0.35">
      <c r="A176">
        <v>374843</v>
      </c>
      <c r="C176">
        <v>1</v>
      </c>
      <c r="D176" t="s">
        <v>964</v>
      </c>
      <c r="E176" t="str">
        <f>_xlfn.XLOOKUP(I176, [1]SchoolDistrictStudyWODuplicates!$K:$K, [1]SchoolDistrictStudyWODuplicates!$E:$E, "")</f>
        <v/>
      </c>
      <c r="G176" t="s">
        <v>965</v>
      </c>
      <c r="H176" s="5" t="e">
        <f>_xlfn.XLOOKUP(A176,#REF!,#REF!, "No")</f>
        <v>#REF!</v>
      </c>
      <c r="I176" s="7">
        <v>4026010</v>
      </c>
      <c r="J176" s="5" t="e">
        <f>_xlfn.XLOOKUP(I176,#REF!,#REF!,"Not Determined")</f>
        <v>#REF!</v>
      </c>
      <c r="K176" s="5" t="s">
        <v>966</v>
      </c>
      <c r="L176" t="s">
        <v>966</v>
      </c>
      <c r="M176" s="13" t="e">
        <f>_xlfn.XLOOKUP(I176,#REF!,#REF!, "No")</f>
        <v>#REF!</v>
      </c>
      <c r="N176" s="5" t="str">
        <f t="shared" si="33"/>
        <v>No</v>
      </c>
      <c r="O176" s="5" t="str">
        <f t="shared" si="34"/>
        <v>Yes</v>
      </c>
      <c r="P176" s="5" t="str">
        <f t="shared" si="35"/>
        <v>No</v>
      </c>
      <c r="Q176" s="5" t="str">
        <f t="shared" si="36"/>
        <v>Yes</v>
      </c>
      <c r="R176" s="5" t="str">
        <f t="shared" si="37"/>
        <v>Yes</v>
      </c>
      <c r="S176" s="5" t="str">
        <f t="shared" si="38"/>
        <v>Yes</v>
      </c>
      <c r="T176" s="5" t="str">
        <f t="shared" si="39"/>
        <v>No</v>
      </c>
      <c r="U176" s="5" t="str">
        <f t="shared" si="40"/>
        <v>Yes</v>
      </c>
      <c r="V176" s="5" t="str" cm="1">
        <f t="array" ref="V176">IF(OR(DB176:DG176 =1), "Yes", "No")</f>
        <v>No</v>
      </c>
      <c r="W176" s="5" t="str">
        <f t="shared" si="41"/>
        <v>No</v>
      </c>
      <c r="X176" s="5" t="str">
        <f t="shared" si="42"/>
        <v>No</v>
      </c>
      <c r="Y176" s="5" t="str">
        <f t="shared" si="43"/>
        <v>No</v>
      </c>
      <c r="Z176">
        <v>4</v>
      </c>
      <c r="AB176">
        <v>1</v>
      </c>
      <c r="AC176">
        <v>0</v>
      </c>
      <c r="AD176">
        <v>0</v>
      </c>
      <c r="AE176">
        <v>0</v>
      </c>
      <c r="AF176">
        <v>0</v>
      </c>
      <c r="AG176">
        <v>0</v>
      </c>
      <c r="AH176">
        <v>0</v>
      </c>
      <c r="AI176">
        <v>0</v>
      </c>
      <c r="AJ176">
        <v>0</v>
      </c>
      <c r="AK176">
        <v>1</v>
      </c>
      <c r="AM176">
        <v>0</v>
      </c>
      <c r="AN176">
        <v>1</v>
      </c>
      <c r="AO176">
        <v>0</v>
      </c>
      <c r="AQ176">
        <v>3</v>
      </c>
      <c r="AT176">
        <v>3</v>
      </c>
      <c r="AV176">
        <v>1</v>
      </c>
      <c r="AW176">
        <v>0</v>
      </c>
      <c r="AX176">
        <v>0</v>
      </c>
      <c r="AY176">
        <v>0</v>
      </c>
      <c r="AZ176">
        <v>0</v>
      </c>
      <c r="BA176">
        <v>0</v>
      </c>
      <c r="BC176">
        <v>1</v>
      </c>
      <c r="BE176">
        <v>1</v>
      </c>
      <c r="BG176">
        <v>1</v>
      </c>
      <c r="BH176">
        <v>2</v>
      </c>
      <c r="BI176">
        <v>4</v>
      </c>
      <c r="BJ176">
        <v>1</v>
      </c>
      <c r="BK176">
        <v>4</v>
      </c>
      <c r="BL176">
        <v>1</v>
      </c>
      <c r="BM176">
        <v>2</v>
      </c>
      <c r="BN176">
        <v>1</v>
      </c>
      <c r="BO176">
        <v>1</v>
      </c>
      <c r="BP176">
        <v>0</v>
      </c>
      <c r="BQ176">
        <v>0</v>
      </c>
      <c r="BR176">
        <v>0</v>
      </c>
      <c r="BS176">
        <v>0</v>
      </c>
      <c r="BT176">
        <v>0</v>
      </c>
      <c r="BV176">
        <v>1</v>
      </c>
      <c r="BW176">
        <v>1</v>
      </c>
      <c r="BX176">
        <v>1</v>
      </c>
      <c r="BY176">
        <v>1</v>
      </c>
      <c r="BZ176">
        <v>1</v>
      </c>
      <c r="CA176">
        <v>1</v>
      </c>
      <c r="CB176">
        <v>1</v>
      </c>
      <c r="CC176">
        <v>1</v>
      </c>
      <c r="CD176">
        <v>1</v>
      </c>
      <c r="CE176">
        <v>1</v>
      </c>
      <c r="CF176">
        <v>1</v>
      </c>
      <c r="CG176">
        <v>1</v>
      </c>
      <c r="CH176">
        <v>1</v>
      </c>
      <c r="CI176">
        <v>1</v>
      </c>
      <c r="CJ176">
        <v>0</v>
      </c>
      <c r="CK176">
        <v>1</v>
      </c>
      <c r="CL176">
        <v>0</v>
      </c>
      <c r="CN176">
        <v>16</v>
      </c>
      <c r="CO176">
        <v>4</v>
      </c>
      <c r="CQ176">
        <v>1</v>
      </c>
      <c r="CR176">
        <v>5</v>
      </c>
      <c r="EB176">
        <v>1</v>
      </c>
      <c r="EC176">
        <v>1</v>
      </c>
      <c r="ED176">
        <v>1</v>
      </c>
      <c r="EE176">
        <v>1</v>
      </c>
      <c r="EF176">
        <v>1</v>
      </c>
      <c r="EG176">
        <v>1</v>
      </c>
      <c r="EH176">
        <v>1</v>
      </c>
      <c r="EI176">
        <v>1</v>
      </c>
      <c r="EJ176">
        <v>0</v>
      </c>
      <c r="EK176">
        <v>0</v>
      </c>
      <c r="EM176">
        <v>0</v>
      </c>
      <c r="EN176">
        <v>0</v>
      </c>
      <c r="EO176">
        <v>0</v>
      </c>
      <c r="EP176">
        <v>1</v>
      </c>
      <c r="EQ176">
        <v>1</v>
      </c>
      <c r="ER176">
        <v>0</v>
      </c>
      <c r="ES176">
        <v>0</v>
      </c>
      <c r="ET176">
        <v>1</v>
      </c>
      <c r="EU176">
        <v>1</v>
      </c>
      <c r="EV176">
        <v>0</v>
      </c>
      <c r="EW176">
        <v>0</v>
      </c>
      <c r="EX176">
        <v>0</v>
      </c>
      <c r="EY176">
        <v>0</v>
      </c>
      <c r="IZ176">
        <v>1</v>
      </c>
      <c r="JA176">
        <v>0</v>
      </c>
      <c r="JB176">
        <v>1</v>
      </c>
      <c r="JC176">
        <v>1</v>
      </c>
      <c r="JD176">
        <v>0</v>
      </c>
      <c r="JE176">
        <v>0</v>
      </c>
      <c r="JF176">
        <v>0</v>
      </c>
      <c r="JG176">
        <v>0</v>
      </c>
      <c r="JH176">
        <v>0</v>
      </c>
      <c r="JI176">
        <v>0</v>
      </c>
      <c r="JJ176">
        <v>0</v>
      </c>
      <c r="JL176">
        <v>2</v>
      </c>
      <c r="JM176" cm="1">
        <f t="array" ref="JM176">IF(OR(JN176:JQ176 &lt;&gt; ""), 1, 0)</f>
        <v>0</v>
      </c>
    </row>
    <row r="177" spans="1:278" x14ac:dyDescent="0.35">
      <c r="A177">
        <v>405475</v>
      </c>
      <c r="C177">
        <v>1</v>
      </c>
      <c r="D177" t="s">
        <v>967</v>
      </c>
      <c r="E177" t="str">
        <f>_xlfn.XLOOKUP(I177, [1]SchoolDistrictStudyWODuplicates!$K:$K, [1]SchoolDistrictStudyWODuplicates!$E:$E, "")</f>
        <v/>
      </c>
      <c r="G177" t="s">
        <v>967</v>
      </c>
      <c r="H177" s="7">
        <v>4033180</v>
      </c>
      <c r="I177" s="7">
        <v>4033180</v>
      </c>
      <c r="J177" s="5" t="e">
        <f>_xlfn.XLOOKUP(I177,#REF!,#REF!,"Not Determined")</f>
        <v>#REF!</v>
      </c>
      <c r="K177" s="5" t="s">
        <v>966</v>
      </c>
      <c r="L177" t="s">
        <v>966</v>
      </c>
      <c r="M177" s="13" t="e">
        <f>_xlfn.XLOOKUP(I177,#REF!,#REF!, "No")</f>
        <v>#REF!</v>
      </c>
      <c r="N177" s="5" t="str">
        <f t="shared" si="33"/>
        <v>No</v>
      </c>
      <c r="O177" s="5" t="str">
        <f t="shared" si="34"/>
        <v>Yes</v>
      </c>
      <c r="P177" s="5" t="str">
        <f t="shared" si="35"/>
        <v>No</v>
      </c>
      <c r="Q177" s="5" t="str">
        <f t="shared" si="36"/>
        <v>Yes</v>
      </c>
      <c r="R177" s="5" t="str">
        <f t="shared" si="37"/>
        <v>No</v>
      </c>
      <c r="S177" s="5" t="str">
        <f t="shared" si="38"/>
        <v>No</v>
      </c>
      <c r="T177" s="5" t="str">
        <f t="shared" si="39"/>
        <v>No</v>
      </c>
      <c r="U177" s="5" t="str">
        <f t="shared" si="40"/>
        <v>No</v>
      </c>
      <c r="V177" s="5" t="str" cm="1">
        <f t="array" ref="V177">IF(OR(DB177:DG177 =1), "Yes", "No")</f>
        <v>No</v>
      </c>
      <c r="W177" s="5" t="str">
        <f t="shared" si="41"/>
        <v>No</v>
      </c>
      <c r="X177" s="5" t="str">
        <f t="shared" si="42"/>
        <v>No</v>
      </c>
      <c r="Y177" s="5" t="str">
        <f t="shared" si="43"/>
        <v>No</v>
      </c>
      <c r="Z177">
        <v>4</v>
      </c>
      <c r="AB177">
        <v>0</v>
      </c>
      <c r="AC177">
        <v>0</v>
      </c>
      <c r="AD177">
        <v>1</v>
      </c>
      <c r="AE177">
        <v>0</v>
      </c>
      <c r="AF177">
        <v>0</v>
      </c>
      <c r="AG177">
        <v>0</v>
      </c>
      <c r="AH177">
        <v>0</v>
      </c>
      <c r="AI177">
        <v>0</v>
      </c>
      <c r="AJ177">
        <v>0</v>
      </c>
      <c r="AK177">
        <v>1</v>
      </c>
      <c r="AM177">
        <v>0</v>
      </c>
      <c r="AN177">
        <v>1</v>
      </c>
      <c r="AO177">
        <v>0</v>
      </c>
      <c r="AQ177">
        <v>15</v>
      </c>
      <c r="AT177">
        <v>15</v>
      </c>
      <c r="AV177">
        <v>1</v>
      </c>
      <c r="AW177">
        <v>0</v>
      </c>
      <c r="AX177">
        <v>0</v>
      </c>
      <c r="AY177">
        <v>0</v>
      </c>
      <c r="AZ177">
        <v>0</v>
      </c>
      <c r="BA177">
        <v>0</v>
      </c>
      <c r="BC177">
        <v>1</v>
      </c>
      <c r="BE177">
        <v>1</v>
      </c>
      <c r="BG177">
        <v>3</v>
      </c>
      <c r="BJ177">
        <v>1</v>
      </c>
      <c r="BK177">
        <v>5</v>
      </c>
      <c r="BL177">
        <v>2</v>
      </c>
      <c r="BM177">
        <v>2</v>
      </c>
      <c r="BN177">
        <v>2</v>
      </c>
      <c r="BV177">
        <v>0</v>
      </c>
      <c r="BW177">
        <v>0</v>
      </c>
      <c r="BX177">
        <v>1</v>
      </c>
      <c r="BY177">
        <v>1</v>
      </c>
      <c r="BZ177">
        <v>1</v>
      </c>
      <c r="CA177">
        <v>0</v>
      </c>
      <c r="CB177">
        <v>0</v>
      </c>
      <c r="CC177">
        <v>1</v>
      </c>
      <c r="CD177">
        <v>1</v>
      </c>
      <c r="CE177">
        <v>0</v>
      </c>
      <c r="CF177">
        <v>1</v>
      </c>
      <c r="CG177">
        <v>0</v>
      </c>
      <c r="CH177">
        <v>0</v>
      </c>
      <c r="CI177">
        <v>1</v>
      </c>
      <c r="CJ177">
        <v>0</v>
      </c>
      <c r="CK177">
        <v>1</v>
      </c>
      <c r="CL177">
        <v>0</v>
      </c>
      <c r="CN177">
        <v>16</v>
      </c>
      <c r="CO177">
        <v>4</v>
      </c>
      <c r="CQ177">
        <v>6</v>
      </c>
      <c r="CR177">
        <v>6</v>
      </c>
      <c r="EB177">
        <v>0</v>
      </c>
      <c r="EC177">
        <v>0</v>
      </c>
      <c r="ED177">
        <v>1</v>
      </c>
      <c r="EE177">
        <v>0</v>
      </c>
      <c r="EF177">
        <v>0</v>
      </c>
      <c r="EG177">
        <v>1</v>
      </c>
      <c r="EH177">
        <v>0</v>
      </c>
      <c r="EI177">
        <v>0</v>
      </c>
      <c r="EJ177">
        <v>0</v>
      </c>
      <c r="EK177">
        <v>0</v>
      </c>
      <c r="EM177">
        <v>0</v>
      </c>
      <c r="EN177">
        <v>0</v>
      </c>
      <c r="EO177">
        <v>1</v>
      </c>
      <c r="EP177">
        <v>1</v>
      </c>
      <c r="EQ177">
        <v>1</v>
      </c>
      <c r="ER177">
        <v>0</v>
      </c>
      <c r="ES177">
        <v>0</v>
      </c>
      <c r="ET177">
        <v>0</v>
      </c>
      <c r="EU177">
        <v>0</v>
      </c>
      <c r="EV177">
        <v>1</v>
      </c>
      <c r="EW177">
        <v>1</v>
      </c>
      <c r="EX177">
        <v>0</v>
      </c>
      <c r="EY177">
        <v>0</v>
      </c>
      <c r="FY177" t="s">
        <v>300</v>
      </c>
      <c r="FZ177">
        <v>1</v>
      </c>
      <c r="GA177">
        <v>0</v>
      </c>
      <c r="GB177">
        <v>0</v>
      </c>
      <c r="GC177">
        <v>0</v>
      </c>
      <c r="GD177">
        <v>0</v>
      </c>
      <c r="GE177">
        <v>0</v>
      </c>
      <c r="GF177">
        <v>0</v>
      </c>
      <c r="GG177">
        <v>0</v>
      </c>
      <c r="GH177">
        <v>0</v>
      </c>
      <c r="GI177">
        <v>0</v>
      </c>
      <c r="GJ177">
        <v>0</v>
      </c>
      <c r="GK177">
        <v>0</v>
      </c>
      <c r="GL177">
        <v>0</v>
      </c>
      <c r="GM177">
        <v>0</v>
      </c>
      <c r="GN177">
        <v>0</v>
      </c>
      <c r="GO177">
        <v>0</v>
      </c>
      <c r="GP177">
        <v>0</v>
      </c>
      <c r="GQ177">
        <v>0</v>
      </c>
      <c r="GR177">
        <v>0</v>
      </c>
      <c r="HC177" t="s">
        <v>953</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1</v>
      </c>
      <c r="IA177">
        <v>0</v>
      </c>
      <c r="IB177">
        <v>0</v>
      </c>
      <c r="IC177">
        <v>0</v>
      </c>
      <c r="ID177">
        <v>0</v>
      </c>
      <c r="IE177">
        <v>0</v>
      </c>
      <c r="IF177">
        <v>0</v>
      </c>
      <c r="IG177">
        <v>0</v>
      </c>
      <c r="IH177">
        <v>0</v>
      </c>
      <c r="II177">
        <v>0</v>
      </c>
      <c r="IJ177">
        <v>0</v>
      </c>
      <c r="IK177">
        <v>0</v>
      </c>
      <c r="IL177">
        <v>0</v>
      </c>
      <c r="IM177">
        <v>0</v>
      </c>
      <c r="IN177">
        <v>0</v>
      </c>
      <c r="IO177">
        <v>0</v>
      </c>
      <c r="IP177">
        <v>0</v>
      </c>
      <c r="IQ177">
        <v>0</v>
      </c>
      <c r="IR177">
        <v>0</v>
      </c>
      <c r="IS177">
        <v>0</v>
      </c>
      <c r="IT177">
        <v>0</v>
      </c>
      <c r="IU177">
        <v>0</v>
      </c>
      <c r="IV177">
        <v>0</v>
      </c>
      <c r="IW177">
        <v>0</v>
      </c>
      <c r="IZ177">
        <v>1</v>
      </c>
      <c r="JA177">
        <v>0</v>
      </c>
      <c r="JB177">
        <v>0</v>
      </c>
      <c r="JC177">
        <v>0</v>
      </c>
      <c r="JD177">
        <v>0</v>
      </c>
      <c r="JE177">
        <v>0</v>
      </c>
      <c r="JF177">
        <v>0</v>
      </c>
      <c r="JG177">
        <v>0</v>
      </c>
      <c r="JH177">
        <v>0</v>
      </c>
      <c r="JI177">
        <v>0</v>
      </c>
      <c r="JJ177">
        <v>0</v>
      </c>
      <c r="JL177">
        <v>2</v>
      </c>
      <c r="JM177" cm="1">
        <f t="array" ref="JM177">IF(OR(JN177:JQ177 &lt;&gt; ""), 1, 0)</f>
        <v>0</v>
      </c>
    </row>
    <row r="178" spans="1:278" x14ac:dyDescent="0.35">
      <c r="A178">
        <v>393209</v>
      </c>
      <c r="C178">
        <v>1</v>
      </c>
      <c r="D178" t="s">
        <v>968</v>
      </c>
      <c r="E178" t="str">
        <f>_xlfn.XLOOKUP(I178, [1]SchoolDistrictStudyWODuplicates!$K:$K, [1]SchoolDistrictStudyWODuplicates!$E:$E, "")</f>
        <v/>
      </c>
      <c r="G178" t="s">
        <v>969</v>
      </c>
      <c r="H178" s="7">
        <v>4007620</v>
      </c>
      <c r="I178" s="7">
        <v>4007620</v>
      </c>
      <c r="J178" s="5" t="e">
        <f>_xlfn.XLOOKUP(I178,#REF!,#REF!,"Not Determined")</f>
        <v>#REF!</v>
      </c>
      <c r="K178" s="5" t="s">
        <v>966</v>
      </c>
      <c r="L178" t="s">
        <v>970</v>
      </c>
      <c r="M178" s="13" t="e">
        <f>_xlfn.XLOOKUP(I178,#REF!,#REF!, "No")</f>
        <v>#REF!</v>
      </c>
      <c r="N178" s="5" t="str">
        <f t="shared" si="33"/>
        <v>No</v>
      </c>
      <c r="O178" s="5" t="str">
        <f t="shared" si="34"/>
        <v>Yes</v>
      </c>
      <c r="P178" s="5" t="str">
        <f t="shared" si="35"/>
        <v>Yes</v>
      </c>
      <c r="Q178" s="5" t="str">
        <f t="shared" si="36"/>
        <v>Yes</v>
      </c>
      <c r="R178" s="5" t="str">
        <f t="shared" si="37"/>
        <v>Yes</v>
      </c>
      <c r="S178" s="5" t="str">
        <f t="shared" si="38"/>
        <v>Yes</v>
      </c>
      <c r="T178" s="5" t="str">
        <f t="shared" si="39"/>
        <v>Yes</v>
      </c>
      <c r="U178" s="5" t="str">
        <f t="shared" si="40"/>
        <v>Yes</v>
      </c>
      <c r="V178" s="5" t="str" cm="1">
        <f t="array" ref="V178">IF(OR(DB178:DG178 =1), "Yes", "No")</f>
        <v>No</v>
      </c>
      <c r="W178" s="5" t="str">
        <f t="shared" si="41"/>
        <v>Yes</v>
      </c>
      <c r="X178" s="5" t="str">
        <f t="shared" si="42"/>
        <v>No</v>
      </c>
      <c r="Y178" s="5" t="str">
        <f t="shared" si="43"/>
        <v>No</v>
      </c>
      <c r="Z178">
        <v>3</v>
      </c>
      <c r="AB178">
        <v>0</v>
      </c>
      <c r="AC178">
        <v>0</v>
      </c>
      <c r="AD178">
        <v>1</v>
      </c>
      <c r="AE178">
        <v>0</v>
      </c>
      <c r="AF178">
        <v>0</v>
      </c>
      <c r="AG178">
        <v>0</v>
      </c>
      <c r="AH178">
        <v>0</v>
      </c>
      <c r="AI178">
        <v>0</v>
      </c>
      <c r="AJ178">
        <v>0</v>
      </c>
      <c r="AK178">
        <v>1</v>
      </c>
      <c r="AM178">
        <v>1</v>
      </c>
      <c r="AN178">
        <v>1</v>
      </c>
      <c r="AO178">
        <v>0</v>
      </c>
      <c r="AP178">
        <v>6</v>
      </c>
      <c r="AQ178">
        <v>40</v>
      </c>
      <c r="AS178">
        <v>6</v>
      </c>
      <c r="AT178">
        <v>40</v>
      </c>
      <c r="AV178">
        <v>1</v>
      </c>
      <c r="AW178">
        <v>0</v>
      </c>
      <c r="AX178">
        <v>0</v>
      </c>
      <c r="AY178">
        <v>0</v>
      </c>
      <c r="AZ178">
        <v>0</v>
      </c>
      <c r="BA178">
        <v>0</v>
      </c>
      <c r="BC178">
        <v>1</v>
      </c>
      <c r="BE178">
        <v>1</v>
      </c>
      <c r="BG178">
        <v>1</v>
      </c>
      <c r="BH178">
        <v>1</v>
      </c>
      <c r="BI178">
        <v>4</v>
      </c>
      <c r="BJ178">
        <v>2</v>
      </c>
      <c r="BL178">
        <v>1</v>
      </c>
      <c r="BM178">
        <v>1</v>
      </c>
      <c r="BN178">
        <v>1</v>
      </c>
      <c r="BO178">
        <v>1</v>
      </c>
      <c r="BP178">
        <v>0</v>
      </c>
      <c r="BQ178">
        <v>0</v>
      </c>
      <c r="BR178">
        <v>0</v>
      </c>
      <c r="BS178">
        <v>0</v>
      </c>
      <c r="BT178">
        <v>0</v>
      </c>
      <c r="BV178">
        <v>1</v>
      </c>
      <c r="BW178">
        <v>0</v>
      </c>
      <c r="BX178">
        <v>1</v>
      </c>
      <c r="BY178">
        <v>0</v>
      </c>
      <c r="BZ178">
        <v>0</v>
      </c>
      <c r="CA178">
        <v>0</v>
      </c>
      <c r="CB178">
        <v>1</v>
      </c>
      <c r="CC178">
        <v>0</v>
      </c>
      <c r="CD178">
        <v>0</v>
      </c>
      <c r="CE178">
        <v>0</v>
      </c>
      <c r="CF178">
        <v>0</v>
      </c>
      <c r="CG178">
        <v>0</v>
      </c>
      <c r="CH178">
        <v>0</v>
      </c>
      <c r="CI178">
        <v>0</v>
      </c>
      <c r="CJ178">
        <v>0</v>
      </c>
      <c r="CK178">
        <v>0</v>
      </c>
      <c r="CL178">
        <v>0</v>
      </c>
      <c r="CN178">
        <v>3</v>
      </c>
      <c r="CO178">
        <v>4</v>
      </c>
      <c r="CQ178">
        <v>5</v>
      </c>
      <c r="CR178">
        <v>5</v>
      </c>
      <c r="EB178">
        <v>0</v>
      </c>
      <c r="EC178">
        <v>0</v>
      </c>
      <c r="ED178">
        <v>0</v>
      </c>
      <c r="EE178">
        <v>1</v>
      </c>
      <c r="EF178">
        <v>0</v>
      </c>
      <c r="EG178">
        <v>0</v>
      </c>
      <c r="EH178">
        <v>0</v>
      </c>
      <c r="EI178">
        <v>0</v>
      </c>
      <c r="EJ178">
        <v>0</v>
      </c>
      <c r="EK178">
        <v>0</v>
      </c>
      <c r="EM178">
        <v>0</v>
      </c>
      <c r="EN178">
        <v>0</v>
      </c>
      <c r="EO178">
        <v>0</v>
      </c>
      <c r="EP178">
        <v>0</v>
      </c>
      <c r="EQ178">
        <v>0</v>
      </c>
      <c r="ER178">
        <v>0</v>
      </c>
      <c r="ES178">
        <v>0</v>
      </c>
      <c r="ET178">
        <v>0</v>
      </c>
      <c r="EU178">
        <v>0</v>
      </c>
      <c r="EV178">
        <v>0</v>
      </c>
      <c r="EW178">
        <v>1</v>
      </c>
      <c r="EX178">
        <v>0</v>
      </c>
      <c r="EY178">
        <v>0</v>
      </c>
      <c r="IZ178">
        <v>1</v>
      </c>
      <c r="JA178">
        <v>0</v>
      </c>
      <c r="JB178">
        <v>1</v>
      </c>
      <c r="JC178">
        <v>0</v>
      </c>
      <c r="JD178">
        <v>0</v>
      </c>
      <c r="JE178">
        <v>0</v>
      </c>
      <c r="JF178">
        <v>0</v>
      </c>
      <c r="JG178">
        <v>0</v>
      </c>
      <c r="JH178">
        <v>0</v>
      </c>
      <c r="JI178">
        <v>0</v>
      </c>
      <c r="JJ178">
        <v>0</v>
      </c>
      <c r="JL178">
        <v>1</v>
      </c>
      <c r="JM178" cm="1">
        <f t="array" ref="JM178">IF(OR(JN178:JQ178 &lt;&gt; ""), 1, 0)</f>
        <v>1</v>
      </c>
      <c r="JN178">
        <v>0</v>
      </c>
      <c r="JO178">
        <v>1</v>
      </c>
      <c r="JP178">
        <v>0</v>
      </c>
      <c r="JQ178">
        <v>0</v>
      </c>
    </row>
    <row r="179" spans="1:278" x14ac:dyDescent="0.35">
      <c r="A179">
        <v>405518</v>
      </c>
      <c r="C179">
        <v>1</v>
      </c>
      <c r="D179" t="s">
        <v>971</v>
      </c>
      <c r="E179" t="str">
        <f>_xlfn.XLOOKUP(I179, [1]SchoolDistrictStudyWODuplicates!$K:$K, [1]SchoolDistrictStudyWODuplicates!$E:$E, "")</f>
        <v/>
      </c>
      <c r="G179" t="s">
        <v>972</v>
      </c>
      <c r="H179" s="7">
        <v>4010350</v>
      </c>
      <c r="I179" s="7">
        <v>4010350</v>
      </c>
      <c r="J179" s="5" t="e">
        <f>_xlfn.XLOOKUP(I179,#REF!,#REF!,"Not Determined")</f>
        <v>#REF!</v>
      </c>
      <c r="K179" s="5" t="s">
        <v>966</v>
      </c>
      <c r="L179" t="s">
        <v>973</v>
      </c>
      <c r="M179" s="13" t="e">
        <f>_xlfn.XLOOKUP(I179,#REF!,#REF!, "No")</f>
        <v>#REF!</v>
      </c>
      <c r="N179" s="5" t="str">
        <f t="shared" si="33"/>
        <v>No</v>
      </c>
      <c r="O179" s="5" t="str">
        <f t="shared" si="34"/>
        <v>Yes</v>
      </c>
      <c r="P179" s="5" t="str">
        <f t="shared" si="35"/>
        <v>Yes</v>
      </c>
      <c r="Q179" s="5" t="str">
        <f t="shared" si="36"/>
        <v>Yes</v>
      </c>
      <c r="R179" s="5" t="str">
        <f t="shared" si="37"/>
        <v>No</v>
      </c>
      <c r="S179" s="5" t="str">
        <f t="shared" si="38"/>
        <v>No</v>
      </c>
      <c r="T179" s="5" t="str">
        <f t="shared" si="39"/>
        <v>No</v>
      </c>
      <c r="U179" s="5" t="str">
        <f t="shared" si="40"/>
        <v>No</v>
      </c>
      <c r="V179" s="5" t="str" cm="1">
        <f t="array" ref="V179">IF(OR(DB179:DG179 =1), "Yes", "No")</f>
        <v>No</v>
      </c>
      <c r="W179" s="5" t="str">
        <f t="shared" si="41"/>
        <v>No</v>
      </c>
      <c r="X179" s="5" t="str">
        <f t="shared" si="42"/>
        <v>No</v>
      </c>
      <c r="Y179" s="5" t="str">
        <f t="shared" si="43"/>
        <v>No</v>
      </c>
      <c r="Z179">
        <v>3</v>
      </c>
      <c r="AB179">
        <v>0</v>
      </c>
      <c r="AC179">
        <v>0</v>
      </c>
      <c r="AD179">
        <v>1</v>
      </c>
      <c r="AE179">
        <v>0</v>
      </c>
      <c r="AF179">
        <v>0</v>
      </c>
      <c r="AG179">
        <v>0</v>
      </c>
      <c r="AH179">
        <v>0</v>
      </c>
      <c r="AI179">
        <v>0</v>
      </c>
      <c r="AJ179">
        <v>0</v>
      </c>
      <c r="AK179">
        <v>1</v>
      </c>
      <c r="AM179">
        <v>1</v>
      </c>
      <c r="AN179">
        <v>1</v>
      </c>
      <c r="AO179">
        <v>1</v>
      </c>
      <c r="AP179">
        <v>4</v>
      </c>
      <c r="AQ179">
        <v>12</v>
      </c>
      <c r="AR179">
        <v>30</v>
      </c>
      <c r="AS179">
        <v>4</v>
      </c>
      <c r="AT179">
        <v>12</v>
      </c>
      <c r="AU179">
        <v>30</v>
      </c>
      <c r="AV179">
        <v>1</v>
      </c>
      <c r="AW179">
        <v>1</v>
      </c>
      <c r="AX179">
        <v>0</v>
      </c>
      <c r="AY179">
        <v>0</v>
      </c>
      <c r="AZ179">
        <v>0</v>
      </c>
      <c r="BA179">
        <v>0</v>
      </c>
      <c r="BC179">
        <v>1</v>
      </c>
      <c r="BE179">
        <v>1</v>
      </c>
      <c r="BG179">
        <v>3</v>
      </c>
      <c r="BJ179">
        <v>2</v>
      </c>
      <c r="BL179">
        <v>1</v>
      </c>
      <c r="BM179">
        <v>1</v>
      </c>
      <c r="BN179">
        <v>1</v>
      </c>
      <c r="BO179">
        <v>1</v>
      </c>
      <c r="BP179">
        <v>0</v>
      </c>
      <c r="BQ179">
        <v>0</v>
      </c>
      <c r="BR179">
        <v>0</v>
      </c>
      <c r="BS179">
        <v>0</v>
      </c>
      <c r="BT179">
        <v>0</v>
      </c>
      <c r="BV179">
        <v>0</v>
      </c>
      <c r="BW179">
        <v>0</v>
      </c>
      <c r="BX179">
        <v>1</v>
      </c>
      <c r="BY179">
        <v>0</v>
      </c>
      <c r="BZ179">
        <v>0</v>
      </c>
      <c r="CA179">
        <v>0</v>
      </c>
      <c r="CB179">
        <v>0</v>
      </c>
      <c r="CC179">
        <v>0</v>
      </c>
      <c r="CD179">
        <v>0</v>
      </c>
      <c r="CE179">
        <v>0</v>
      </c>
      <c r="CF179">
        <v>0</v>
      </c>
      <c r="CG179">
        <v>1</v>
      </c>
      <c r="CH179">
        <v>0</v>
      </c>
      <c r="CI179">
        <v>1</v>
      </c>
      <c r="CJ179">
        <v>0</v>
      </c>
      <c r="CK179">
        <v>1</v>
      </c>
      <c r="CL179">
        <v>0</v>
      </c>
      <c r="JM179" cm="1">
        <f t="array" ref="JM179">IF(OR(JN179:JQ179 &lt;&gt; ""), 1, 0)</f>
        <v>0</v>
      </c>
    </row>
    <row r="180" spans="1:278" x14ac:dyDescent="0.35">
      <c r="A180">
        <v>405213</v>
      </c>
      <c r="C180">
        <v>1</v>
      </c>
      <c r="D180" t="s">
        <v>974</v>
      </c>
      <c r="E180" t="str">
        <f>_xlfn.XLOOKUP(I180, [1]SchoolDistrictStudyWODuplicates!$K:$K, [1]SchoolDistrictStudyWODuplicates!$E:$E, "")</f>
        <v/>
      </c>
      <c r="G180" t="s">
        <v>975</v>
      </c>
      <c r="H180" s="7">
        <v>4017040</v>
      </c>
      <c r="I180" s="7">
        <v>4017040</v>
      </c>
      <c r="J180" s="5" t="e">
        <f>_xlfn.XLOOKUP(I180,#REF!,#REF!,"Not Determined")</f>
        <v>#REF!</v>
      </c>
      <c r="K180" s="5" t="s">
        <v>966</v>
      </c>
      <c r="L180" t="s">
        <v>973</v>
      </c>
      <c r="M180" s="13" t="e">
        <f>_xlfn.XLOOKUP(I180,#REF!,#REF!, "No")</f>
        <v>#REF!</v>
      </c>
      <c r="N180" s="5" t="str">
        <f t="shared" si="33"/>
        <v>No</v>
      </c>
      <c r="O180" s="5" t="str">
        <f t="shared" si="34"/>
        <v>Yes</v>
      </c>
      <c r="P180" s="5" t="str">
        <f t="shared" si="35"/>
        <v>Yes</v>
      </c>
      <c r="Q180" s="5" t="str">
        <f t="shared" si="36"/>
        <v>Yes</v>
      </c>
      <c r="R180" s="5" t="str">
        <f t="shared" si="37"/>
        <v>Yes</v>
      </c>
      <c r="S180" s="5" t="str">
        <f t="shared" si="38"/>
        <v>Yes</v>
      </c>
      <c r="T180" s="5" t="str">
        <f t="shared" si="39"/>
        <v>No</v>
      </c>
      <c r="U180" s="5" t="str">
        <f t="shared" si="40"/>
        <v>No</v>
      </c>
      <c r="V180" s="5" t="str" cm="1">
        <f t="array" ref="V180">IF(OR(DB180:DG180 =1), "Yes", "No")</f>
        <v>No</v>
      </c>
      <c r="W180" s="5" t="str">
        <f t="shared" si="41"/>
        <v>Yes</v>
      </c>
      <c r="X180" s="5" t="str">
        <f t="shared" si="42"/>
        <v>No</v>
      </c>
      <c r="Y180" s="5" t="str">
        <f t="shared" si="43"/>
        <v>No</v>
      </c>
      <c r="Z180">
        <v>1</v>
      </c>
      <c r="AB180">
        <v>1</v>
      </c>
      <c r="AC180">
        <v>0</v>
      </c>
      <c r="AD180">
        <v>0</v>
      </c>
      <c r="AE180">
        <v>1</v>
      </c>
      <c r="AF180">
        <v>0</v>
      </c>
      <c r="AG180">
        <v>0</v>
      </c>
      <c r="AH180">
        <v>0</v>
      </c>
      <c r="AI180">
        <v>0</v>
      </c>
      <c r="AJ180">
        <v>0</v>
      </c>
      <c r="AK180">
        <v>1</v>
      </c>
      <c r="AM180">
        <v>0</v>
      </c>
      <c r="AN180">
        <v>1</v>
      </c>
      <c r="AO180">
        <v>0</v>
      </c>
      <c r="AQ180">
        <v>6</v>
      </c>
      <c r="AT180">
        <v>6</v>
      </c>
      <c r="AV180">
        <v>1</v>
      </c>
      <c r="AW180">
        <v>0</v>
      </c>
      <c r="AX180">
        <v>0</v>
      </c>
      <c r="AY180">
        <v>0</v>
      </c>
      <c r="AZ180">
        <v>0</v>
      </c>
      <c r="BA180">
        <v>0</v>
      </c>
      <c r="BC180">
        <v>1</v>
      </c>
      <c r="BE180">
        <v>3</v>
      </c>
      <c r="BG180">
        <v>1</v>
      </c>
      <c r="BH180">
        <v>1</v>
      </c>
      <c r="BI180">
        <v>3</v>
      </c>
      <c r="BJ180">
        <v>1</v>
      </c>
      <c r="BK180">
        <v>5</v>
      </c>
      <c r="BL180">
        <v>2</v>
      </c>
      <c r="BM180">
        <v>1</v>
      </c>
      <c r="BN180">
        <v>1</v>
      </c>
      <c r="BO180">
        <v>1</v>
      </c>
      <c r="BP180">
        <v>0</v>
      </c>
      <c r="BQ180">
        <v>0</v>
      </c>
      <c r="BR180">
        <v>0</v>
      </c>
      <c r="BS180">
        <v>0</v>
      </c>
      <c r="BT180">
        <v>1</v>
      </c>
      <c r="BU180" t="s">
        <v>976</v>
      </c>
      <c r="BV180">
        <v>1</v>
      </c>
      <c r="BW180">
        <v>0</v>
      </c>
      <c r="BX180">
        <v>1</v>
      </c>
      <c r="BY180">
        <v>0</v>
      </c>
      <c r="BZ180">
        <v>1</v>
      </c>
      <c r="CA180">
        <v>0</v>
      </c>
      <c r="CB180">
        <v>0</v>
      </c>
      <c r="CC180">
        <v>0</v>
      </c>
      <c r="CD180">
        <v>0</v>
      </c>
      <c r="CE180">
        <v>0</v>
      </c>
      <c r="CF180">
        <v>0</v>
      </c>
      <c r="CG180">
        <v>1</v>
      </c>
      <c r="CH180">
        <v>0</v>
      </c>
      <c r="CI180">
        <v>0</v>
      </c>
      <c r="CJ180">
        <v>0</v>
      </c>
      <c r="CK180">
        <v>0</v>
      </c>
      <c r="CL180">
        <v>1</v>
      </c>
      <c r="CM180" t="s">
        <v>977</v>
      </c>
      <c r="CN180">
        <v>17</v>
      </c>
      <c r="CO180">
        <v>4</v>
      </c>
      <c r="CQ180">
        <v>2</v>
      </c>
      <c r="CR180">
        <v>1</v>
      </c>
      <c r="EB180">
        <v>0</v>
      </c>
      <c r="EC180">
        <v>0</v>
      </c>
      <c r="ED180">
        <v>1</v>
      </c>
      <c r="EE180">
        <v>1</v>
      </c>
      <c r="EF180">
        <v>1</v>
      </c>
      <c r="EG180">
        <v>1</v>
      </c>
      <c r="EH180">
        <v>0</v>
      </c>
      <c r="EI180">
        <v>0</v>
      </c>
      <c r="EJ180">
        <v>1</v>
      </c>
      <c r="EK180">
        <v>0</v>
      </c>
      <c r="EL180" t="s">
        <v>978</v>
      </c>
      <c r="EM180">
        <v>1</v>
      </c>
      <c r="EN180">
        <v>1</v>
      </c>
      <c r="EO180">
        <v>1</v>
      </c>
      <c r="EP180">
        <v>0</v>
      </c>
      <c r="EQ180">
        <v>1</v>
      </c>
      <c r="ER180">
        <v>0</v>
      </c>
      <c r="ES180">
        <v>0</v>
      </c>
      <c r="ET180">
        <v>0</v>
      </c>
      <c r="EU180">
        <v>0</v>
      </c>
      <c r="EV180">
        <v>0</v>
      </c>
      <c r="EW180">
        <v>0</v>
      </c>
      <c r="EX180">
        <v>0</v>
      </c>
      <c r="EY180">
        <v>0</v>
      </c>
      <c r="EZ180" t="s">
        <v>979</v>
      </c>
      <c r="FA180">
        <v>3</v>
      </c>
      <c r="FB180" t="s">
        <v>274</v>
      </c>
      <c r="FC180">
        <v>1</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t="s">
        <v>300</v>
      </c>
      <c r="FZ180">
        <v>1</v>
      </c>
      <c r="GA180">
        <v>0</v>
      </c>
      <c r="GB180">
        <v>0</v>
      </c>
      <c r="GC180">
        <v>0</v>
      </c>
      <c r="GD180">
        <v>0</v>
      </c>
      <c r="GE180">
        <v>0</v>
      </c>
      <c r="GF180">
        <v>0</v>
      </c>
      <c r="GG180">
        <v>0</v>
      </c>
      <c r="GH180">
        <v>0</v>
      </c>
      <c r="GI180">
        <v>0</v>
      </c>
      <c r="GJ180">
        <v>0</v>
      </c>
      <c r="GK180">
        <v>0</v>
      </c>
      <c r="GL180">
        <v>0</v>
      </c>
      <c r="GM180">
        <v>0</v>
      </c>
      <c r="GN180">
        <v>0</v>
      </c>
      <c r="GO180">
        <v>0</v>
      </c>
      <c r="GP180">
        <v>0</v>
      </c>
      <c r="GQ180">
        <v>0</v>
      </c>
      <c r="GR180">
        <v>0</v>
      </c>
      <c r="IZ180">
        <v>1</v>
      </c>
      <c r="JA180">
        <v>0</v>
      </c>
      <c r="JB180">
        <v>1</v>
      </c>
      <c r="JC180">
        <v>0</v>
      </c>
      <c r="JD180">
        <v>0</v>
      </c>
      <c r="JE180">
        <v>0</v>
      </c>
      <c r="JF180">
        <v>1</v>
      </c>
      <c r="JG180">
        <v>0</v>
      </c>
      <c r="JH180">
        <v>0</v>
      </c>
      <c r="JI180">
        <v>0</v>
      </c>
      <c r="JJ180">
        <v>0</v>
      </c>
      <c r="JL180">
        <v>1</v>
      </c>
      <c r="JM180" cm="1">
        <f t="array" ref="JM180">IF(OR(JN180:JQ180 &lt;&gt; ""), 1, 0)</f>
        <v>1</v>
      </c>
      <c r="JN180">
        <v>1</v>
      </c>
      <c r="JO180">
        <v>0</v>
      </c>
      <c r="JP180">
        <v>0</v>
      </c>
      <c r="JQ180">
        <v>0</v>
      </c>
    </row>
    <row r="181" spans="1:278" x14ac:dyDescent="0.35">
      <c r="A181">
        <v>405331</v>
      </c>
      <c r="C181">
        <v>1</v>
      </c>
      <c r="D181" t="s">
        <v>980</v>
      </c>
      <c r="E181" t="str">
        <f>_xlfn.XLOOKUP(I181, [1]SchoolDistrictStudyWODuplicates!$K:$K, [1]SchoolDistrictStudyWODuplicates!$E:$E, "")</f>
        <v/>
      </c>
      <c r="G181" t="s">
        <v>981</v>
      </c>
      <c r="H181" s="7">
        <v>4024240</v>
      </c>
      <c r="I181" s="7">
        <v>4024240</v>
      </c>
      <c r="J181" s="5" t="e">
        <f>_xlfn.XLOOKUP(I181,#REF!,#REF!,"Not Determined")</f>
        <v>#REF!</v>
      </c>
      <c r="K181" s="5" t="s">
        <v>966</v>
      </c>
      <c r="L181" t="s">
        <v>973</v>
      </c>
      <c r="M181" s="13" t="e">
        <f>_xlfn.XLOOKUP(I181,#REF!,#REF!, "No")</f>
        <v>#REF!</v>
      </c>
      <c r="N181" s="5" t="str">
        <f t="shared" si="33"/>
        <v>No</v>
      </c>
      <c r="O181" s="5" t="str">
        <f t="shared" si="34"/>
        <v>Yes</v>
      </c>
      <c r="P181" s="5" t="str">
        <f t="shared" si="35"/>
        <v>Yes</v>
      </c>
      <c r="Q181" s="5" t="str">
        <f t="shared" si="36"/>
        <v>Yes</v>
      </c>
      <c r="R181" s="5" t="str">
        <f t="shared" si="37"/>
        <v>Yes</v>
      </c>
      <c r="S181" s="5" t="str">
        <f t="shared" si="38"/>
        <v>Yes</v>
      </c>
      <c r="T181" s="5" t="str">
        <f t="shared" si="39"/>
        <v>Yes</v>
      </c>
      <c r="U181" s="5" t="str">
        <f t="shared" si="40"/>
        <v>Yes</v>
      </c>
      <c r="V181" s="5" t="str" cm="1">
        <f t="array" ref="V181">IF(OR(DB181:DG181 =1), "Yes", "No")</f>
        <v>No</v>
      </c>
      <c r="W181" s="5" t="str">
        <f t="shared" si="41"/>
        <v>No</v>
      </c>
      <c r="X181" s="5" t="str">
        <f t="shared" si="42"/>
        <v>No</v>
      </c>
      <c r="Y181" s="5" t="str">
        <f t="shared" si="43"/>
        <v>No</v>
      </c>
      <c r="Z181">
        <v>3</v>
      </c>
      <c r="AB181">
        <v>1</v>
      </c>
      <c r="AC181">
        <v>0</v>
      </c>
      <c r="AD181">
        <v>0</v>
      </c>
      <c r="AE181">
        <v>0</v>
      </c>
      <c r="AF181">
        <v>0</v>
      </c>
      <c r="AG181">
        <v>0</v>
      </c>
      <c r="AH181">
        <v>0</v>
      </c>
      <c r="AI181">
        <v>0</v>
      </c>
      <c r="AJ181">
        <v>0</v>
      </c>
      <c r="AK181">
        <v>1</v>
      </c>
      <c r="AM181">
        <v>1</v>
      </c>
      <c r="AN181">
        <v>1</v>
      </c>
      <c r="AO181">
        <v>0</v>
      </c>
      <c r="AP181">
        <v>3</v>
      </c>
      <c r="AQ181">
        <v>20</v>
      </c>
      <c r="AS181">
        <v>3</v>
      </c>
      <c r="AT181">
        <v>20</v>
      </c>
      <c r="AV181">
        <v>1</v>
      </c>
      <c r="AW181">
        <v>0</v>
      </c>
      <c r="AX181">
        <v>0</v>
      </c>
      <c r="AY181">
        <v>0</v>
      </c>
      <c r="AZ181">
        <v>0</v>
      </c>
      <c r="BA181">
        <v>0</v>
      </c>
      <c r="BC181">
        <v>1</v>
      </c>
      <c r="BE181">
        <v>1</v>
      </c>
      <c r="BG181">
        <v>1</v>
      </c>
      <c r="BH181">
        <v>1</v>
      </c>
      <c r="BI181">
        <v>4</v>
      </c>
      <c r="BJ181">
        <v>1</v>
      </c>
      <c r="BK181">
        <v>5</v>
      </c>
      <c r="BL181">
        <v>1</v>
      </c>
      <c r="BM181">
        <v>1</v>
      </c>
      <c r="BN181">
        <v>2</v>
      </c>
      <c r="BV181">
        <v>0</v>
      </c>
      <c r="BW181">
        <v>0</v>
      </c>
      <c r="BX181">
        <v>0</v>
      </c>
      <c r="BY181">
        <v>0</v>
      </c>
      <c r="BZ181">
        <v>0</v>
      </c>
      <c r="CA181">
        <v>0</v>
      </c>
      <c r="CB181">
        <v>0</v>
      </c>
      <c r="CC181">
        <v>0</v>
      </c>
      <c r="CD181">
        <v>0</v>
      </c>
      <c r="CE181">
        <v>0</v>
      </c>
      <c r="CF181">
        <v>0</v>
      </c>
      <c r="CG181">
        <v>0</v>
      </c>
      <c r="CH181">
        <v>0</v>
      </c>
      <c r="CI181">
        <v>0</v>
      </c>
      <c r="CJ181">
        <v>0</v>
      </c>
      <c r="CK181">
        <v>1</v>
      </c>
      <c r="CL181">
        <v>0</v>
      </c>
      <c r="CN181">
        <v>16</v>
      </c>
      <c r="CO181">
        <v>4</v>
      </c>
      <c r="CQ181">
        <v>5</v>
      </c>
      <c r="CR181">
        <v>5</v>
      </c>
      <c r="EB181">
        <v>0</v>
      </c>
      <c r="EC181">
        <v>0</v>
      </c>
      <c r="ED181">
        <v>0</v>
      </c>
      <c r="EE181">
        <v>1</v>
      </c>
      <c r="EF181">
        <v>0</v>
      </c>
      <c r="EG181">
        <v>1</v>
      </c>
      <c r="EH181">
        <v>0</v>
      </c>
      <c r="EI181">
        <v>1</v>
      </c>
      <c r="EJ181">
        <v>0</v>
      </c>
      <c r="EK181">
        <v>0</v>
      </c>
      <c r="EM181">
        <v>0</v>
      </c>
      <c r="EN181">
        <v>0</v>
      </c>
      <c r="EO181">
        <v>0</v>
      </c>
      <c r="EP181">
        <v>0</v>
      </c>
      <c r="EQ181">
        <v>0</v>
      </c>
      <c r="ER181">
        <v>0</v>
      </c>
      <c r="ES181">
        <v>0</v>
      </c>
      <c r="ET181">
        <v>1</v>
      </c>
      <c r="EU181">
        <v>0</v>
      </c>
      <c r="EV181">
        <v>0</v>
      </c>
      <c r="EW181">
        <v>1</v>
      </c>
      <c r="EX181">
        <v>0</v>
      </c>
      <c r="EY181">
        <v>0</v>
      </c>
      <c r="IZ181">
        <v>0</v>
      </c>
      <c r="JA181">
        <v>1</v>
      </c>
      <c r="JB181">
        <v>0</v>
      </c>
      <c r="JC181">
        <v>1</v>
      </c>
      <c r="JD181">
        <v>0</v>
      </c>
      <c r="JE181">
        <v>0</v>
      </c>
      <c r="JF181">
        <v>0</v>
      </c>
      <c r="JG181">
        <v>0</v>
      </c>
      <c r="JH181">
        <v>0</v>
      </c>
      <c r="JI181">
        <v>0</v>
      </c>
      <c r="JJ181">
        <v>0</v>
      </c>
      <c r="JL181">
        <v>2</v>
      </c>
      <c r="JM181" cm="1">
        <f t="array" ref="JM181">IF(OR(JN181:JQ181 &lt;&gt; ""), 1, 0)</f>
        <v>0</v>
      </c>
    </row>
    <row r="182" spans="1:278" x14ac:dyDescent="0.35">
      <c r="A182">
        <v>405221</v>
      </c>
      <c r="C182">
        <v>1</v>
      </c>
      <c r="D182" t="s">
        <v>982</v>
      </c>
      <c r="E182" t="str">
        <f>_xlfn.XLOOKUP(I182, [1]SchoolDistrictStudyWODuplicates!$K:$K, [1]SchoolDistrictStudyWODuplicates!$E:$E, "")</f>
        <v/>
      </c>
      <c r="G182" t="s">
        <v>983</v>
      </c>
      <c r="H182" s="7">
        <v>4025290</v>
      </c>
      <c r="I182" s="7">
        <v>4025290</v>
      </c>
      <c r="J182" s="5" t="e">
        <f>_xlfn.XLOOKUP(I182,#REF!,#REF!,"Not Determined")</f>
        <v>#REF!</v>
      </c>
      <c r="K182" s="5" t="s">
        <v>966</v>
      </c>
      <c r="L182" t="s">
        <v>973</v>
      </c>
      <c r="M182" s="13" t="e">
        <f>_xlfn.XLOOKUP(I182,#REF!,#REF!, "No")</f>
        <v>#REF!</v>
      </c>
      <c r="N182" s="5" t="str">
        <f t="shared" si="33"/>
        <v>No</v>
      </c>
      <c r="O182" s="5" t="str">
        <f t="shared" si="34"/>
        <v>Yes</v>
      </c>
      <c r="P182" s="5" t="str">
        <f t="shared" si="35"/>
        <v>Yes</v>
      </c>
      <c r="Q182" s="5" t="str">
        <f t="shared" si="36"/>
        <v>Yes</v>
      </c>
      <c r="R182" s="5" t="str">
        <f t="shared" si="37"/>
        <v>Yes</v>
      </c>
      <c r="S182" s="5" t="str">
        <f t="shared" si="38"/>
        <v>Yes</v>
      </c>
      <c r="T182" s="5" t="str">
        <f t="shared" si="39"/>
        <v>Yes</v>
      </c>
      <c r="U182" s="5" t="str">
        <f t="shared" si="40"/>
        <v>Yes</v>
      </c>
      <c r="V182" s="5" t="str" cm="1">
        <f t="array" ref="V182">IF(OR(DB182:DG182 =1), "Yes", "No")</f>
        <v>No</v>
      </c>
      <c r="W182" s="5" t="str">
        <f t="shared" si="41"/>
        <v>Yes</v>
      </c>
      <c r="X182" s="5" t="str">
        <f t="shared" si="42"/>
        <v>No</v>
      </c>
      <c r="Y182" s="5" t="str">
        <f t="shared" si="43"/>
        <v>No</v>
      </c>
      <c r="Z182">
        <v>3</v>
      </c>
      <c r="AB182">
        <v>0</v>
      </c>
      <c r="AC182">
        <v>0</v>
      </c>
      <c r="AD182">
        <v>1</v>
      </c>
      <c r="AE182">
        <v>0</v>
      </c>
      <c r="AF182">
        <v>0</v>
      </c>
      <c r="AG182">
        <v>0</v>
      </c>
      <c r="AH182">
        <v>0</v>
      </c>
      <c r="AI182">
        <v>0</v>
      </c>
      <c r="AJ182">
        <v>0</v>
      </c>
      <c r="AK182">
        <v>1</v>
      </c>
      <c r="AM182">
        <v>1</v>
      </c>
      <c r="AN182">
        <v>1</v>
      </c>
      <c r="AO182">
        <v>0</v>
      </c>
      <c r="AP182">
        <v>11</v>
      </c>
      <c r="AQ182">
        <v>131</v>
      </c>
      <c r="AS182">
        <v>11</v>
      </c>
      <c r="AT182">
        <v>131</v>
      </c>
      <c r="AV182">
        <v>1</v>
      </c>
      <c r="AW182">
        <v>1</v>
      </c>
      <c r="AX182">
        <v>0</v>
      </c>
      <c r="AY182">
        <v>0</v>
      </c>
      <c r="AZ182">
        <v>0</v>
      </c>
      <c r="BA182">
        <v>0</v>
      </c>
      <c r="BC182">
        <v>1</v>
      </c>
      <c r="BE182">
        <v>1</v>
      </c>
      <c r="BG182">
        <v>1</v>
      </c>
      <c r="BH182">
        <v>1</v>
      </c>
      <c r="BI182">
        <v>1</v>
      </c>
      <c r="BJ182">
        <v>2</v>
      </c>
      <c r="BL182">
        <v>2</v>
      </c>
      <c r="BM182">
        <v>1</v>
      </c>
      <c r="BN182">
        <v>1</v>
      </c>
      <c r="BO182">
        <v>1</v>
      </c>
      <c r="BP182">
        <v>0</v>
      </c>
      <c r="BQ182">
        <v>0</v>
      </c>
      <c r="BR182">
        <v>0</v>
      </c>
      <c r="BS182">
        <v>1</v>
      </c>
      <c r="BT182">
        <v>0</v>
      </c>
      <c r="BV182">
        <v>1</v>
      </c>
      <c r="BW182">
        <v>0</v>
      </c>
      <c r="BX182">
        <v>1</v>
      </c>
      <c r="BY182">
        <v>0</v>
      </c>
      <c r="BZ182">
        <v>0</v>
      </c>
      <c r="CA182">
        <v>1</v>
      </c>
      <c r="CB182">
        <v>0</v>
      </c>
      <c r="CC182">
        <v>0</v>
      </c>
      <c r="CD182">
        <v>1</v>
      </c>
      <c r="CE182">
        <v>1</v>
      </c>
      <c r="CF182">
        <v>1</v>
      </c>
      <c r="CG182">
        <v>1</v>
      </c>
      <c r="CH182">
        <v>1</v>
      </c>
      <c r="CI182">
        <v>1</v>
      </c>
      <c r="CJ182">
        <v>0</v>
      </c>
      <c r="CK182">
        <v>0</v>
      </c>
      <c r="CL182">
        <v>0</v>
      </c>
      <c r="CN182">
        <v>14</v>
      </c>
      <c r="CO182">
        <v>3</v>
      </c>
      <c r="CP182" t="s">
        <v>984</v>
      </c>
      <c r="CQ182">
        <v>5</v>
      </c>
      <c r="CR182">
        <v>4</v>
      </c>
      <c r="EB182">
        <v>0</v>
      </c>
      <c r="EC182">
        <v>0</v>
      </c>
      <c r="ED182">
        <v>1</v>
      </c>
      <c r="EE182">
        <v>0</v>
      </c>
      <c r="EF182">
        <v>0</v>
      </c>
      <c r="EG182">
        <v>1</v>
      </c>
      <c r="EH182">
        <v>0</v>
      </c>
      <c r="EI182">
        <v>0</v>
      </c>
      <c r="EJ182">
        <v>1</v>
      </c>
      <c r="EK182">
        <v>0</v>
      </c>
      <c r="EL182" t="s">
        <v>985</v>
      </c>
      <c r="EM182">
        <v>0</v>
      </c>
      <c r="EN182">
        <v>1</v>
      </c>
      <c r="EO182">
        <v>0</v>
      </c>
      <c r="EP182">
        <v>0</v>
      </c>
      <c r="EQ182">
        <v>1</v>
      </c>
      <c r="ER182">
        <v>0</v>
      </c>
      <c r="ES182">
        <v>0</v>
      </c>
      <c r="ET182">
        <v>0</v>
      </c>
      <c r="EU182">
        <v>0</v>
      </c>
      <c r="EV182">
        <v>1</v>
      </c>
      <c r="EW182">
        <v>1</v>
      </c>
      <c r="EX182">
        <v>0</v>
      </c>
      <c r="EY182">
        <v>0</v>
      </c>
      <c r="FB182" t="s">
        <v>274</v>
      </c>
      <c r="FC182">
        <v>1</v>
      </c>
      <c r="FD182">
        <v>0</v>
      </c>
      <c r="FE182">
        <v>0</v>
      </c>
      <c r="FF182">
        <v>0</v>
      </c>
      <c r="FG182">
        <v>0</v>
      </c>
      <c r="FH182">
        <v>0</v>
      </c>
      <c r="FI182">
        <v>0</v>
      </c>
      <c r="FJ182">
        <v>0</v>
      </c>
      <c r="FK182">
        <v>0</v>
      </c>
      <c r="FL182">
        <v>0</v>
      </c>
      <c r="FM182">
        <v>0</v>
      </c>
      <c r="FN182">
        <v>0</v>
      </c>
      <c r="FO182">
        <v>0</v>
      </c>
      <c r="FP182">
        <v>0</v>
      </c>
      <c r="FQ182">
        <v>0</v>
      </c>
      <c r="FR182">
        <v>0</v>
      </c>
      <c r="FS182">
        <v>0</v>
      </c>
      <c r="FT182">
        <v>0</v>
      </c>
      <c r="FU182">
        <v>0</v>
      </c>
      <c r="FV182">
        <v>0</v>
      </c>
      <c r="FW182">
        <v>0</v>
      </c>
      <c r="FX182">
        <v>0</v>
      </c>
      <c r="HC182" t="s">
        <v>986</v>
      </c>
      <c r="HD182">
        <v>1</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c r="IL182">
        <v>0</v>
      </c>
      <c r="IM182">
        <v>0</v>
      </c>
      <c r="IN182">
        <v>0</v>
      </c>
      <c r="IO182">
        <v>0</v>
      </c>
      <c r="IP182">
        <v>0</v>
      </c>
      <c r="IQ182">
        <v>0</v>
      </c>
      <c r="IR182">
        <v>0</v>
      </c>
      <c r="IS182">
        <v>0</v>
      </c>
      <c r="IT182">
        <v>0</v>
      </c>
      <c r="IU182">
        <v>0</v>
      </c>
      <c r="IV182">
        <v>0</v>
      </c>
      <c r="IW182">
        <v>0</v>
      </c>
      <c r="IZ182">
        <v>1</v>
      </c>
      <c r="JA182">
        <v>0</v>
      </c>
      <c r="JB182">
        <v>0</v>
      </c>
      <c r="JC182">
        <v>1</v>
      </c>
      <c r="JD182">
        <v>0</v>
      </c>
      <c r="JE182">
        <v>0</v>
      </c>
      <c r="JF182">
        <v>0</v>
      </c>
      <c r="JG182">
        <v>1</v>
      </c>
      <c r="JH182">
        <v>0</v>
      </c>
      <c r="JI182">
        <v>0</v>
      </c>
      <c r="JJ182">
        <v>0</v>
      </c>
      <c r="JL182">
        <v>1</v>
      </c>
      <c r="JM182" cm="1">
        <f t="array" ref="JM182">IF(OR(JN182:JQ182 &lt;&gt; ""), 1, 0)</f>
        <v>1</v>
      </c>
      <c r="JN182">
        <v>1</v>
      </c>
      <c r="JO182">
        <v>0</v>
      </c>
      <c r="JP182">
        <v>0</v>
      </c>
      <c r="JQ182">
        <v>0</v>
      </c>
    </row>
    <row r="183" spans="1:278" x14ac:dyDescent="0.35">
      <c r="A183">
        <v>405538</v>
      </c>
      <c r="C183">
        <v>1</v>
      </c>
      <c r="D183" t="s">
        <v>1190</v>
      </c>
      <c r="E183" t="str">
        <f>_xlfn.XLOOKUP(I183, [1]SchoolDistrictStudyWODuplicates!$K:$K, [1]SchoolDistrictStudyWODuplicates!$E:$E, "")</f>
        <v/>
      </c>
      <c r="G183" t="s">
        <v>1191</v>
      </c>
      <c r="H183" s="5" t="e">
        <f>_xlfn.XLOOKUP(A183,#REF!,#REF!, "No")</f>
        <v>#REF!</v>
      </c>
      <c r="I183" s="7">
        <v>5100090</v>
      </c>
      <c r="J183" s="5" t="e">
        <f>_xlfn.XLOOKUP(I183,#REF!,#REF!,"Not Determined")</f>
        <v>#REF!</v>
      </c>
      <c r="K183" s="5" t="s">
        <v>1167</v>
      </c>
      <c r="L183" t="s">
        <v>1192</v>
      </c>
      <c r="M183" s="13" t="e">
        <f>_xlfn.XLOOKUP(I183,#REF!,#REF!, "No")</f>
        <v>#REF!</v>
      </c>
      <c r="N183" s="5" t="str">
        <f t="shared" si="33"/>
        <v>Yes</v>
      </c>
      <c r="O183" s="5" t="str">
        <f t="shared" si="34"/>
        <v>Yes</v>
      </c>
      <c r="P183" s="5" t="str">
        <f t="shared" si="35"/>
        <v>Yes</v>
      </c>
      <c r="Q183" s="5" t="str">
        <f t="shared" si="36"/>
        <v>Yes</v>
      </c>
      <c r="R183" s="5" t="str">
        <f t="shared" si="37"/>
        <v>Yes</v>
      </c>
      <c r="S183" s="5" t="str">
        <f t="shared" si="38"/>
        <v>Yes</v>
      </c>
      <c r="T183" s="5" t="str">
        <f t="shared" si="39"/>
        <v>Yes</v>
      </c>
      <c r="U183" s="5" t="str">
        <f t="shared" si="40"/>
        <v>Yes</v>
      </c>
      <c r="V183" s="5" t="str" cm="1">
        <f t="array" ref="V183">IF(OR(DB183:DG183 =1), "Yes", "No")</f>
        <v>Yes</v>
      </c>
      <c r="W183" s="5" t="str">
        <f t="shared" si="41"/>
        <v>No</v>
      </c>
      <c r="X183" s="5" t="str">
        <f t="shared" si="42"/>
        <v>Yes</v>
      </c>
      <c r="Y183" s="5" t="str">
        <f t="shared" si="43"/>
        <v>Yes</v>
      </c>
      <c r="Z183">
        <v>5</v>
      </c>
      <c r="AB183">
        <v>1</v>
      </c>
      <c r="AC183">
        <v>0</v>
      </c>
      <c r="AD183">
        <v>1</v>
      </c>
      <c r="AE183">
        <v>0</v>
      </c>
      <c r="AF183">
        <v>1</v>
      </c>
      <c r="AG183">
        <v>0</v>
      </c>
      <c r="AH183">
        <v>0</v>
      </c>
      <c r="AI183">
        <v>1</v>
      </c>
      <c r="AJ183">
        <v>0</v>
      </c>
      <c r="AK183">
        <v>1</v>
      </c>
      <c r="AM183">
        <v>1</v>
      </c>
      <c r="AN183">
        <v>1</v>
      </c>
      <c r="AO183">
        <v>1</v>
      </c>
      <c r="AP183">
        <v>4</v>
      </c>
      <c r="AQ183">
        <v>224</v>
      </c>
      <c r="AR183">
        <v>3</v>
      </c>
      <c r="AS183">
        <v>4</v>
      </c>
      <c r="AT183">
        <v>224</v>
      </c>
      <c r="AU183">
        <v>3</v>
      </c>
      <c r="AV183">
        <v>1</v>
      </c>
      <c r="AW183">
        <v>0</v>
      </c>
      <c r="AX183">
        <v>0</v>
      </c>
      <c r="AY183">
        <v>0</v>
      </c>
      <c r="AZ183">
        <v>1</v>
      </c>
      <c r="BA183">
        <v>0</v>
      </c>
      <c r="BC183">
        <v>1</v>
      </c>
      <c r="BE183">
        <v>1</v>
      </c>
      <c r="BG183">
        <v>1</v>
      </c>
      <c r="BH183">
        <v>1</v>
      </c>
      <c r="BI183">
        <v>2</v>
      </c>
      <c r="BJ183">
        <v>1</v>
      </c>
      <c r="BK183">
        <v>1</v>
      </c>
      <c r="BL183">
        <v>2</v>
      </c>
      <c r="BM183">
        <v>1</v>
      </c>
      <c r="CQ183">
        <v>4</v>
      </c>
      <c r="CR183">
        <v>3</v>
      </c>
      <c r="CS183">
        <v>1</v>
      </c>
      <c r="CT183">
        <v>1</v>
      </c>
      <c r="CU183">
        <v>1</v>
      </c>
      <c r="CV183">
        <v>0</v>
      </c>
      <c r="CW183">
        <v>1</v>
      </c>
      <c r="CX183">
        <v>0</v>
      </c>
      <c r="CY183">
        <v>0</v>
      </c>
      <c r="CZ183">
        <v>0</v>
      </c>
      <c r="DA183">
        <v>0</v>
      </c>
      <c r="DB183">
        <v>1</v>
      </c>
      <c r="DC183">
        <v>0</v>
      </c>
      <c r="DD183">
        <v>1</v>
      </c>
      <c r="DE183">
        <v>1</v>
      </c>
      <c r="DF183">
        <v>0</v>
      </c>
      <c r="DG183">
        <v>0</v>
      </c>
      <c r="DH183">
        <v>0</v>
      </c>
      <c r="DJ183" t="s">
        <v>1193</v>
      </c>
      <c r="DK183">
        <v>1</v>
      </c>
      <c r="DL183">
        <v>1</v>
      </c>
      <c r="DN183">
        <v>1</v>
      </c>
      <c r="DP183">
        <v>1</v>
      </c>
      <c r="DR183" t="s">
        <v>1194</v>
      </c>
      <c r="DS183">
        <v>1</v>
      </c>
      <c r="DU183">
        <v>5</v>
      </c>
      <c r="DW183" t="s">
        <v>1195</v>
      </c>
      <c r="DX183">
        <v>1</v>
      </c>
      <c r="DY183" t="s">
        <v>1196</v>
      </c>
      <c r="DZ183">
        <v>1</v>
      </c>
      <c r="EA183" t="s">
        <v>1197</v>
      </c>
      <c r="EB183">
        <v>0</v>
      </c>
      <c r="EC183">
        <v>0</v>
      </c>
      <c r="ED183">
        <v>1</v>
      </c>
      <c r="EE183">
        <v>0</v>
      </c>
      <c r="EF183">
        <v>0</v>
      </c>
      <c r="EG183">
        <v>1</v>
      </c>
      <c r="EH183">
        <v>0</v>
      </c>
      <c r="EI183">
        <v>0</v>
      </c>
      <c r="EJ183">
        <v>1</v>
      </c>
      <c r="EK183">
        <v>0</v>
      </c>
      <c r="EL183" t="s">
        <v>1198</v>
      </c>
      <c r="EM183">
        <v>0</v>
      </c>
      <c r="EN183">
        <v>1</v>
      </c>
      <c r="EO183">
        <v>0</v>
      </c>
      <c r="EP183">
        <v>1</v>
      </c>
      <c r="EQ183">
        <v>1</v>
      </c>
      <c r="ER183">
        <v>0</v>
      </c>
      <c r="ES183">
        <v>0</v>
      </c>
      <c r="ET183">
        <v>0</v>
      </c>
      <c r="EU183">
        <v>0</v>
      </c>
      <c r="EV183">
        <v>0</v>
      </c>
      <c r="EW183">
        <v>1</v>
      </c>
      <c r="EX183">
        <v>0</v>
      </c>
      <c r="EY183">
        <v>0</v>
      </c>
      <c r="FB183" t="s">
        <v>1199</v>
      </c>
      <c r="FC183">
        <v>1</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IZ183">
        <v>1</v>
      </c>
      <c r="JA183">
        <v>1</v>
      </c>
      <c r="JB183">
        <v>1</v>
      </c>
      <c r="JC183">
        <v>0</v>
      </c>
      <c r="JD183">
        <v>0</v>
      </c>
      <c r="JE183">
        <v>0</v>
      </c>
      <c r="JF183">
        <v>0</v>
      </c>
      <c r="JG183">
        <v>0</v>
      </c>
      <c r="JH183">
        <v>0</v>
      </c>
      <c r="JI183">
        <v>0</v>
      </c>
      <c r="JJ183">
        <v>0</v>
      </c>
      <c r="JL183">
        <v>2</v>
      </c>
      <c r="JM183" cm="1">
        <f t="array" ref="JM183">IF(OR(JN183:JQ183 &lt;&gt; ""), 1, 0)</f>
        <v>0</v>
      </c>
    </row>
    <row r="184" spans="1:278" x14ac:dyDescent="0.35">
      <c r="A184">
        <v>405332</v>
      </c>
      <c r="C184">
        <v>1</v>
      </c>
      <c r="D184" t="s">
        <v>997</v>
      </c>
      <c r="E184" t="str">
        <f>_xlfn.XLOOKUP(I184, [1]SchoolDistrictStudyWODuplicates!$K:$K, [1]SchoolDistrictStudyWODuplicates!$E:$E, "")</f>
        <v/>
      </c>
      <c r="G184" t="s">
        <v>998</v>
      </c>
      <c r="H184" s="7">
        <v>4110350</v>
      </c>
      <c r="I184" s="7">
        <v>4110350</v>
      </c>
      <c r="J184" s="5" t="e">
        <f>_xlfn.XLOOKUP(I184,#REF!,#REF!,"Not Determined")</f>
        <v>#REF!</v>
      </c>
      <c r="K184" s="5" t="s">
        <v>989</v>
      </c>
      <c r="L184" t="s">
        <v>989</v>
      </c>
      <c r="M184" s="13" t="e">
        <f>_xlfn.XLOOKUP(I184,#REF!,#REF!, "No")</f>
        <v>#REF!</v>
      </c>
      <c r="N184" s="5" t="str">
        <f t="shared" si="33"/>
        <v>No</v>
      </c>
      <c r="O184" s="5" t="str">
        <f t="shared" si="34"/>
        <v>Yes</v>
      </c>
      <c r="P184" s="5" t="str">
        <f t="shared" si="35"/>
        <v>Yes</v>
      </c>
      <c r="Q184" s="5" t="str">
        <f t="shared" si="36"/>
        <v>Yes</v>
      </c>
      <c r="R184" s="5" t="str">
        <f t="shared" si="37"/>
        <v>No</v>
      </c>
      <c r="S184" s="5" t="str">
        <f t="shared" si="38"/>
        <v>No</v>
      </c>
      <c r="T184" s="5" t="str">
        <f t="shared" si="39"/>
        <v>No</v>
      </c>
      <c r="U184" s="5" t="str">
        <f t="shared" si="40"/>
        <v>No</v>
      </c>
      <c r="V184" s="5" t="str" cm="1">
        <f t="array" ref="V184">IF(OR(DB184:DG184 =1), "Yes", "No")</f>
        <v>No</v>
      </c>
      <c r="W184" s="5" t="str">
        <f t="shared" si="41"/>
        <v>No</v>
      </c>
      <c r="X184" s="5" t="str">
        <f t="shared" si="42"/>
        <v>No</v>
      </c>
      <c r="Y184" s="5" t="str">
        <f t="shared" si="43"/>
        <v>No</v>
      </c>
      <c r="Z184">
        <v>3</v>
      </c>
      <c r="AB184">
        <v>0</v>
      </c>
      <c r="AC184">
        <v>0</v>
      </c>
      <c r="AD184">
        <v>1</v>
      </c>
      <c r="AE184">
        <v>0</v>
      </c>
      <c r="AF184">
        <v>0</v>
      </c>
      <c r="AG184">
        <v>0</v>
      </c>
      <c r="AH184">
        <v>0</v>
      </c>
      <c r="AI184">
        <v>0</v>
      </c>
      <c r="AJ184">
        <v>0</v>
      </c>
      <c r="AK184">
        <v>1</v>
      </c>
      <c r="AM184">
        <v>1</v>
      </c>
      <c r="AN184">
        <v>0</v>
      </c>
      <c r="AO184">
        <v>1</v>
      </c>
      <c r="AP184">
        <v>10</v>
      </c>
      <c r="AR184">
        <v>50</v>
      </c>
      <c r="AS184">
        <v>10</v>
      </c>
      <c r="AU184">
        <v>50</v>
      </c>
      <c r="AV184">
        <v>1</v>
      </c>
      <c r="AW184">
        <v>0</v>
      </c>
      <c r="AX184">
        <v>0</v>
      </c>
      <c r="AY184">
        <v>1</v>
      </c>
      <c r="AZ184">
        <v>0</v>
      </c>
      <c r="BA184">
        <v>0</v>
      </c>
      <c r="BC184">
        <v>1</v>
      </c>
      <c r="BE184">
        <v>1</v>
      </c>
      <c r="BG184">
        <v>1</v>
      </c>
      <c r="BH184">
        <v>1</v>
      </c>
      <c r="BI184">
        <v>4</v>
      </c>
      <c r="BJ184">
        <v>2</v>
      </c>
      <c r="BL184">
        <v>2</v>
      </c>
      <c r="BM184">
        <v>1</v>
      </c>
      <c r="BN184">
        <v>2</v>
      </c>
      <c r="BV184">
        <v>0</v>
      </c>
      <c r="BW184">
        <v>0</v>
      </c>
      <c r="BX184">
        <v>0</v>
      </c>
      <c r="BY184">
        <v>0</v>
      </c>
      <c r="BZ184">
        <v>1</v>
      </c>
      <c r="CA184">
        <v>0</v>
      </c>
      <c r="CB184">
        <v>0</v>
      </c>
      <c r="CC184">
        <v>0</v>
      </c>
      <c r="CD184">
        <v>0</v>
      </c>
      <c r="CE184">
        <v>0</v>
      </c>
      <c r="CF184">
        <v>0</v>
      </c>
      <c r="CG184">
        <v>0</v>
      </c>
      <c r="CH184">
        <v>0</v>
      </c>
      <c r="CI184">
        <v>0</v>
      </c>
      <c r="CJ184">
        <v>0</v>
      </c>
      <c r="CK184">
        <v>0</v>
      </c>
      <c r="CL184">
        <v>0</v>
      </c>
      <c r="CN184">
        <v>16</v>
      </c>
      <c r="CO184">
        <v>4</v>
      </c>
      <c r="CQ184">
        <v>6</v>
      </c>
      <c r="CR184">
        <v>6</v>
      </c>
      <c r="EB184">
        <v>0</v>
      </c>
      <c r="EC184">
        <v>0</v>
      </c>
      <c r="ED184">
        <v>0</v>
      </c>
      <c r="EE184">
        <v>1</v>
      </c>
      <c r="EF184">
        <v>1</v>
      </c>
      <c r="EG184">
        <v>0</v>
      </c>
      <c r="EH184">
        <v>0</v>
      </c>
      <c r="EI184">
        <v>0</v>
      </c>
      <c r="EJ184">
        <v>0</v>
      </c>
      <c r="EK184">
        <v>0</v>
      </c>
      <c r="EM184">
        <v>0</v>
      </c>
      <c r="EN184">
        <v>0</v>
      </c>
      <c r="EO184">
        <v>0</v>
      </c>
      <c r="EP184">
        <v>0</v>
      </c>
      <c r="EQ184">
        <v>1</v>
      </c>
      <c r="ER184">
        <v>0</v>
      </c>
      <c r="ES184">
        <v>0</v>
      </c>
      <c r="ET184">
        <v>0</v>
      </c>
      <c r="EU184">
        <v>0</v>
      </c>
      <c r="EV184">
        <v>0</v>
      </c>
      <c r="EW184">
        <v>0</v>
      </c>
      <c r="EX184">
        <v>0</v>
      </c>
      <c r="EY184">
        <v>0</v>
      </c>
      <c r="IZ184">
        <v>0</v>
      </c>
      <c r="JA184">
        <v>0</v>
      </c>
      <c r="JB184">
        <v>0</v>
      </c>
      <c r="JC184">
        <v>0</v>
      </c>
      <c r="JD184">
        <v>0</v>
      </c>
      <c r="JE184">
        <v>0</v>
      </c>
      <c r="JF184">
        <v>0</v>
      </c>
      <c r="JG184">
        <v>0</v>
      </c>
      <c r="JH184">
        <v>0</v>
      </c>
      <c r="JI184">
        <v>0</v>
      </c>
      <c r="JJ184">
        <v>1</v>
      </c>
      <c r="JL184">
        <v>2</v>
      </c>
      <c r="JM184" cm="1">
        <f t="array" ref="JM184">IF(OR(JN184:JQ184 &lt;&gt; ""), 1, 0)</f>
        <v>0</v>
      </c>
    </row>
    <row r="185" spans="1:278" x14ac:dyDescent="0.35">
      <c r="A185">
        <v>405528</v>
      </c>
      <c r="C185">
        <v>1</v>
      </c>
      <c r="D185" t="s">
        <v>999</v>
      </c>
      <c r="E185" t="str">
        <f>_xlfn.XLOOKUP(I185, [1]SchoolDistrictStudyWODuplicates!$K:$K, [1]SchoolDistrictStudyWODuplicates!$E:$E, "")</f>
        <v/>
      </c>
      <c r="G185" t="s">
        <v>1000</v>
      </c>
      <c r="H185" s="7">
        <v>4111290</v>
      </c>
      <c r="I185" s="7">
        <v>4111290</v>
      </c>
      <c r="J185" s="5" t="e">
        <f>_xlfn.XLOOKUP(I185,#REF!,#REF!,"Not Determined")</f>
        <v>#REF!</v>
      </c>
      <c r="K185" s="5" t="s">
        <v>989</v>
      </c>
      <c r="L185" t="s">
        <v>989</v>
      </c>
      <c r="M185" s="13" t="e">
        <f>_xlfn.XLOOKUP(I185,#REF!,#REF!, "No")</f>
        <v>#REF!</v>
      </c>
      <c r="N185" s="5" t="str">
        <f t="shared" si="33"/>
        <v>No</v>
      </c>
      <c r="O185" s="5" t="str">
        <f t="shared" si="34"/>
        <v>Yes</v>
      </c>
      <c r="P185" s="5" t="str">
        <f t="shared" si="35"/>
        <v>Yes</v>
      </c>
      <c r="Q185" s="5" t="str">
        <f t="shared" si="36"/>
        <v>No</v>
      </c>
      <c r="R185" s="5" t="str">
        <f t="shared" si="37"/>
        <v>Yes</v>
      </c>
      <c r="S185" s="5" t="str">
        <f t="shared" si="38"/>
        <v>Yes</v>
      </c>
      <c r="T185" s="5" t="str">
        <f t="shared" si="39"/>
        <v>Yes</v>
      </c>
      <c r="U185" s="5" t="str">
        <f t="shared" si="40"/>
        <v>Yes</v>
      </c>
      <c r="V185" s="5" t="str" cm="1">
        <f t="array" ref="V185">IF(OR(DB185:DG185 =1), "Yes", "No")</f>
        <v>No</v>
      </c>
      <c r="W185" s="5" t="str">
        <f t="shared" si="41"/>
        <v>Yes</v>
      </c>
      <c r="X185" s="5" t="str">
        <f t="shared" si="42"/>
        <v>No</v>
      </c>
      <c r="Y185" s="5" t="str">
        <f t="shared" si="43"/>
        <v>No</v>
      </c>
      <c r="Z185">
        <v>3</v>
      </c>
      <c r="AB185">
        <v>0</v>
      </c>
      <c r="AC185">
        <v>0</v>
      </c>
      <c r="AD185">
        <v>1</v>
      </c>
      <c r="AE185">
        <v>0</v>
      </c>
      <c r="AF185">
        <v>0</v>
      </c>
      <c r="AG185">
        <v>0</v>
      </c>
      <c r="AH185">
        <v>0</v>
      </c>
      <c r="AI185">
        <v>0</v>
      </c>
      <c r="AJ185">
        <v>0</v>
      </c>
      <c r="AK185">
        <v>1</v>
      </c>
      <c r="AM185">
        <v>1</v>
      </c>
      <c r="AN185">
        <v>1</v>
      </c>
      <c r="AO185">
        <v>1</v>
      </c>
      <c r="AP185">
        <v>5</v>
      </c>
      <c r="AQ185">
        <v>20</v>
      </c>
      <c r="AR185">
        <v>15</v>
      </c>
      <c r="AS185">
        <v>5</v>
      </c>
      <c r="AT185">
        <v>20</v>
      </c>
      <c r="AU185">
        <v>15</v>
      </c>
      <c r="AV185">
        <v>1</v>
      </c>
      <c r="AW185">
        <v>1</v>
      </c>
      <c r="AX185">
        <v>0</v>
      </c>
      <c r="AY185">
        <v>1</v>
      </c>
      <c r="AZ185">
        <v>0</v>
      </c>
      <c r="BA185">
        <v>0</v>
      </c>
      <c r="BC185">
        <v>1</v>
      </c>
      <c r="BE185">
        <v>1</v>
      </c>
      <c r="BG185">
        <v>1</v>
      </c>
      <c r="BH185">
        <v>2</v>
      </c>
      <c r="BI185">
        <v>3</v>
      </c>
      <c r="BJ185">
        <v>2</v>
      </c>
      <c r="BL185">
        <v>2</v>
      </c>
      <c r="BM185">
        <v>1</v>
      </c>
      <c r="BN185">
        <v>1</v>
      </c>
      <c r="BO185">
        <v>0</v>
      </c>
      <c r="BP185">
        <v>0</v>
      </c>
      <c r="BQ185">
        <v>0</v>
      </c>
      <c r="BR185">
        <v>0</v>
      </c>
      <c r="BS185">
        <v>0</v>
      </c>
      <c r="BT185">
        <v>1</v>
      </c>
      <c r="BU185" t="s">
        <v>1001</v>
      </c>
      <c r="BV185">
        <v>0</v>
      </c>
      <c r="BW185">
        <v>0</v>
      </c>
      <c r="BX185">
        <v>1</v>
      </c>
      <c r="BY185">
        <v>0</v>
      </c>
      <c r="BZ185">
        <v>1</v>
      </c>
      <c r="CA185">
        <v>0</v>
      </c>
      <c r="CB185">
        <v>0</v>
      </c>
      <c r="CC185">
        <v>0</v>
      </c>
      <c r="CD185">
        <v>1</v>
      </c>
      <c r="CE185">
        <v>0</v>
      </c>
      <c r="CF185">
        <v>1</v>
      </c>
      <c r="CG185">
        <v>0</v>
      </c>
      <c r="CH185">
        <v>0</v>
      </c>
      <c r="CI185">
        <v>0</v>
      </c>
      <c r="CJ185">
        <v>0</v>
      </c>
      <c r="CK185">
        <v>0</v>
      </c>
      <c r="CL185">
        <v>1</v>
      </c>
      <c r="CM185" t="s">
        <v>1002</v>
      </c>
      <c r="CN185">
        <v>11</v>
      </c>
      <c r="CO185">
        <v>4</v>
      </c>
      <c r="CQ185">
        <v>4</v>
      </c>
      <c r="CR185">
        <v>5</v>
      </c>
      <c r="EB185">
        <v>0</v>
      </c>
      <c r="EC185">
        <v>0</v>
      </c>
      <c r="ED185">
        <v>0</v>
      </c>
      <c r="EE185">
        <v>1</v>
      </c>
      <c r="EF185">
        <v>0</v>
      </c>
      <c r="EG185">
        <v>0</v>
      </c>
      <c r="EH185">
        <v>0</v>
      </c>
      <c r="EI185">
        <v>0</v>
      </c>
      <c r="EJ185">
        <v>1</v>
      </c>
      <c r="EK185">
        <v>0</v>
      </c>
      <c r="EL185" t="s">
        <v>1003</v>
      </c>
      <c r="EM185">
        <v>0</v>
      </c>
      <c r="EN185">
        <v>1</v>
      </c>
      <c r="EO185">
        <v>0</v>
      </c>
      <c r="EP185">
        <v>0</v>
      </c>
      <c r="EQ185">
        <v>1</v>
      </c>
      <c r="ER185">
        <v>0</v>
      </c>
      <c r="ES185">
        <v>0</v>
      </c>
      <c r="ET185">
        <v>1</v>
      </c>
      <c r="EU185">
        <v>0</v>
      </c>
      <c r="EV185">
        <v>1</v>
      </c>
      <c r="EW185">
        <v>1</v>
      </c>
      <c r="EX185">
        <v>0</v>
      </c>
      <c r="EY185">
        <v>0</v>
      </c>
      <c r="FB185" t="s">
        <v>1004</v>
      </c>
      <c r="FC185">
        <v>1</v>
      </c>
      <c r="FD185">
        <v>1</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HC185" t="s">
        <v>1005</v>
      </c>
      <c r="HD185">
        <v>1</v>
      </c>
      <c r="HE185">
        <v>0</v>
      </c>
      <c r="HF185">
        <v>0</v>
      </c>
      <c r="HG185">
        <v>0</v>
      </c>
      <c r="HH185">
        <v>0</v>
      </c>
      <c r="HI185">
        <v>0</v>
      </c>
      <c r="HJ185">
        <v>0</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1</v>
      </c>
      <c r="IF185">
        <v>0</v>
      </c>
      <c r="IG185">
        <v>0</v>
      </c>
      <c r="IH185">
        <v>0</v>
      </c>
      <c r="II185">
        <v>0</v>
      </c>
      <c r="IJ185">
        <v>0</v>
      </c>
      <c r="IK185">
        <v>0</v>
      </c>
      <c r="IL185">
        <v>0</v>
      </c>
      <c r="IM185">
        <v>0</v>
      </c>
      <c r="IN185">
        <v>0</v>
      </c>
      <c r="IO185">
        <v>0</v>
      </c>
      <c r="IP185">
        <v>0</v>
      </c>
      <c r="IQ185">
        <v>0</v>
      </c>
      <c r="IR185">
        <v>1</v>
      </c>
      <c r="IS185">
        <v>0</v>
      </c>
      <c r="IT185">
        <v>0</v>
      </c>
      <c r="IU185">
        <v>0</v>
      </c>
      <c r="IV185">
        <v>0</v>
      </c>
      <c r="IW185">
        <v>0</v>
      </c>
      <c r="IZ185">
        <v>1</v>
      </c>
      <c r="JA185">
        <v>1</v>
      </c>
      <c r="JB185">
        <v>0</v>
      </c>
      <c r="JC185">
        <v>1</v>
      </c>
      <c r="JD185">
        <v>0</v>
      </c>
      <c r="JE185">
        <v>0</v>
      </c>
      <c r="JF185">
        <v>0</v>
      </c>
      <c r="JG185">
        <v>0</v>
      </c>
      <c r="JH185">
        <v>0</v>
      </c>
      <c r="JI185">
        <v>0</v>
      </c>
      <c r="JJ185">
        <v>0</v>
      </c>
      <c r="JL185">
        <v>1</v>
      </c>
      <c r="JM185" cm="1">
        <f t="array" ref="JM185">IF(OR(JN185:JQ185 &lt;&gt; ""), 1, 0)</f>
        <v>1</v>
      </c>
      <c r="JN185">
        <v>1</v>
      </c>
      <c r="JO185">
        <v>1</v>
      </c>
      <c r="JP185">
        <v>0</v>
      </c>
      <c r="JQ185">
        <v>0</v>
      </c>
    </row>
    <row r="186" spans="1:278" x14ac:dyDescent="0.35">
      <c r="A186">
        <v>370279</v>
      </c>
      <c r="C186">
        <v>1</v>
      </c>
      <c r="D186" t="s">
        <v>1006</v>
      </c>
      <c r="E186" t="str">
        <f>_xlfn.XLOOKUP(I186, [1]SchoolDistrictStudyWODuplicates!$K:$K, [1]SchoolDistrictStudyWODuplicates!$E:$E, "")</f>
        <v/>
      </c>
      <c r="G186" t="s">
        <v>1007</v>
      </c>
      <c r="H186" s="7">
        <v>4104700</v>
      </c>
      <c r="I186" s="7">
        <v>4104700</v>
      </c>
      <c r="J186" s="5" t="e">
        <f>_xlfn.XLOOKUP(I186,#REF!,#REF!,"Not Determined")</f>
        <v>#REF!</v>
      </c>
      <c r="K186" s="5" t="s">
        <v>989</v>
      </c>
      <c r="L186" t="s">
        <v>1008</v>
      </c>
      <c r="M186" s="13" t="e">
        <f>_xlfn.XLOOKUP(I186,#REF!,#REF!, "No")</f>
        <v>#REF!</v>
      </c>
      <c r="N186" s="5" t="str">
        <f t="shared" si="33"/>
        <v>No</v>
      </c>
      <c r="O186" s="5" t="str">
        <f t="shared" si="34"/>
        <v>Yes</v>
      </c>
      <c r="P186" s="5" t="str">
        <f t="shared" si="35"/>
        <v>Yes</v>
      </c>
      <c r="Q186" s="5" t="str">
        <f t="shared" si="36"/>
        <v>Yes</v>
      </c>
      <c r="R186" s="5" t="str">
        <f t="shared" si="37"/>
        <v>No</v>
      </c>
      <c r="S186" s="5" t="str">
        <f t="shared" si="38"/>
        <v>No</v>
      </c>
      <c r="T186" s="5" t="str">
        <f t="shared" si="39"/>
        <v>No</v>
      </c>
      <c r="U186" s="5" t="str">
        <f t="shared" si="40"/>
        <v>No</v>
      </c>
      <c r="V186" s="5" t="str" cm="1">
        <f t="array" ref="V186">IF(OR(DB186:DG186 =1), "Yes", "No")</f>
        <v>No</v>
      </c>
      <c r="W186" s="5" t="str">
        <f t="shared" si="41"/>
        <v>No</v>
      </c>
      <c r="X186" s="5" t="str">
        <f t="shared" si="42"/>
        <v>No</v>
      </c>
      <c r="Y186" s="5" t="str">
        <f t="shared" si="43"/>
        <v>No</v>
      </c>
      <c r="Z186">
        <v>3</v>
      </c>
      <c r="AB186">
        <v>1</v>
      </c>
      <c r="AC186">
        <v>1</v>
      </c>
      <c r="AD186">
        <v>1</v>
      </c>
      <c r="AE186">
        <v>0</v>
      </c>
      <c r="AF186">
        <v>0</v>
      </c>
      <c r="AG186">
        <v>0</v>
      </c>
      <c r="AH186">
        <v>1</v>
      </c>
      <c r="AI186">
        <v>1</v>
      </c>
      <c r="AJ186">
        <v>0</v>
      </c>
      <c r="AK186">
        <v>1</v>
      </c>
      <c r="AM186">
        <v>1</v>
      </c>
      <c r="AN186">
        <v>1</v>
      </c>
      <c r="AO186">
        <v>1</v>
      </c>
      <c r="AP186">
        <v>5</v>
      </c>
      <c r="AQ186">
        <v>17</v>
      </c>
      <c r="AR186">
        <v>8</v>
      </c>
      <c r="AS186">
        <v>5</v>
      </c>
      <c r="AT186">
        <v>17</v>
      </c>
      <c r="AU186">
        <v>8</v>
      </c>
      <c r="AV186">
        <v>1</v>
      </c>
      <c r="AW186">
        <v>1</v>
      </c>
      <c r="AX186">
        <v>0</v>
      </c>
      <c r="AY186">
        <v>0</v>
      </c>
      <c r="AZ186">
        <v>0</v>
      </c>
      <c r="BA186">
        <v>0</v>
      </c>
      <c r="BC186">
        <v>1</v>
      </c>
      <c r="BE186">
        <v>1</v>
      </c>
      <c r="BG186">
        <v>1</v>
      </c>
      <c r="BH186">
        <v>1</v>
      </c>
      <c r="BI186">
        <v>4</v>
      </c>
      <c r="BJ186">
        <v>1</v>
      </c>
      <c r="BK186">
        <v>6</v>
      </c>
      <c r="BL186">
        <v>1</v>
      </c>
      <c r="BM186">
        <v>1</v>
      </c>
      <c r="BN186">
        <v>1</v>
      </c>
      <c r="BO186">
        <v>1</v>
      </c>
      <c r="BP186">
        <v>0</v>
      </c>
      <c r="BQ186">
        <v>0</v>
      </c>
      <c r="BR186">
        <v>1</v>
      </c>
      <c r="BS186">
        <v>0</v>
      </c>
      <c r="BT186">
        <v>1</v>
      </c>
      <c r="BU186" t="s">
        <v>1009</v>
      </c>
      <c r="BV186">
        <v>0</v>
      </c>
      <c r="BW186">
        <v>0</v>
      </c>
      <c r="BX186">
        <v>1</v>
      </c>
      <c r="BY186">
        <v>0</v>
      </c>
      <c r="BZ186">
        <v>1</v>
      </c>
      <c r="CA186">
        <v>0</v>
      </c>
      <c r="CB186">
        <v>0</v>
      </c>
      <c r="CC186">
        <v>1</v>
      </c>
      <c r="CD186">
        <v>1</v>
      </c>
      <c r="CE186">
        <v>0</v>
      </c>
      <c r="CF186">
        <v>0</v>
      </c>
      <c r="CG186">
        <v>1</v>
      </c>
      <c r="CH186">
        <v>0</v>
      </c>
      <c r="CI186">
        <v>0</v>
      </c>
      <c r="CJ186">
        <v>0</v>
      </c>
      <c r="CK186">
        <v>1</v>
      </c>
      <c r="CL186">
        <v>0</v>
      </c>
      <c r="CN186">
        <v>16</v>
      </c>
      <c r="JM186" cm="1">
        <f t="array" ref="JM186">IF(OR(JN186:JQ186 &lt;&gt; ""), 1, 0)</f>
        <v>0</v>
      </c>
    </row>
    <row r="187" spans="1:278" x14ac:dyDescent="0.35">
      <c r="A187">
        <v>375645</v>
      </c>
      <c r="C187">
        <v>1</v>
      </c>
      <c r="D187" t="s">
        <v>1013</v>
      </c>
      <c r="E187" t="str">
        <f>_xlfn.XLOOKUP(I187, [1]SchoolDistrictStudyWODuplicates!$K:$K, [1]SchoolDistrictStudyWODuplicates!$E:$E, "")</f>
        <v/>
      </c>
      <c r="G187" t="s">
        <v>998</v>
      </c>
      <c r="H187" s="7">
        <v>4110350</v>
      </c>
      <c r="I187" s="7">
        <v>4110350</v>
      </c>
      <c r="J187" s="5" t="e">
        <f>_xlfn.XLOOKUP(I187,#REF!,#REF!,"Not Determined")</f>
        <v>#REF!</v>
      </c>
      <c r="K187" s="5" t="s">
        <v>989</v>
      </c>
      <c r="L187" t="s">
        <v>1014</v>
      </c>
      <c r="M187" s="13" t="e">
        <f>_xlfn.XLOOKUP(I187,#REF!,#REF!, "No")</f>
        <v>#REF!</v>
      </c>
      <c r="N187" s="5" t="str">
        <f t="shared" si="33"/>
        <v>No</v>
      </c>
      <c r="O187" s="5" t="str">
        <f t="shared" si="34"/>
        <v>Yes</v>
      </c>
      <c r="P187" s="5" t="str">
        <f t="shared" si="35"/>
        <v>Yes</v>
      </c>
      <c r="Q187" s="5" t="str">
        <f t="shared" si="36"/>
        <v>Yes</v>
      </c>
      <c r="R187" s="5" t="str">
        <f t="shared" si="37"/>
        <v>Yes</v>
      </c>
      <c r="S187" s="5" t="str">
        <f t="shared" si="38"/>
        <v>Yes</v>
      </c>
      <c r="T187" s="5" t="str">
        <f t="shared" si="39"/>
        <v>Yes</v>
      </c>
      <c r="U187" s="5" t="str">
        <f t="shared" si="40"/>
        <v>Yes</v>
      </c>
      <c r="V187" s="5" t="str" cm="1">
        <f t="array" ref="V187">IF(OR(DB187:DG187 =1), "Yes", "No")</f>
        <v>No</v>
      </c>
      <c r="W187" s="5" t="str">
        <f t="shared" si="41"/>
        <v>Yes</v>
      </c>
      <c r="X187" s="5" t="str">
        <f t="shared" si="42"/>
        <v>No</v>
      </c>
      <c r="Y187" s="5" t="str">
        <f t="shared" si="43"/>
        <v>No</v>
      </c>
      <c r="Z187">
        <v>10</v>
      </c>
      <c r="AB187">
        <v>0</v>
      </c>
      <c r="AC187">
        <v>0</v>
      </c>
      <c r="AD187">
        <v>1</v>
      </c>
      <c r="AE187">
        <v>0</v>
      </c>
      <c r="AF187">
        <v>1</v>
      </c>
      <c r="AG187">
        <v>0</v>
      </c>
      <c r="AH187">
        <v>1</v>
      </c>
      <c r="AI187">
        <v>0</v>
      </c>
      <c r="AJ187">
        <v>0</v>
      </c>
      <c r="AK187">
        <v>1</v>
      </c>
      <c r="AM187">
        <v>1</v>
      </c>
      <c r="AN187">
        <v>1</v>
      </c>
      <c r="AO187">
        <v>1</v>
      </c>
      <c r="AP187">
        <v>1</v>
      </c>
      <c r="AQ187">
        <v>20</v>
      </c>
      <c r="AR187">
        <v>35</v>
      </c>
      <c r="AS187">
        <v>1</v>
      </c>
      <c r="AT187">
        <v>20</v>
      </c>
      <c r="AU187">
        <v>35</v>
      </c>
      <c r="AV187">
        <v>1</v>
      </c>
      <c r="AW187">
        <v>1</v>
      </c>
      <c r="AX187">
        <v>0</v>
      </c>
      <c r="AY187">
        <v>1</v>
      </c>
      <c r="AZ187">
        <v>0</v>
      </c>
      <c r="BA187">
        <v>0</v>
      </c>
      <c r="BC187">
        <v>1</v>
      </c>
      <c r="BE187">
        <v>1</v>
      </c>
      <c r="BG187">
        <v>1</v>
      </c>
      <c r="BH187">
        <v>1</v>
      </c>
      <c r="BI187">
        <v>4</v>
      </c>
      <c r="BJ187">
        <v>1</v>
      </c>
      <c r="BK187">
        <v>4</v>
      </c>
      <c r="BL187">
        <v>1</v>
      </c>
      <c r="BM187">
        <v>1</v>
      </c>
      <c r="BN187">
        <v>2</v>
      </c>
      <c r="BV187">
        <v>1</v>
      </c>
      <c r="BW187">
        <v>0</v>
      </c>
      <c r="BX187">
        <v>0</v>
      </c>
      <c r="BY187">
        <v>1</v>
      </c>
      <c r="BZ187">
        <v>1</v>
      </c>
      <c r="CA187">
        <v>0</v>
      </c>
      <c r="CB187">
        <v>0</v>
      </c>
      <c r="CC187">
        <v>0</v>
      </c>
      <c r="CD187">
        <v>1</v>
      </c>
      <c r="CE187">
        <v>0</v>
      </c>
      <c r="CF187">
        <v>0</v>
      </c>
      <c r="CG187">
        <v>0</v>
      </c>
      <c r="CH187">
        <v>0</v>
      </c>
      <c r="CI187">
        <v>1</v>
      </c>
      <c r="CJ187">
        <v>0</v>
      </c>
      <c r="CK187">
        <v>1</v>
      </c>
      <c r="CL187">
        <v>0</v>
      </c>
      <c r="CN187">
        <v>17</v>
      </c>
      <c r="CO187">
        <v>4</v>
      </c>
      <c r="CQ187">
        <v>5</v>
      </c>
      <c r="CR187">
        <v>5</v>
      </c>
      <c r="EB187">
        <v>1</v>
      </c>
      <c r="EC187">
        <v>0</v>
      </c>
      <c r="ED187">
        <v>1</v>
      </c>
      <c r="EE187">
        <v>0</v>
      </c>
      <c r="EF187">
        <v>1</v>
      </c>
      <c r="EG187">
        <v>1</v>
      </c>
      <c r="EH187">
        <v>0</v>
      </c>
      <c r="EI187">
        <v>1</v>
      </c>
      <c r="EJ187">
        <v>1</v>
      </c>
      <c r="EK187">
        <v>0</v>
      </c>
      <c r="EL187" t="s">
        <v>1015</v>
      </c>
      <c r="EM187">
        <v>0</v>
      </c>
      <c r="EN187">
        <v>1</v>
      </c>
      <c r="EO187">
        <v>0</v>
      </c>
      <c r="EP187">
        <v>1</v>
      </c>
      <c r="EQ187">
        <v>1</v>
      </c>
      <c r="ER187">
        <v>0</v>
      </c>
      <c r="ES187">
        <v>1</v>
      </c>
      <c r="ET187">
        <v>1</v>
      </c>
      <c r="EU187">
        <v>0</v>
      </c>
      <c r="EV187">
        <v>0</v>
      </c>
      <c r="EW187">
        <v>1</v>
      </c>
      <c r="EX187">
        <v>0</v>
      </c>
      <c r="EY187">
        <v>0</v>
      </c>
      <c r="FB187" t="s">
        <v>1016</v>
      </c>
      <c r="FC187">
        <v>1</v>
      </c>
      <c r="FD187">
        <v>1</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GS187" t="s">
        <v>274</v>
      </c>
      <c r="GT187">
        <v>1</v>
      </c>
      <c r="GU187">
        <v>0</v>
      </c>
      <c r="GV187">
        <v>0</v>
      </c>
      <c r="GW187">
        <v>0</v>
      </c>
      <c r="GX187">
        <v>0</v>
      </c>
      <c r="GY187">
        <v>0</v>
      </c>
      <c r="GZ187">
        <v>0</v>
      </c>
      <c r="HA187">
        <v>0</v>
      </c>
      <c r="HB187">
        <v>0</v>
      </c>
      <c r="IZ187">
        <v>0</v>
      </c>
      <c r="JA187">
        <v>0</v>
      </c>
      <c r="JB187">
        <v>0</v>
      </c>
      <c r="JC187">
        <v>0</v>
      </c>
      <c r="JD187">
        <v>0</v>
      </c>
      <c r="JE187">
        <v>0</v>
      </c>
      <c r="JF187">
        <v>0</v>
      </c>
      <c r="JG187">
        <v>0</v>
      </c>
      <c r="JH187">
        <v>0</v>
      </c>
      <c r="JI187">
        <v>0</v>
      </c>
      <c r="JJ187">
        <v>1</v>
      </c>
      <c r="JL187">
        <v>1</v>
      </c>
      <c r="JM187" cm="1">
        <f t="array" ref="JM187">IF(OR(JN187:JQ187 &lt;&gt; ""), 1, 0)</f>
        <v>1</v>
      </c>
      <c r="JN187">
        <v>0</v>
      </c>
      <c r="JO187">
        <v>0</v>
      </c>
      <c r="JP187">
        <v>1</v>
      </c>
      <c r="JQ187">
        <v>1</v>
      </c>
      <c r="JR187" t="s">
        <v>1017</v>
      </c>
    </row>
    <row r="188" spans="1:278" x14ac:dyDescent="0.35">
      <c r="A188">
        <v>370256</v>
      </c>
      <c r="C188">
        <v>1</v>
      </c>
      <c r="D188" t="s">
        <v>1018</v>
      </c>
      <c r="E188" t="str">
        <f>_xlfn.XLOOKUP(I188, [1]SchoolDistrictStudyWODuplicates!$K:$K, [1]SchoolDistrictStudyWODuplicates!$E:$E, "")</f>
        <v/>
      </c>
      <c r="G188" t="s">
        <v>1019</v>
      </c>
      <c r="H188" s="7">
        <v>4111670</v>
      </c>
      <c r="I188" s="7">
        <v>4111670</v>
      </c>
      <c r="J188" s="5" t="e">
        <f>_xlfn.XLOOKUP(I188,#REF!,#REF!,"Not Determined")</f>
        <v>#REF!</v>
      </c>
      <c r="K188" s="5" t="s">
        <v>989</v>
      </c>
      <c r="L188" t="s">
        <v>1008</v>
      </c>
      <c r="M188" s="13" t="e">
        <f>_xlfn.XLOOKUP(I188,#REF!,#REF!, "No")</f>
        <v>#REF!</v>
      </c>
      <c r="N188" s="5" t="str">
        <f t="shared" si="33"/>
        <v>No</v>
      </c>
      <c r="O188" s="5" t="str">
        <f t="shared" si="34"/>
        <v>Yes</v>
      </c>
      <c r="P188" s="5" t="str">
        <f t="shared" si="35"/>
        <v>Yes</v>
      </c>
      <c r="Q188" s="5" t="str">
        <f t="shared" si="36"/>
        <v>Yes</v>
      </c>
      <c r="R188" s="5" t="str">
        <f t="shared" si="37"/>
        <v>Yes</v>
      </c>
      <c r="S188" s="5" t="str">
        <f t="shared" si="38"/>
        <v>Yes</v>
      </c>
      <c r="T188" s="5" t="str">
        <f t="shared" si="39"/>
        <v>Yes</v>
      </c>
      <c r="U188" s="5" t="str">
        <f t="shared" si="40"/>
        <v>Yes</v>
      </c>
      <c r="V188" s="5" t="str" cm="1">
        <f t="array" ref="V188">IF(OR(DB188:DG188 =1), "Yes", "No")</f>
        <v>No</v>
      </c>
      <c r="W188" s="5" t="str">
        <f t="shared" si="41"/>
        <v>No</v>
      </c>
      <c r="X188" s="5" t="str">
        <f t="shared" si="42"/>
        <v>No</v>
      </c>
      <c r="Y188" s="5" t="str">
        <f t="shared" si="43"/>
        <v>No</v>
      </c>
      <c r="Z188">
        <v>4</v>
      </c>
      <c r="AB188">
        <v>0</v>
      </c>
      <c r="AC188">
        <v>1</v>
      </c>
      <c r="AD188">
        <v>0</v>
      </c>
      <c r="AE188">
        <v>1</v>
      </c>
      <c r="AF188">
        <v>0</v>
      </c>
      <c r="AG188">
        <v>0</v>
      </c>
      <c r="AH188">
        <v>0</v>
      </c>
      <c r="AI188">
        <v>0</v>
      </c>
      <c r="AJ188">
        <v>0</v>
      </c>
      <c r="AK188">
        <v>1</v>
      </c>
      <c r="AM188">
        <v>1</v>
      </c>
      <c r="AN188">
        <v>1</v>
      </c>
      <c r="AO188">
        <v>1</v>
      </c>
      <c r="AP188">
        <v>23</v>
      </c>
      <c r="AQ188">
        <v>45</v>
      </c>
      <c r="AR188">
        <v>16</v>
      </c>
      <c r="AS188">
        <v>23</v>
      </c>
      <c r="AT188">
        <v>45</v>
      </c>
      <c r="AU188">
        <v>16</v>
      </c>
      <c r="AV188">
        <v>1</v>
      </c>
      <c r="AW188">
        <v>1</v>
      </c>
      <c r="AX188">
        <v>0</v>
      </c>
      <c r="AY188">
        <v>1</v>
      </c>
      <c r="AZ188">
        <v>0</v>
      </c>
      <c r="BA188">
        <v>0</v>
      </c>
      <c r="BC188">
        <v>4</v>
      </c>
      <c r="BE188">
        <v>1</v>
      </c>
      <c r="BG188">
        <v>1</v>
      </c>
      <c r="BH188">
        <v>1</v>
      </c>
      <c r="BI188">
        <v>2</v>
      </c>
      <c r="BJ188">
        <v>1</v>
      </c>
      <c r="BK188">
        <v>1</v>
      </c>
      <c r="BL188">
        <v>1</v>
      </c>
      <c r="BM188">
        <v>1</v>
      </c>
      <c r="BN188">
        <v>2</v>
      </c>
      <c r="BV188">
        <v>0</v>
      </c>
      <c r="BW188">
        <v>0</v>
      </c>
      <c r="BX188">
        <v>0</v>
      </c>
      <c r="BY188">
        <v>0</v>
      </c>
      <c r="BZ188">
        <v>0</v>
      </c>
      <c r="CA188">
        <v>0</v>
      </c>
      <c r="CB188">
        <v>0</v>
      </c>
      <c r="CC188">
        <v>0</v>
      </c>
      <c r="CD188">
        <v>1</v>
      </c>
      <c r="CE188">
        <v>0</v>
      </c>
      <c r="CF188">
        <v>0</v>
      </c>
      <c r="CG188">
        <v>0</v>
      </c>
      <c r="CH188">
        <v>0</v>
      </c>
      <c r="CI188">
        <v>0</v>
      </c>
      <c r="CJ188">
        <v>0</v>
      </c>
      <c r="CK188">
        <v>1</v>
      </c>
      <c r="CL188">
        <v>0</v>
      </c>
      <c r="CN188">
        <v>9</v>
      </c>
      <c r="CO188">
        <v>4</v>
      </c>
      <c r="CQ188">
        <v>4</v>
      </c>
      <c r="CR188">
        <v>4</v>
      </c>
      <c r="EB188">
        <v>0</v>
      </c>
      <c r="EC188">
        <v>1</v>
      </c>
      <c r="ED188">
        <v>1</v>
      </c>
      <c r="EE188">
        <v>0</v>
      </c>
      <c r="EF188">
        <v>0</v>
      </c>
      <c r="EG188">
        <v>1</v>
      </c>
      <c r="EH188">
        <v>1</v>
      </c>
      <c r="EI188">
        <v>0</v>
      </c>
      <c r="EJ188">
        <v>1</v>
      </c>
      <c r="EK188">
        <v>0</v>
      </c>
      <c r="EL188" t="s">
        <v>1020</v>
      </c>
      <c r="EM188">
        <v>0</v>
      </c>
      <c r="EN188">
        <v>0</v>
      </c>
      <c r="EO188">
        <v>0</v>
      </c>
      <c r="EP188">
        <v>0</v>
      </c>
      <c r="EQ188">
        <v>0</v>
      </c>
      <c r="ER188">
        <v>0</v>
      </c>
      <c r="ES188">
        <v>0</v>
      </c>
      <c r="ET188">
        <v>0</v>
      </c>
      <c r="EU188">
        <v>0</v>
      </c>
      <c r="EV188">
        <v>0</v>
      </c>
      <c r="EW188">
        <v>0</v>
      </c>
      <c r="EX188">
        <v>0</v>
      </c>
      <c r="EY188">
        <v>1</v>
      </c>
      <c r="JM188" cm="1">
        <f t="array" ref="JM188">IF(OR(JN188:JQ188 &lt;&gt; ""), 1, 0)</f>
        <v>0</v>
      </c>
    </row>
    <row r="189" spans="1:278" x14ac:dyDescent="0.35">
      <c r="A189">
        <v>405206</v>
      </c>
      <c r="C189">
        <v>1</v>
      </c>
      <c r="D189" t="s">
        <v>1212</v>
      </c>
      <c r="E189" t="str">
        <f>_xlfn.XLOOKUP(I189, [1]SchoolDistrictStudyWODuplicates!$K:$K, [1]SchoolDistrictStudyWODuplicates!$E:$E, "")</f>
        <v/>
      </c>
      <c r="G189" t="s">
        <v>1213</v>
      </c>
      <c r="H189" s="5" t="e">
        <f>_xlfn.XLOOKUP(A189,#REF!,#REF!, "No")</f>
        <v>#REF!</v>
      </c>
      <c r="I189" s="7">
        <v>5102490</v>
      </c>
      <c r="J189" s="5" t="e">
        <f>_xlfn.XLOOKUP(I189,#REF!,#REF!,"Not Determined")</f>
        <v>#REF!</v>
      </c>
      <c r="K189" s="5" t="s">
        <v>1167</v>
      </c>
      <c r="L189" t="s">
        <v>1192</v>
      </c>
      <c r="M189" s="13" t="e">
        <f>_xlfn.XLOOKUP(I189,#REF!,#REF!, "No")</f>
        <v>#REF!</v>
      </c>
      <c r="N189" s="5" t="str">
        <f t="shared" si="33"/>
        <v>Yes</v>
      </c>
      <c r="O189" s="5" t="str">
        <f t="shared" si="34"/>
        <v>Yes</v>
      </c>
      <c r="P189" s="5" t="str">
        <f t="shared" si="35"/>
        <v>Yes</v>
      </c>
      <c r="Q189" s="5" t="str">
        <f t="shared" si="36"/>
        <v>Yes</v>
      </c>
      <c r="R189" s="5" t="str">
        <f t="shared" si="37"/>
        <v>Yes</v>
      </c>
      <c r="S189" s="5" t="str">
        <f t="shared" si="38"/>
        <v>Yes</v>
      </c>
      <c r="T189" s="5" t="str">
        <f t="shared" si="39"/>
        <v>Yes</v>
      </c>
      <c r="U189" s="5" t="str">
        <f t="shared" si="40"/>
        <v>Yes</v>
      </c>
      <c r="V189" s="5" t="str" cm="1">
        <f t="array" ref="V189">IF(OR(DB189:DG189 =1), "Yes", "No")</f>
        <v>Yes</v>
      </c>
      <c r="W189" s="5" t="str">
        <f t="shared" si="41"/>
        <v>No</v>
      </c>
      <c r="X189" s="5" t="str">
        <f t="shared" si="42"/>
        <v>Yes</v>
      </c>
      <c r="Y189" s="5" t="str">
        <f t="shared" si="43"/>
        <v>Yes</v>
      </c>
      <c r="Z189">
        <v>3</v>
      </c>
      <c r="AB189">
        <v>0</v>
      </c>
      <c r="AC189">
        <v>0</v>
      </c>
      <c r="AD189">
        <v>0</v>
      </c>
      <c r="AE189">
        <v>0</v>
      </c>
      <c r="AF189">
        <v>0</v>
      </c>
      <c r="AG189">
        <v>0</v>
      </c>
      <c r="AH189">
        <v>0</v>
      </c>
      <c r="AI189">
        <v>1</v>
      </c>
      <c r="AJ189">
        <v>0</v>
      </c>
      <c r="AK189">
        <v>1</v>
      </c>
      <c r="AM189">
        <v>0</v>
      </c>
      <c r="AN189">
        <v>1</v>
      </c>
      <c r="AO189">
        <v>0</v>
      </c>
      <c r="AQ189">
        <v>30</v>
      </c>
      <c r="AT189">
        <v>30</v>
      </c>
      <c r="AV189">
        <v>1</v>
      </c>
      <c r="AW189">
        <v>0</v>
      </c>
      <c r="AX189">
        <v>0</v>
      </c>
      <c r="AY189">
        <v>0</v>
      </c>
      <c r="AZ189">
        <v>1</v>
      </c>
      <c r="BA189">
        <v>0</v>
      </c>
      <c r="BC189">
        <v>1</v>
      </c>
      <c r="BE189">
        <v>1</v>
      </c>
      <c r="BG189">
        <v>1</v>
      </c>
      <c r="BH189">
        <v>1</v>
      </c>
      <c r="BI189">
        <v>2</v>
      </c>
      <c r="BJ189">
        <v>1</v>
      </c>
      <c r="BK189">
        <v>1</v>
      </c>
      <c r="BL189">
        <v>1</v>
      </c>
      <c r="BM189">
        <v>1</v>
      </c>
      <c r="CQ189">
        <v>5</v>
      </c>
      <c r="CR189">
        <v>5</v>
      </c>
      <c r="CS189">
        <v>0</v>
      </c>
      <c r="CT189">
        <v>1</v>
      </c>
      <c r="CU189">
        <v>1</v>
      </c>
      <c r="CV189">
        <v>0</v>
      </c>
      <c r="CW189">
        <v>0</v>
      </c>
      <c r="CX189">
        <v>0</v>
      </c>
      <c r="CY189">
        <v>0</v>
      </c>
      <c r="CZ189">
        <v>0</v>
      </c>
      <c r="DA189">
        <v>0</v>
      </c>
      <c r="DB189">
        <v>0</v>
      </c>
      <c r="DC189">
        <v>0</v>
      </c>
      <c r="DD189">
        <v>0</v>
      </c>
      <c r="DE189">
        <v>1</v>
      </c>
      <c r="DF189">
        <v>0</v>
      </c>
      <c r="DG189">
        <v>0</v>
      </c>
      <c r="DH189">
        <v>0</v>
      </c>
      <c r="DJ189" t="s">
        <v>1214</v>
      </c>
      <c r="DK189">
        <v>1</v>
      </c>
      <c r="DL189">
        <v>1</v>
      </c>
      <c r="DN189">
        <v>1</v>
      </c>
      <c r="DP189">
        <v>1</v>
      </c>
      <c r="DR189" t="s">
        <v>1215</v>
      </c>
      <c r="DS189">
        <v>4</v>
      </c>
      <c r="DW189" t="s">
        <v>1216</v>
      </c>
      <c r="DX189">
        <v>3</v>
      </c>
      <c r="DY189" t="s">
        <v>1217</v>
      </c>
      <c r="DZ189">
        <v>1</v>
      </c>
      <c r="JM189" cm="1">
        <f t="array" ref="JM189">IF(OR(JN189:JQ189 &lt;&gt; ""), 1, 0)</f>
        <v>0</v>
      </c>
    </row>
    <row r="190" spans="1:278" x14ac:dyDescent="0.35">
      <c r="A190">
        <v>339839</v>
      </c>
      <c r="C190">
        <v>1</v>
      </c>
      <c r="D190" t="s">
        <v>1027</v>
      </c>
      <c r="E190" t="str">
        <f>_xlfn.XLOOKUP(I190, [1]SchoolDistrictStudyWODuplicates!$K:$K, [1]SchoolDistrictStudyWODuplicates!$E:$E, "")</f>
        <v/>
      </c>
      <c r="G190" t="s">
        <v>1028</v>
      </c>
      <c r="H190" s="7">
        <v>4208550</v>
      </c>
      <c r="I190" s="7">
        <v>4208550</v>
      </c>
      <c r="J190" s="5" t="e">
        <f>_xlfn.XLOOKUP(I190,#REF!,#REF!,"Not Determined")</f>
        <v>#REF!</v>
      </c>
      <c r="K190" s="5" t="s">
        <v>1023</v>
      </c>
      <c r="L190" t="s">
        <v>1023</v>
      </c>
      <c r="M190" s="13" t="e">
        <f>_xlfn.XLOOKUP(I190,#REF!,#REF!, "No")</f>
        <v>#REF!</v>
      </c>
      <c r="N190" s="5" t="str">
        <f t="shared" si="33"/>
        <v>No</v>
      </c>
      <c r="O190" s="5" t="str">
        <f t="shared" si="34"/>
        <v>Yes</v>
      </c>
      <c r="P190" s="5" t="str">
        <f t="shared" si="35"/>
        <v>Yes</v>
      </c>
      <c r="Q190" s="5" t="str">
        <f t="shared" si="36"/>
        <v>Yes</v>
      </c>
      <c r="R190" s="5" t="str">
        <f t="shared" si="37"/>
        <v>Yes</v>
      </c>
      <c r="S190" s="5" t="str">
        <f t="shared" si="38"/>
        <v>Yes</v>
      </c>
      <c r="T190" s="5" t="str">
        <f t="shared" si="39"/>
        <v>Yes</v>
      </c>
      <c r="U190" s="5" t="str">
        <f t="shared" si="40"/>
        <v>Yes</v>
      </c>
      <c r="V190" s="5" t="str" cm="1">
        <f t="array" ref="V190">IF(OR(DB190:DG190 =1), "Yes", "No")</f>
        <v>No</v>
      </c>
      <c r="W190" s="5" t="str">
        <f t="shared" si="41"/>
        <v>Yes</v>
      </c>
      <c r="X190" s="5" t="str">
        <f t="shared" si="42"/>
        <v>No</v>
      </c>
      <c r="Y190" s="5" t="str">
        <f t="shared" si="43"/>
        <v>No</v>
      </c>
      <c r="Z190">
        <v>4</v>
      </c>
      <c r="AB190">
        <v>1</v>
      </c>
      <c r="AC190">
        <v>0</v>
      </c>
      <c r="AD190">
        <v>1</v>
      </c>
      <c r="AE190">
        <v>0</v>
      </c>
      <c r="AF190">
        <v>1</v>
      </c>
      <c r="AG190">
        <v>1</v>
      </c>
      <c r="AH190">
        <v>0</v>
      </c>
      <c r="AI190">
        <v>0</v>
      </c>
      <c r="AJ190">
        <v>0</v>
      </c>
      <c r="AK190">
        <v>1</v>
      </c>
      <c r="AM190">
        <v>1</v>
      </c>
      <c r="AN190">
        <v>1</v>
      </c>
      <c r="AO190">
        <v>0</v>
      </c>
      <c r="AP190">
        <v>36</v>
      </c>
      <c r="AQ190">
        <v>90</v>
      </c>
      <c r="AS190">
        <v>36</v>
      </c>
      <c r="AT190">
        <v>90</v>
      </c>
      <c r="AV190">
        <v>1</v>
      </c>
      <c r="AW190">
        <v>0</v>
      </c>
      <c r="AX190">
        <v>0</v>
      </c>
      <c r="AY190">
        <v>1</v>
      </c>
      <c r="AZ190">
        <v>0</v>
      </c>
      <c r="BA190">
        <v>0</v>
      </c>
      <c r="BC190">
        <v>4</v>
      </c>
      <c r="BE190">
        <v>2</v>
      </c>
      <c r="BG190">
        <v>1</v>
      </c>
      <c r="BH190">
        <v>1</v>
      </c>
      <c r="BI190">
        <v>3</v>
      </c>
      <c r="BJ190">
        <v>2</v>
      </c>
      <c r="BL190">
        <v>1</v>
      </c>
      <c r="BM190">
        <v>1</v>
      </c>
      <c r="BN190">
        <v>1</v>
      </c>
      <c r="BO190">
        <v>1</v>
      </c>
      <c r="BP190">
        <v>1</v>
      </c>
      <c r="BQ190">
        <v>0</v>
      </c>
      <c r="BR190">
        <v>0</v>
      </c>
      <c r="BS190">
        <v>0</v>
      </c>
      <c r="BT190">
        <v>0</v>
      </c>
      <c r="BV190">
        <v>0</v>
      </c>
      <c r="BW190">
        <v>0</v>
      </c>
      <c r="BX190">
        <v>0</v>
      </c>
      <c r="BY190">
        <v>0</v>
      </c>
      <c r="BZ190">
        <v>0</v>
      </c>
      <c r="CA190">
        <v>1</v>
      </c>
      <c r="CB190">
        <v>0</v>
      </c>
      <c r="CC190">
        <v>0</v>
      </c>
      <c r="CD190">
        <v>1</v>
      </c>
      <c r="CE190">
        <v>0</v>
      </c>
      <c r="CF190">
        <v>0</v>
      </c>
      <c r="CG190">
        <v>1</v>
      </c>
      <c r="CH190">
        <v>0</v>
      </c>
      <c r="CI190">
        <v>0</v>
      </c>
      <c r="CJ190">
        <v>0</v>
      </c>
      <c r="CK190">
        <v>0</v>
      </c>
      <c r="CL190">
        <v>0</v>
      </c>
      <c r="CN190">
        <v>12</v>
      </c>
      <c r="CO190">
        <v>4</v>
      </c>
      <c r="CQ190">
        <v>3</v>
      </c>
      <c r="CR190">
        <v>3</v>
      </c>
      <c r="EB190">
        <v>1</v>
      </c>
      <c r="EC190">
        <v>0</v>
      </c>
      <c r="ED190">
        <v>1</v>
      </c>
      <c r="EE190">
        <v>0</v>
      </c>
      <c r="EF190">
        <v>1</v>
      </c>
      <c r="EG190">
        <v>1</v>
      </c>
      <c r="EH190">
        <v>0</v>
      </c>
      <c r="EI190">
        <v>0</v>
      </c>
      <c r="EJ190">
        <v>0</v>
      </c>
      <c r="EK190">
        <v>0</v>
      </c>
      <c r="EM190">
        <v>0</v>
      </c>
      <c r="EN190">
        <v>0</v>
      </c>
      <c r="EO190">
        <v>0</v>
      </c>
      <c r="EP190">
        <v>0</v>
      </c>
      <c r="EQ190">
        <v>1</v>
      </c>
      <c r="ER190">
        <v>0</v>
      </c>
      <c r="ES190">
        <v>0</v>
      </c>
      <c r="ET190">
        <v>1</v>
      </c>
      <c r="EU190">
        <v>0</v>
      </c>
      <c r="EV190">
        <v>0</v>
      </c>
      <c r="EW190">
        <v>1</v>
      </c>
      <c r="EX190">
        <v>0</v>
      </c>
      <c r="EY190">
        <v>0</v>
      </c>
      <c r="IZ190">
        <v>1</v>
      </c>
      <c r="JA190">
        <v>0</v>
      </c>
      <c r="JB190">
        <v>1</v>
      </c>
      <c r="JC190">
        <v>0</v>
      </c>
      <c r="JD190">
        <v>0</v>
      </c>
      <c r="JE190">
        <v>0</v>
      </c>
      <c r="JF190">
        <v>1</v>
      </c>
      <c r="JG190">
        <v>0</v>
      </c>
      <c r="JH190">
        <v>0</v>
      </c>
      <c r="JI190">
        <v>0</v>
      </c>
      <c r="JJ190">
        <v>0</v>
      </c>
      <c r="JL190">
        <v>1</v>
      </c>
      <c r="JM190" cm="1">
        <f t="array" ref="JM190">IF(OR(JN190:JQ190 &lt;&gt; ""), 1, 0)</f>
        <v>1</v>
      </c>
      <c r="JN190">
        <v>1</v>
      </c>
      <c r="JO190">
        <v>0</v>
      </c>
      <c r="JP190">
        <v>0</v>
      </c>
      <c r="JQ190">
        <v>0</v>
      </c>
    </row>
    <row r="191" spans="1:278" x14ac:dyDescent="0.35">
      <c r="A191">
        <v>405335</v>
      </c>
      <c r="C191">
        <v>1</v>
      </c>
      <c r="D191" t="s">
        <v>1029</v>
      </c>
      <c r="E191" t="str">
        <f>_xlfn.XLOOKUP(I191, [1]SchoolDistrictStudyWODuplicates!$K:$K, [1]SchoolDistrictStudyWODuplicates!$E:$E, "")</f>
        <v/>
      </c>
      <c r="G191" t="s">
        <v>1030</v>
      </c>
      <c r="H191" s="7">
        <v>4212840</v>
      </c>
      <c r="I191" s="7">
        <v>4212840</v>
      </c>
      <c r="J191" s="5" t="e">
        <f>_xlfn.XLOOKUP(I191,#REF!,#REF!,"Not Determined")</f>
        <v>#REF!</v>
      </c>
      <c r="K191" s="5" t="s">
        <v>1023</v>
      </c>
      <c r="L191" t="s">
        <v>1023</v>
      </c>
      <c r="M191" s="13" t="e">
        <f>_xlfn.XLOOKUP(I191,#REF!,#REF!, "No")</f>
        <v>#REF!</v>
      </c>
      <c r="N191" s="5" t="str">
        <f t="shared" si="33"/>
        <v>No</v>
      </c>
      <c r="O191" s="5" t="str">
        <f t="shared" si="34"/>
        <v>Yes</v>
      </c>
      <c r="P191" s="5" t="str">
        <f t="shared" si="35"/>
        <v>Yes</v>
      </c>
      <c r="Q191" s="5" t="str">
        <f t="shared" si="36"/>
        <v>Yes</v>
      </c>
      <c r="R191" s="5" t="str">
        <f t="shared" si="37"/>
        <v>No</v>
      </c>
      <c r="S191" s="5" t="str">
        <f t="shared" si="38"/>
        <v>No</v>
      </c>
      <c r="T191" s="5" t="str">
        <f t="shared" si="39"/>
        <v>No</v>
      </c>
      <c r="U191" s="5" t="str">
        <f t="shared" si="40"/>
        <v>No</v>
      </c>
      <c r="V191" s="5" t="str" cm="1">
        <f t="array" ref="V191">IF(OR(DB191:DG191 =1), "Yes", "No")</f>
        <v>No</v>
      </c>
      <c r="W191" s="5" t="str">
        <f t="shared" si="41"/>
        <v>No</v>
      </c>
      <c r="X191" s="5" t="str">
        <f t="shared" si="42"/>
        <v>No</v>
      </c>
      <c r="Y191" s="5" t="str">
        <f t="shared" si="43"/>
        <v>No</v>
      </c>
      <c r="Z191">
        <v>4</v>
      </c>
      <c r="AB191">
        <v>1</v>
      </c>
      <c r="AC191">
        <v>0</v>
      </c>
      <c r="AD191">
        <v>0</v>
      </c>
      <c r="AE191">
        <v>0</v>
      </c>
      <c r="AF191">
        <v>0</v>
      </c>
      <c r="AG191">
        <v>0</v>
      </c>
      <c r="AH191">
        <v>0</v>
      </c>
      <c r="AI191">
        <v>1</v>
      </c>
      <c r="AJ191">
        <v>0</v>
      </c>
      <c r="AK191">
        <v>1</v>
      </c>
      <c r="AM191">
        <v>1</v>
      </c>
      <c r="AN191">
        <v>1</v>
      </c>
      <c r="AO191">
        <v>0</v>
      </c>
      <c r="AP191">
        <v>24</v>
      </c>
      <c r="AQ191">
        <v>40</v>
      </c>
      <c r="AS191">
        <v>24</v>
      </c>
      <c r="AT191">
        <v>40</v>
      </c>
      <c r="AV191">
        <v>1</v>
      </c>
      <c r="AW191">
        <v>1</v>
      </c>
      <c r="AX191">
        <v>0</v>
      </c>
      <c r="AY191">
        <v>1</v>
      </c>
      <c r="AZ191">
        <v>0</v>
      </c>
      <c r="BA191">
        <v>0</v>
      </c>
      <c r="BC191">
        <v>1</v>
      </c>
      <c r="BE191">
        <v>2</v>
      </c>
      <c r="BG191">
        <v>1</v>
      </c>
      <c r="BH191">
        <v>1</v>
      </c>
      <c r="BI191">
        <v>5</v>
      </c>
      <c r="BJ191">
        <v>2</v>
      </c>
      <c r="BL191">
        <v>1</v>
      </c>
      <c r="BM191">
        <v>1</v>
      </c>
      <c r="BN191">
        <v>2</v>
      </c>
      <c r="BV191">
        <v>0</v>
      </c>
      <c r="BW191">
        <v>0</v>
      </c>
      <c r="BX191">
        <v>0</v>
      </c>
      <c r="BY191">
        <v>0</v>
      </c>
      <c r="BZ191">
        <v>1</v>
      </c>
      <c r="CA191">
        <v>0</v>
      </c>
      <c r="CB191">
        <v>0</v>
      </c>
      <c r="CC191">
        <v>0</v>
      </c>
      <c r="CD191">
        <v>0</v>
      </c>
      <c r="CE191">
        <v>0</v>
      </c>
      <c r="CF191">
        <v>0</v>
      </c>
      <c r="CG191">
        <v>0</v>
      </c>
      <c r="CH191">
        <v>0</v>
      </c>
      <c r="CI191">
        <v>0</v>
      </c>
      <c r="CJ191">
        <v>0</v>
      </c>
      <c r="CK191">
        <v>0</v>
      </c>
      <c r="CL191">
        <v>0</v>
      </c>
      <c r="CN191">
        <v>6</v>
      </c>
      <c r="JM191" cm="1">
        <f t="array" ref="JM191">IF(OR(JN191:JQ191 &lt;&gt; ""), 1, 0)</f>
        <v>0</v>
      </c>
    </row>
    <row r="192" spans="1:278" x14ac:dyDescent="0.35">
      <c r="A192">
        <v>363467</v>
      </c>
      <c r="C192">
        <v>1</v>
      </c>
      <c r="D192" t="s">
        <v>1031</v>
      </c>
      <c r="E192" t="str">
        <f>_xlfn.XLOOKUP(I192, [1]SchoolDistrictStudyWODuplicates!$K:$K, [1]SchoolDistrictStudyWODuplicates!$E:$E, "")</f>
        <v>Manheim Central SD</v>
      </c>
      <c r="G192" t="s">
        <v>1032</v>
      </c>
      <c r="H192" s="5" t="e">
        <f>_xlfn.XLOOKUP(A192,#REF!,#REF!, "No")</f>
        <v>#REF!</v>
      </c>
      <c r="I192" s="7">
        <v>4214550</v>
      </c>
      <c r="J192" s="5" t="e">
        <f>_xlfn.XLOOKUP(I192,#REF!,#REF!,"Not Determined")</f>
        <v>#REF!</v>
      </c>
      <c r="K192" s="5" t="s">
        <v>1023</v>
      </c>
      <c r="L192" t="s">
        <v>1023</v>
      </c>
      <c r="M192" s="13" t="e">
        <f>_xlfn.XLOOKUP(I192,#REF!,#REF!, "No")</f>
        <v>#REF!</v>
      </c>
      <c r="N192" s="5" t="str">
        <f t="shared" si="33"/>
        <v>No</v>
      </c>
      <c r="O192" s="5" t="str">
        <f t="shared" si="34"/>
        <v>Yes</v>
      </c>
      <c r="P192" s="5" t="str">
        <f t="shared" si="35"/>
        <v>Yes</v>
      </c>
      <c r="Q192" s="5" t="str">
        <f t="shared" si="36"/>
        <v>Yes</v>
      </c>
      <c r="R192" s="5" t="str">
        <f t="shared" si="37"/>
        <v>Yes</v>
      </c>
      <c r="S192" s="5" t="str">
        <f t="shared" si="38"/>
        <v>Yes</v>
      </c>
      <c r="T192" s="5" t="str">
        <f t="shared" si="39"/>
        <v>No</v>
      </c>
      <c r="U192" s="5" t="str">
        <f t="shared" si="40"/>
        <v>No</v>
      </c>
      <c r="V192" s="5" t="str" cm="1">
        <f t="array" ref="V192">IF(OR(DB192:DG192 =1), "Yes", "No")</f>
        <v>No</v>
      </c>
      <c r="W192" s="5" t="str">
        <f t="shared" si="41"/>
        <v>Yes</v>
      </c>
      <c r="X192" s="5" t="str">
        <f t="shared" si="42"/>
        <v>No</v>
      </c>
      <c r="Y192" s="5" t="str">
        <f t="shared" si="43"/>
        <v>No</v>
      </c>
      <c r="Z192">
        <v>15</v>
      </c>
      <c r="AA192" t="s">
        <v>1033</v>
      </c>
      <c r="AB192">
        <v>0</v>
      </c>
      <c r="AC192">
        <v>0</v>
      </c>
      <c r="AD192">
        <v>0</v>
      </c>
      <c r="AE192">
        <v>0</v>
      </c>
      <c r="AF192">
        <v>0</v>
      </c>
      <c r="AG192">
        <v>0</v>
      </c>
      <c r="AH192">
        <v>0</v>
      </c>
      <c r="AI192">
        <v>0</v>
      </c>
      <c r="AJ192">
        <v>1</v>
      </c>
      <c r="AK192">
        <v>1</v>
      </c>
      <c r="AM192">
        <v>1</v>
      </c>
      <c r="AN192">
        <v>1</v>
      </c>
      <c r="AO192">
        <v>0</v>
      </c>
      <c r="AP192">
        <v>16</v>
      </c>
      <c r="AQ192">
        <v>46</v>
      </c>
      <c r="AS192">
        <v>16</v>
      </c>
      <c r="AT192">
        <v>46</v>
      </c>
      <c r="AV192">
        <v>1</v>
      </c>
      <c r="AW192">
        <v>1</v>
      </c>
      <c r="AX192">
        <v>0</v>
      </c>
      <c r="AY192">
        <v>0</v>
      </c>
      <c r="AZ192">
        <v>0</v>
      </c>
      <c r="BA192">
        <v>0</v>
      </c>
      <c r="BC192">
        <v>1</v>
      </c>
      <c r="BE192">
        <v>2</v>
      </c>
      <c r="BG192">
        <v>1</v>
      </c>
      <c r="BH192">
        <v>1</v>
      </c>
      <c r="BI192">
        <v>4</v>
      </c>
      <c r="BJ192">
        <v>2</v>
      </c>
      <c r="BL192">
        <v>2</v>
      </c>
      <c r="BM192">
        <v>1</v>
      </c>
      <c r="BN192">
        <v>1</v>
      </c>
      <c r="BO192">
        <v>1</v>
      </c>
      <c r="BP192">
        <v>0</v>
      </c>
      <c r="BQ192">
        <v>0</v>
      </c>
      <c r="BR192">
        <v>0</v>
      </c>
      <c r="BS192">
        <v>0</v>
      </c>
      <c r="BT192">
        <v>0</v>
      </c>
      <c r="BV192">
        <v>0</v>
      </c>
      <c r="BW192">
        <v>0</v>
      </c>
      <c r="BX192">
        <v>1</v>
      </c>
      <c r="BY192">
        <v>0</v>
      </c>
      <c r="BZ192">
        <v>1</v>
      </c>
      <c r="CA192">
        <v>1</v>
      </c>
      <c r="CB192">
        <v>0</v>
      </c>
      <c r="CC192">
        <v>0</v>
      </c>
      <c r="CD192">
        <v>1</v>
      </c>
      <c r="CE192">
        <v>0</v>
      </c>
      <c r="CF192">
        <v>1</v>
      </c>
      <c r="CG192">
        <v>1</v>
      </c>
      <c r="CH192">
        <v>0</v>
      </c>
      <c r="CI192">
        <v>1</v>
      </c>
      <c r="CJ192">
        <v>0</v>
      </c>
      <c r="CK192">
        <v>1</v>
      </c>
      <c r="CL192">
        <v>1</v>
      </c>
      <c r="CM192" t="s">
        <v>1034</v>
      </c>
      <c r="CN192">
        <v>16</v>
      </c>
      <c r="CO192">
        <v>4</v>
      </c>
      <c r="CQ192">
        <v>2</v>
      </c>
      <c r="CR192">
        <v>2</v>
      </c>
      <c r="EB192">
        <v>0</v>
      </c>
      <c r="EC192">
        <v>0</v>
      </c>
      <c r="ED192">
        <v>1</v>
      </c>
      <c r="EE192">
        <v>0</v>
      </c>
      <c r="EF192">
        <v>0</v>
      </c>
      <c r="EG192">
        <v>1</v>
      </c>
      <c r="EH192">
        <v>1</v>
      </c>
      <c r="EI192">
        <v>1</v>
      </c>
      <c r="EJ192">
        <v>1</v>
      </c>
      <c r="EK192">
        <v>0</v>
      </c>
      <c r="EL192" t="s">
        <v>1035</v>
      </c>
      <c r="EM192">
        <v>0</v>
      </c>
      <c r="EN192">
        <v>1</v>
      </c>
      <c r="EO192">
        <v>0</v>
      </c>
      <c r="EP192">
        <v>1</v>
      </c>
      <c r="EQ192">
        <v>0</v>
      </c>
      <c r="ER192">
        <v>0</v>
      </c>
      <c r="ES192">
        <v>1</v>
      </c>
      <c r="ET192">
        <v>1</v>
      </c>
      <c r="EU192">
        <v>1</v>
      </c>
      <c r="EV192">
        <v>1</v>
      </c>
      <c r="EW192">
        <v>1</v>
      </c>
      <c r="EX192">
        <v>0</v>
      </c>
      <c r="EY192">
        <v>0</v>
      </c>
      <c r="FB192" t="s">
        <v>285</v>
      </c>
      <c r="FC192">
        <v>0</v>
      </c>
      <c r="FD192">
        <v>1</v>
      </c>
      <c r="FE192">
        <v>0</v>
      </c>
      <c r="FF192">
        <v>0</v>
      </c>
      <c r="FG192">
        <v>0</v>
      </c>
      <c r="FH192">
        <v>0</v>
      </c>
      <c r="FI192">
        <v>0</v>
      </c>
      <c r="FJ192">
        <v>0</v>
      </c>
      <c r="FK192">
        <v>0</v>
      </c>
      <c r="FL192">
        <v>0</v>
      </c>
      <c r="FM192">
        <v>0</v>
      </c>
      <c r="FN192">
        <v>0</v>
      </c>
      <c r="FO192">
        <v>0</v>
      </c>
      <c r="FP192">
        <v>0</v>
      </c>
      <c r="FQ192">
        <v>0</v>
      </c>
      <c r="FR192">
        <v>0</v>
      </c>
      <c r="FS192">
        <v>0</v>
      </c>
      <c r="FT192">
        <v>0</v>
      </c>
      <c r="FU192">
        <v>0</v>
      </c>
      <c r="FV192">
        <v>0</v>
      </c>
      <c r="FW192">
        <v>0</v>
      </c>
      <c r="FX192">
        <v>0</v>
      </c>
      <c r="GS192" t="s">
        <v>285</v>
      </c>
      <c r="GT192">
        <v>0</v>
      </c>
      <c r="GU192">
        <v>1</v>
      </c>
      <c r="GV192">
        <v>0</v>
      </c>
      <c r="GW192">
        <v>0</v>
      </c>
      <c r="GX192">
        <v>0</v>
      </c>
      <c r="GY192">
        <v>0</v>
      </c>
      <c r="GZ192">
        <v>0</v>
      </c>
      <c r="HA192">
        <v>0</v>
      </c>
      <c r="HB192">
        <v>0</v>
      </c>
      <c r="HC192" t="s">
        <v>1036</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1</v>
      </c>
      <c r="IE192">
        <v>0</v>
      </c>
      <c r="IF192">
        <v>0</v>
      </c>
      <c r="IG192">
        <v>0</v>
      </c>
      <c r="IH192">
        <v>0</v>
      </c>
      <c r="II192">
        <v>0</v>
      </c>
      <c r="IJ192">
        <v>0</v>
      </c>
      <c r="IK192">
        <v>0</v>
      </c>
      <c r="IL192">
        <v>0</v>
      </c>
      <c r="IM192">
        <v>0</v>
      </c>
      <c r="IN192">
        <v>0</v>
      </c>
      <c r="IO192">
        <v>0</v>
      </c>
      <c r="IP192">
        <v>0</v>
      </c>
      <c r="IQ192">
        <v>0</v>
      </c>
      <c r="IR192">
        <v>0</v>
      </c>
      <c r="IS192">
        <v>0</v>
      </c>
      <c r="IT192">
        <v>0</v>
      </c>
      <c r="IU192">
        <v>0</v>
      </c>
      <c r="IV192">
        <v>0</v>
      </c>
      <c r="IW192">
        <v>0</v>
      </c>
      <c r="IZ192">
        <v>1</v>
      </c>
      <c r="JA192">
        <v>1</v>
      </c>
      <c r="JB192">
        <v>0</v>
      </c>
      <c r="JC192">
        <v>0</v>
      </c>
      <c r="JD192">
        <v>0</v>
      </c>
      <c r="JE192">
        <v>0</v>
      </c>
      <c r="JF192">
        <v>1</v>
      </c>
      <c r="JG192">
        <v>0</v>
      </c>
      <c r="JH192">
        <v>0</v>
      </c>
      <c r="JI192">
        <v>0</v>
      </c>
      <c r="JJ192">
        <v>0</v>
      </c>
      <c r="JL192">
        <v>1</v>
      </c>
      <c r="JM192" cm="1">
        <f t="array" ref="JM192">IF(OR(JN192:JQ192 &lt;&gt; ""), 1, 0)</f>
        <v>1</v>
      </c>
      <c r="JN192">
        <v>1</v>
      </c>
      <c r="JO192">
        <v>0</v>
      </c>
      <c r="JP192">
        <v>0</v>
      </c>
      <c r="JQ192">
        <v>0</v>
      </c>
    </row>
    <row r="193" spans="1:278" x14ac:dyDescent="0.35">
      <c r="A193">
        <v>397073</v>
      </c>
      <c r="C193">
        <v>1</v>
      </c>
      <c r="D193" t="s">
        <v>1037</v>
      </c>
      <c r="E193" t="str">
        <f>_xlfn.XLOOKUP(I193, [1]SchoolDistrictStudyWODuplicates!$K:$K, [1]SchoolDistrictStudyWODuplicates!$E:$E, "")</f>
        <v/>
      </c>
      <c r="G193" t="s">
        <v>1038</v>
      </c>
      <c r="H193" s="7">
        <v>4215210</v>
      </c>
      <c r="I193" s="7">
        <v>4215210</v>
      </c>
      <c r="J193" s="5" t="e">
        <f>_xlfn.XLOOKUP(I193,#REF!,#REF!,"Not Determined")</f>
        <v>#REF!</v>
      </c>
      <c r="K193" s="5" t="s">
        <v>1023</v>
      </c>
      <c r="L193" t="s">
        <v>1023</v>
      </c>
      <c r="M193" s="13" t="e">
        <f>_xlfn.XLOOKUP(I193,#REF!,#REF!, "No")</f>
        <v>#REF!</v>
      </c>
      <c r="N193" s="5" t="str">
        <f t="shared" si="33"/>
        <v>No</v>
      </c>
      <c r="O193" s="5" t="str">
        <f t="shared" si="34"/>
        <v>Yes</v>
      </c>
      <c r="P193" s="5" t="str">
        <f t="shared" si="35"/>
        <v>Yes</v>
      </c>
      <c r="Q193" s="5" t="str">
        <f t="shared" si="36"/>
        <v>Yes</v>
      </c>
      <c r="R193" s="5" t="str">
        <f t="shared" si="37"/>
        <v>Yes</v>
      </c>
      <c r="S193" s="5" t="str">
        <f t="shared" si="38"/>
        <v>Yes</v>
      </c>
      <c r="T193" s="5" t="str">
        <f t="shared" si="39"/>
        <v>Yes</v>
      </c>
      <c r="U193" s="5" t="str">
        <f t="shared" si="40"/>
        <v>No</v>
      </c>
      <c r="V193" s="5" t="str" cm="1">
        <f t="array" ref="V193">IF(OR(DB193:DG193 =1), "Yes", "No")</f>
        <v>No</v>
      </c>
      <c r="W193" s="5" t="str">
        <f t="shared" si="41"/>
        <v>No</v>
      </c>
      <c r="X193" s="5" t="str">
        <f t="shared" si="42"/>
        <v>No</v>
      </c>
      <c r="Y193" s="5" t="str">
        <f t="shared" si="43"/>
        <v>No</v>
      </c>
      <c r="Z193">
        <v>1</v>
      </c>
      <c r="AB193">
        <v>1</v>
      </c>
      <c r="AC193">
        <v>1</v>
      </c>
      <c r="AD193">
        <v>0</v>
      </c>
      <c r="AE193">
        <v>0</v>
      </c>
      <c r="AF193">
        <v>0</v>
      </c>
      <c r="AG193">
        <v>0</v>
      </c>
      <c r="AH193">
        <v>0</v>
      </c>
      <c r="AI193">
        <v>0</v>
      </c>
      <c r="AJ193">
        <v>0</v>
      </c>
      <c r="AK193">
        <v>1</v>
      </c>
      <c r="AM193">
        <v>1</v>
      </c>
      <c r="AN193">
        <v>0</v>
      </c>
      <c r="AO193">
        <v>0</v>
      </c>
      <c r="AP193">
        <v>8</v>
      </c>
      <c r="AS193">
        <v>8</v>
      </c>
      <c r="AV193">
        <v>1</v>
      </c>
      <c r="AW193">
        <v>1</v>
      </c>
      <c r="AX193">
        <v>0</v>
      </c>
      <c r="AY193">
        <v>0</v>
      </c>
      <c r="AZ193">
        <v>0</v>
      </c>
      <c r="BA193">
        <v>0</v>
      </c>
      <c r="BC193">
        <v>2</v>
      </c>
      <c r="BE193">
        <v>4</v>
      </c>
      <c r="BG193">
        <v>1</v>
      </c>
      <c r="BH193">
        <v>1</v>
      </c>
      <c r="BI193">
        <v>4</v>
      </c>
      <c r="BJ193">
        <v>2</v>
      </c>
      <c r="BL193">
        <v>2</v>
      </c>
      <c r="BM193">
        <v>1</v>
      </c>
      <c r="BN193">
        <v>1</v>
      </c>
      <c r="BO193">
        <v>0</v>
      </c>
      <c r="BP193">
        <v>0</v>
      </c>
      <c r="BQ193">
        <v>0</v>
      </c>
      <c r="BR193">
        <v>1</v>
      </c>
      <c r="BS193">
        <v>0</v>
      </c>
      <c r="BT193">
        <v>0</v>
      </c>
      <c r="BV193">
        <v>0</v>
      </c>
      <c r="BW193">
        <v>0</v>
      </c>
      <c r="BX193">
        <v>1</v>
      </c>
      <c r="BY193">
        <v>0</v>
      </c>
      <c r="BZ193">
        <v>1</v>
      </c>
      <c r="CA193">
        <v>0</v>
      </c>
      <c r="CB193">
        <v>0</v>
      </c>
      <c r="CC193">
        <v>0</v>
      </c>
      <c r="CD193">
        <v>1</v>
      </c>
      <c r="CE193">
        <v>0</v>
      </c>
      <c r="CF193">
        <v>0</v>
      </c>
      <c r="CG193">
        <v>0</v>
      </c>
      <c r="CH193">
        <v>0</v>
      </c>
      <c r="CI193">
        <v>0</v>
      </c>
      <c r="CJ193">
        <v>0</v>
      </c>
      <c r="CK193">
        <v>0</v>
      </c>
      <c r="CL193">
        <v>0</v>
      </c>
      <c r="CN193">
        <v>3</v>
      </c>
      <c r="CO193">
        <v>4</v>
      </c>
      <c r="CQ193">
        <v>3</v>
      </c>
      <c r="CR193">
        <v>2</v>
      </c>
      <c r="EB193">
        <v>1</v>
      </c>
      <c r="EC193">
        <v>1</v>
      </c>
      <c r="ED193">
        <v>1</v>
      </c>
      <c r="EE193">
        <v>0</v>
      </c>
      <c r="EF193">
        <v>0</v>
      </c>
      <c r="EG193">
        <v>0</v>
      </c>
      <c r="EH193">
        <v>0</v>
      </c>
      <c r="EI193">
        <v>0</v>
      </c>
      <c r="EJ193">
        <v>0</v>
      </c>
      <c r="EK193">
        <v>0</v>
      </c>
      <c r="EM193">
        <v>0</v>
      </c>
      <c r="EN193">
        <v>1</v>
      </c>
      <c r="EO193">
        <v>0</v>
      </c>
      <c r="EP193">
        <v>0</v>
      </c>
      <c r="EQ193">
        <v>0</v>
      </c>
      <c r="ER193">
        <v>0</v>
      </c>
      <c r="ES193">
        <v>0</v>
      </c>
      <c r="ET193">
        <v>0</v>
      </c>
      <c r="EU193">
        <v>0</v>
      </c>
      <c r="EV193">
        <v>1</v>
      </c>
      <c r="EW193">
        <v>1</v>
      </c>
      <c r="EX193">
        <v>0</v>
      </c>
      <c r="EY193">
        <v>0</v>
      </c>
      <c r="FB193" t="s">
        <v>711</v>
      </c>
      <c r="FC193">
        <v>0</v>
      </c>
      <c r="FD193">
        <v>1</v>
      </c>
      <c r="FE193">
        <v>0</v>
      </c>
      <c r="FF193">
        <v>0</v>
      </c>
      <c r="FG193">
        <v>0</v>
      </c>
      <c r="FH193">
        <v>0</v>
      </c>
      <c r="FI193">
        <v>0</v>
      </c>
      <c r="FJ193">
        <v>0</v>
      </c>
      <c r="FK193">
        <v>0</v>
      </c>
      <c r="FL193">
        <v>0</v>
      </c>
      <c r="FM193">
        <v>0</v>
      </c>
      <c r="FN193">
        <v>0</v>
      </c>
      <c r="FO193">
        <v>0</v>
      </c>
      <c r="FP193">
        <v>0</v>
      </c>
      <c r="FQ193">
        <v>0</v>
      </c>
      <c r="FR193">
        <v>0</v>
      </c>
      <c r="FS193">
        <v>0</v>
      </c>
      <c r="FT193">
        <v>0</v>
      </c>
      <c r="FU193">
        <v>0</v>
      </c>
      <c r="FV193">
        <v>0</v>
      </c>
      <c r="FW193">
        <v>0</v>
      </c>
      <c r="FX193">
        <v>0</v>
      </c>
      <c r="HC193" t="s">
        <v>1036</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1</v>
      </c>
      <c r="IE193">
        <v>0</v>
      </c>
      <c r="IF193">
        <v>0</v>
      </c>
      <c r="IG193">
        <v>0</v>
      </c>
      <c r="IH193">
        <v>0</v>
      </c>
      <c r="II193">
        <v>0</v>
      </c>
      <c r="IJ193">
        <v>0</v>
      </c>
      <c r="IK193">
        <v>0</v>
      </c>
      <c r="IL193">
        <v>0</v>
      </c>
      <c r="IM193">
        <v>0</v>
      </c>
      <c r="IN193">
        <v>0</v>
      </c>
      <c r="IO193">
        <v>0</v>
      </c>
      <c r="IP193">
        <v>0</v>
      </c>
      <c r="IQ193">
        <v>0</v>
      </c>
      <c r="IR193">
        <v>0</v>
      </c>
      <c r="IS193">
        <v>0</v>
      </c>
      <c r="IT193">
        <v>0</v>
      </c>
      <c r="IU193">
        <v>0</v>
      </c>
      <c r="IV193">
        <v>0</v>
      </c>
      <c r="IW193">
        <v>0</v>
      </c>
      <c r="IZ193">
        <v>1</v>
      </c>
      <c r="JA193">
        <v>1</v>
      </c>
      <c r="JB193">
        <v>1</v>
      </c>
      <c r="JC193">
        <v>0</v>
      </c>
      <c r="JD193">
        <v>0</v>
      </c>
      <c r="JE193">
        <v>0</v>
      </c>
      <c r="JF193">
        <v>0</v>
      </c>
      <c r="JG193">
        <v>0</v>
      </c>
      <c r="JH193">
        <v>0</v>
      </c>
      <c r="JI193">
        <v>0</v>
      </c>
      <c r="JJ193">
        <v>0</v>
      </c>
      <c r="JL193">
        <v>2</v>
      </c>
      <c r="JM193" cm="1">
        <f t="array" ref="JM193">IF(OR(JN193:JQ193 &lt;&gt; ""), 1, 0)</f>
        <v>0</v>
      </c>
    </row>
    <row r="194" spans="1:278" x14ac:dyDescent="0.35">
      <c r="A194">
        <v>393086</v>
      </c>
      <c r="C194">
        <v>1</v>
      </c>
      <c r="D194" t="s">
        <v>1039</v>
      </c>
      <c r="E194" t="str">
        <f>_xlfn.XLOOKUP(I194, [1]SchoolDistrictStudyWODuplicates!$K:$K, [1]SchoolDistrictStudyWODuplicates!$E:$E, "")</f>
        <v>North Penn School District</v>
      </c>
      <c r="G194" t="s">
        <v>1040</v>
      </c>
      <c r="H194" s="7">
        <v>4217280</v>
      </c>
      <c r="I194" s="7">
        <v>4217280</v>
      </c>
      <c r="J194" s="5" t="e">
        <f>_xlfn.XLOOKUP(I194,#REF!,#REF!,"Not Determined")</f>
        <v>#REF!</v>
      </c>
      <c r="K194" s="5" t="s">
        <v>1023</v>
      </c>
      <c r="L194" t="s">
        <v>1023</v>
      </c>
      <c r="M194" s="13" t="e">
        <f>_xlfn.XLOOKUP(I194,#REF!,#REF!, "No")</f>
        <v>#REF!</v>
      </c>
      <c r="N194" s="5" t="str">
        <f t="shared" si="33"/>
        <v>No</v>
      </c>
      <c r="O194" s="5" t="str">
        <f t="shared" si="34"/>
        <v>Yes</v>
      </c>
      <c r="P194" s="5" t="str">
        <f t="shared" si="35"/>
        <v>Yes</v>
      </c>
      <c r="Q194" s="5" t="str">
        <f t="shared" si="36"/>
        <v>Yes</v>
      </c>
      <c r="R194" s="5" t="str">
        <f t="shared" si="37"/>
        <v>No</v>
      </c>
      <c r="S194" s="5" t="str">
        <f t="shared" si="38"/>
        <v>Yes</v>
      </c>
      <c r="T194" s="5" t="str">
        <f t="shared" si="39"/>
        <v>No</v>
      </c>
      <c r="U194" s="5" t="str">
        <f t="shared" si="40"/>
        <v>Yes</v>
      </c>
      <c r="V194" s="5" t="str" cm="1">
        <f t="array" ref="V194">IF(OR(DB194:DG194 =1), "Yes", "No")</f>
        <v>No</v>
      </c>
      <c r="W194" s="5" t="str">
        <f t="shared" si="41"/>
        <v>No</v>
      </c>
      <c r="X194" s="5" t="str">
        <f t="shared" si="42"/>
        <v>No</v>
      </c>
      <c r="Y194" s="5" t="str">
        <f t="shared" si="43"/>
        <v>No</v>
      </c>
      <c r="Z194">
        <v>3</v>
      </c>
      <c r="AB194">
        <v>0</v>
      </c>
      <c r="AC194">
        <v>1</v>
      </c>
      <c r="AD194">
        <v>0</v>
      </c>
      <c r="AE194">
        <v>0</v>
      </c>
      <c r="AF194">
        <v>0</v>
      </c>
      <c r="AG194">
        <v>1</v>
      </c>
      <c r="AH194">
        <v>0</v>
      </c>
      <c r="AI194">
        <v>0</v>
      </c>
      <c r="AJ194">
        <v>0</v>
      </c>
      <c r="AK194">
        <v>1</v>
      </c>
      <c r="AM194">
        <v>1</v>
      </c>
      <c r="AN194">
        <v>1</v>
      </c>
      <c r="AO194">
        <v>1</v>
      </c>
      <c r="AP194">
        <v>32</v>
      </c>
      <c r="AQ194">
        <v>70</v>
      </c>
      <c r="AR194">
        <v>15</v>
      </c>
      <c r="AS194">
        <v>32</v>
      </c>
      <c r="AT194">
        <v>70</v>
      </c>
      <c r="AU194">
        <v>15</v>
      </c>
      <c r="AV194">
        <v>1</v>
      </c>
      <c r="AW194">
        <v>1</v>
      </c>
      <c r="AX194">
        <v>0</v>
      </c>
      <c r="AY194">
        <v>1</v>
      </c>
      <c r="AZ194">
        <v>0</v>
      </c>
      <c r="BA194">
        <v>0</v>
      </c>
      <c r="BC194">
        <v>4</v>
      </c>
      <c r="BE194">
        <v>4</v>
      </c>
      <c r="BG194">
        <v>1</v>
      </c>
      <c r="BH194">
        <v>1</v>
      </c>
      <c r="BI194">
        <v>2</v>
      </c>
      <c r="BJ194">
        <v>2</v>
      </c>
      <c r="BL194">
        <v>2</v>
      </c>
      <c r="BM194">
        <v>1</v>
      </c>
      <c r="BN194">
        <v>2</v>
      </c>
      <c r="BV194">
        <v>0</v>
      </c>
      <c r="BW194">
        <v>0</v>
      </c>
      <c r="BX194">
        <v>0</v>
      </c>
      <c r="BY194">
        <v>0</v>
      </c>
      <c r="BZ194">
        <v>0</v>
      </c>
      <c r="CA194">
        <v>0</v>
      </c>
      <c r="CB194">
        <v>0</v>
      </c>
      <c r="CC194">
        <v>0</v>
      </c>
      <c r="CD194">
        <v>1</v>
      </c>
      <c r="CE194">
        <v>0</v>
      </c>
      <c r="CF194">
        <v>0</v>
      </c>
      <c r="CG194">
        <v>0</v>
      </c>
      <c r="CH194">
        <v>0</v>
      </c>
      <c r="CI194">
        <v>1</v>
      </c>
      <c r="CJ194">
        <v>0</v>
      </c>
      <c r="CK194">
        <v>0</v>
      </c>
      <c r="CL194">
        <v>0</v>
      </c>
      <c r="CN194">
        <v>6</v>
      </c>
      <c r="CO194">
        <v>4</v>
      </c>
      <c r="CQ194">
        <v>6</v>
      </c>
      <c r="CR194">
        <v>4</v>
      </c>
      <c r="EB194">
        <v>0</v>
      </c>
      <c r="EC194">
        <v>0</v>
      </c>
      <c r="ED194">
        <v>0</v>
      </c>
      <c r="EE194">
        <v>1</v>
      </c>
      <c r="EF194">
        <v>1</v>
      </c>
      <c r="EG194">
        <v>1</v>
      </c>
      <c r="EH194">
        <v>0</v>
      </c>
      <c r="EI194">
        <v>0</v>
      </c>
      <c r="EJ194">
        <v>0</v>
      </c>
      <c r="EK194">
        <v>0</v>
      </c>
      <c r="EM194">
        <v>0</v>
      </c>
      <c r="EN194">
        <v>0</v>
      </c>
      <c r="EO194">
        <v>0</v>
      </c>
      <c r="EP194">
        <v>1</v>
      </c>
      <c r="EQ194">
        <v>1</v>
      </c>
      <c r="ER194">
        <v>0</v>
      </c>
      <c r="ES194">
        <v>1</v>
      </c>
      <c r="ET194">
        <v>0</v>
      </c>
      <c r="EU194">
        <v>0</v>
      </c>
      <c r="EV194">
        <v>0</v>
      </c>
      <c r="EW194">
        <v>0</v>
      </c>
      <c r="EX194">
        <v>0</v>
      </c>
      <c r="EY194">
        <v>0</v>
      </c>
      <c r="GS194" t="s">
        <v>1041</v>
      </c>
      <c r="GT194">
        <v>0</v>
      </c>
      <c r="GU194">
        <v>0</v>
      </c>
      <c r="GV194">
        <v>0</v>
      </c>
      <c r="GW194">
        <v>0</v>
      </c>
      <c r="GX194">
        <v>0</v>
      </c>
      <c r="GY194">
        <v>0</v>
      </c>
      <c r="GZ194">
        <v>0</v>
      </c>
      <c r="HA194">
        <v>1</v>
      </c>
      <c r="HB194">
        <v>0</v>
      </c>
      <c r="IZ194">
        <v>0</v>
      </c>
      <c r="JA194">
        <v>1</v>
      </c>
      <c r="JB194">
        <v>0</v>
      </c>
      <c r="JC194">
        <v>1</v>
      </c>
      <c r="JD194">
        <v>0</v>
      </c>
      <c r="JE194">
        <v>0</v>
      </c>
      <c r="JF194">
        <v>1</v>
      </c>
      <c r="JG194">
        <v>0</v>
      </c>
      <c r="JH194">
        <v>0</v>
      </c>
      <c r="JI194">
        <v>0</v>
      </c>
      <c r="JJ194">
        <v>0</v>
      </c>
      <c r="JL194">
        <v>2</v>
      </c>
      <c r="JM194" cm="1">
        <f t="array" ref="JM194">IF(OR(JN194:JQ194 &lt;&gt; ""), 1, 0)</f>
        <v>0</v>
      </c>
    </row>
    <row r="195" spans="1:278" x14ac:dyDescent="0.35">
      <c r="A195">
        <v>405439</v>
      </c>
      <c r="C195">
        <v>1</v>
      </c>
      <c r="D195" t="s">
        <v>1042</v>
      </c>
      <c r="E195" t="str">
        <f>_xlfn.XLOOKUP(I195, [1]SchoolDistrictStudyWODuplicates!$K:$K, [1]SchoolDistrictStudyWODuplicates!$E:$E, "")</f>
        <v/>
      </c>
      <c r="G195" t="s">
        <v>1043</v>
      </c>
      <c r="H195" s="5" t="e">
        <f>_xlfn.XLOOKUP(A195,#REF!,#REF!, "No")</f>
        <v>#REF!</v>
      </c>
      <c r="I195" s="7">
        <v>4220580</v>
      </c>
      <c r="J195" s="5" t="e">
        <f>_xlfn.XLOOKUP(I195,#REF!,#REF!,"Not Determined")</f>
        <v>#REF!</v>
      </c>
      <c r="K195" s="5" t="s">
        <v>1023</v>
      </c>
      <c r="L195" t="s">
        <v>1023</v>
      </c>
      <c r="M195" s="13" t="e">
        <f>_xlfn.XLOOKUP(I195,#REF!,#REF!, "No")</f>
        <v>#REF!</v>
      </c>
      <c r="N195" s="5" t="str">
        <f t="shared" si="33"/>
        <v>No</v>
      </c>
      <c r="O195" s="5" t="str">
        <f t="shared" si="34"/>
        <v>Yes</v>
      </c>
      <c r="P195" s="5" t="str">
        <f t="shared" si="35"/>
        <v>No</v>
      </c>
      <c r="Q195" s="5" t="str">
        <f t="shared" si="36"/>
        <v>Yes</v>
      </c>
      <c r="R195" s="5" t="str">
        <f t="shared" si="37"/>
        <v>No</v>
      </c>
      <c r="S195" s="5" t="str">
        <f t="shared" si="38"/>
        <v>No</v>
      </c>
      <c r="T195" s="5" t="str">
        <f t="shared" si="39"/>
        <v>No</v>
      </c>
      <c r="U195" s="5" t="str">
        <f t="shared" si="40"/>
        <v>No</v>
      </c>
      <c r="V195" s="5" t="str" cm="1">
        <f t="array" ref="V195">IF(OR(DB195:DG195 =1), "Yes", "No")</f>
        <v>No</v>
      </c>
      <c r="W195" s="5" t="str">
        <f t="shared" si="41"/>
        <v>No</v>
      </c>
      <c r="X195" s="5" t="str">
        <f t="shared" si="42"/>
        <v>No</v>
      </c>
      <c r="Y195" s="5" t="str">
        <f t="shared" si="43"/>
        <v>No</v>
      </c>
      <c r="Z195">
        <v>3</v>
      </c>
      <c r="AB195">
        <v>1</v>
      </c>
      <c r="AC195">
        <v>1</v>
      </c>
      <c r="AD195">
        <v>1</v>
      </c>
      <c r="AE195">
        <v>0</v>
      </c>
      <c r="AF195">
        <v>0</v>
      </c>
      <c r="AG195">
        <v>1</v>
      </c>
      <c r="AH195">
        <v>0</v>
      </c>
      <c r="AI195">
        <v>1</v>
      </c>
      <c r="AJ195">
        <v>0</v>
      </c>
      <c r="AK195">
        <v>1</v>
      </c>
      <c r="AM195">
        <v>1</v>
      </c>
      <c r="AN195">
        <v>1</v>
      </c>
      <c r="AO195">
        <v>1</v>
      </c>
      <c r="AP195">
        <v>20</v>
      </c>
      <c r="AQ195">
        <v>43</v>
      </c>
      <c r="AR195">
        <v>4</v>
      </c>
      <c r="AS195">
        <v>20</v>
      </c>
      <c r="AT195">
        <v>43</v>
      </c>
      <c r="AU195">
        <v>4</v>
      </c>
      <c r="AV195">
        <v>1</v>
      </c>
      <c r="AW195">
        <v>1</v>
      </c>
      <c r="AX195">
        <v>0</v>
      </c>
      <c r="AY195">
        <v>0</v>
      </c>
      <c r="AZ195">
        <v>0</v>
      </c>
      <c r="BA195">
        <v>0</v>
      </c>
      <c r="BC195">
        <v>1</v>
      </c>
      <c r="BE195">
        <v>1</v>
      </c>
      <c r="BG195">
        <v>1</v>
      </c>
      <c r="BH195">
        <v>1</v>
      </c>
      <c r="JM195" cm="1">
        <f t="array" ref="JM195">IF(OR(JN195:JQ195 &lt;&gt; ""), 1, 0)</f>
        <v>0</v>
      </c>
    </row>
    <row r="196" spans="1:278" x14ac:dyDescent="0.35">
      <c r="A196">
        <v>405444</v>
      </c>
      <c r="C196">
        <v>1</v>
      </c>
      <c r="D196" t="s">
        <v>1044</v>
      </c>
      <c r="E196" t="str">
        <f>_xlfn.XLOOKUP(I196, [1]SchoolDistrictStudyWODuplicates!$K:$K, [1]SchoolDistrictStudyWODuplicates!$E:$E, "")</f>
        <v/>
      </c>
      <c r="G196" t="s">
        <v>1045</v>
      </c>
      <c r="H196" s="5" t="e">
        <f>_xlfn.XLOOKUP(A196,#REF!,#REF!, "No")</f>
        <v>#REF!</v>
      </c>
      <c r="I196" s="7">
        <v>4222400</v>
      </c>
      <c r="J196" s="5" t="e">
        <f>_xlfn.XLOOKUP(I196,#REF!,#REF!,"Not Determined")</f>
        <v>#REF!</v>
      </c>
      <c r="K196" s="5" t="s">
        <v>1023</v>
      </c>
      <c r="L196" t="s">
        <v>1023</v>
      </c>
      <c r="M196" s="13" t="e">
        <f>_xlfn.XLOOKUP(I196,#REF!,#REF!, "No")</f>
        <v>#REF!</v>
      </c>
      <c r="N196" s="5" t="str">
        <f t="shared" si="33"/>
        <v>No</v>
      </c>
      <c r="O196" s="5" t="str">
        <f t="shared" si="34"/>
        <v>Yes</v>
      </c>
      <c r="P196" s="5" t="str">
        <f t="shared" si="35"/>
        <v>No</v>
      </c>
      <c r="Q196" s="5" t="str">
        <f t="shared" si="36"/>
        <v>No</v>
      </c>
      <c r="R196" s="5" t="str">
        <f t="shared" si="37"/>
        <v>Yes</v>
      </c>
      <c r="S196" s="5" t="str">
        <f t="shared" si="38"/>
        <v>Yes</v>
      </c>
      <c r="T196" s="5" t="str">
        <f t="shared" si="39"/>
        <v>Yes</v>
      </c>
      <c r="U196" s="5" t="str">
        <f t="shared" si="40"/>
        <v>Yes</v>
      </c>
      <c r="V196" s="5" t="str" cm="1">
        <f t="array" ref="V196">IF(OR(DB196:DG196 =1), "Yes", "No")</f>
        <v>No</v>
      </c>
      <c r="W196" s="5" t="str">
        <f t="shared" si="41"/>
        <v>No</v>
      </c>
      <c r="X196" s="5" t="str">
        <f t="shared" si="42"/>
        <v>No</v>
      </c>
      <c r="Y196" s="5" t="str">
        <f t="shared" si="43"/>
        <v>No</v>
      </c>
      <c r="Z196">
        <v>6</v>
      </c>
      <c r="AB196">
        <v>1</v>
      </c>
      <c r="AC196">
        <v>0</v>
      </c>
      <c r="AD196">
        <v>0</v>
      </c>
      <c r="AE196">
        <v>0</v>
      </c>
      <c r="AF196">
        <v>0</v>
      </c>
      <c r="AG196">
        <v>0</v>
      </c>
      <c r="AH196">
        <v>0</v>
      </c>
      <c r="AI196">
        <v>0</v>
      </c>
      <c r="AJ196">
        <v>0</v>
      </c>
      <c r="AK196">
        <v>1</v>
      </c>
      <c r="AM196">
        <v>0</v>
      </c>
      <c r="AN196">
        <v>1</v>
      </c>
      <c r="AO196">
        <v>0</v>
      </c>
      <c r="AQ196">
        <v>70</v>
      </c>
      <c r="AT196">
        <v>70</v>
      </c>
      <c r="AV196">
        <v>1</v>
      </c>
      <c r="AW196">
        <v>1</v>
      </c>
      <c r="AX196">
        <v>0</v>
      </c>
      <c r="AY196">
        <v>0</v>
      </c>
      <c r="AZ196">
        <v>0</v>
      </c>
      <c r="BA196">
        <v>0</v>
      </c>
      <c r="BC196">
        <v>2</v>
      </c>
      <c r="BE196">
        <v>3</v>
      </c>
      <c r="BG196">
        <v>2</v>
      </c>
      <c r="BJ196">
        <v>2</v>
      </c>
      <c r="BL196">
        <v>2</v>
      </c>
      <c r="BM196">
        <v>2</v>
      </c>
      <c r="BN196">
        <v>2</v>
      </c>
      <c r="BV196">
        <v>0</v>
      </c>
      <c r="BW196">
        <v>0</v>
      </c>
      <c r="BX196">
        <v>0</v>
      </c>
      <c r="BY196">
        <v>0</v>
      </c>
      <c r="BZ196">
        <v>0</v>
      </c>
      <c r="CA196">
        <v>0</v>
      </c>
      <c r="CB196">
        <v>0</v>
      </c>
      <c r="CC196">
        <v>0</v>
      </c>
      <c r="CD196">
        <v>0</v>
      </c>
      <c r="CE196">
        <v>0</v>
      </c>
      <c r="CF196">
        <v>0</v>
      </c>
      <c r="CG196">
        <v>0</v>
      </c>
      <c r="CH196">
        <v>0</v>
      </c>
      <c r="CI196">
        <v>0</v>
      </c>
      <c r="CJ196">
        <v>0</v>
      </c>
      <c r="CK196">
        <v>1</v>
      </c>
      <c r="CL196">
        <v>0</v>
      </c>
      <c r="CN196">
        <v>16</v>
      </c>
      <c r="CO196">
        <v>3</v>
      </c>
      <c r="CP196" t="s">
        <v>1046</v>
      </c>
      <c r="CQ196">
        <v>4</v>
      </c>
      <c r="CR196">
        <v>4</v>
      </c>
      <c r="EB196">
        <v>0</v>
      </c>
      <c r="EC196">
        <v>1</v>
      </c>
      <c r="ED196">
        <v>0</v>
      </c>
      <c r="EE196">
        <v>0</v>
      </c>
      <c r="EF196">
        <v>1</v>
      </c>
      <c r="EG196">
        <v>0</v>
      </c>
      <c r="EH196">
        <v>0</v>
      </c>
      <c r="EI196">
        <v>0</v>
      </c>
      <c r="EJ196">
        <v>0</v>
      </c>
      <c r="EK196">
        <v>0</v>
      </c>
      <c r="EM196">
        <v>0</v>
      </c>
      <c r="EN196">
        <v>0</v>
      </c>
      <c r="EO196">
        <v>0</v>
      </c>
      <c r="EP196">
        <v>0</v>
      </c>
      <c r="EQ196">
        <v>0</v>
      </c>
      <c r="ER196">
        <v>0</v>
      </c>
      <c r="ES196">
        <v>0</v>
      </c>
      <c r="ET196">
        <v>0</v>
      </c>
      <c r="EU196">
        <v>0</v>
      </c>
      <c r="EV196">
        <v>0</v>
      </c>
      <c r="EW196">
        <v>1</v>
      </c>
      <c r="EX196">
        <v>0</v>
      </c>
      <c r="EY196">
        <v>0</v>
      </c>
      <c r="IZ196">
        <v>0</v>
      </c>
      <c r="JA196">
        <v>0</v>
      </c>
      <c r="JB196">
        <v>0</v>
      </c>
      <c r="JC196">
        <v>0</v>
      </c>
      <c r="JD196">
        <v>0</v>
      </c>
      <c r="JE196">
        <v>0</v>
      </c>
      <c r="JF196">
        <v>0</v>
      </c>
      <c r="JG196">
        <v>0</v>
      </c>
      <c r="JH196">
        <v>0</v>
      </c>
      <c r="JI196">
        <v>0</v>
      </c>
      <c r="JJ196">
        <v>1</v>
      </c>
      <c r="JL196">
        <v>2</v>
      </c>
      <c r="JM196" cm="1">
        <f t="array" ref="JM196">IF(OR(JN196:JQ196 &lt;&gt; ""), 1, 0)</f>
        <v>0</v>
      </c>
    </row>
    <row r="197" spans="1:278" x14ac:dyDescent="0.35">
      <c r="A197">
        <v>405334</v>
      </c>
      <c r="C197">
        <v>1</v>
      </c>
      <c r="D197" t="s">
        <v>1047</v>
      </c>
      <c r="E197" t="str">
        <f>_xlfn.XLOOKUP(I197, [1]SchoolDistrictStudyWODuplicates!$K:$K, [1]SchoolDistrictStudyWODuplicates!$E:$E, "")</f>
        <v/>
      </c>
      <c r="G197" t="s">
        <v>1048</v>
      </c>
      <c r="H197" s="7">
        <v>4224320</v>
      </c>
      <c r="I197" s="7">
        <v>4224320</v>
      </c>
      <c r="J197" s="5" t="e">
        <f>_xlfn.XLOOKUP(I197,#REF!,#REF!,"Not Determined")</f>
        <v>#REF!</v>
      </c>
      <c r="K197" s="5" t="s">
        <v>1023</v>
      </c>
      <c r="L197" t="s">
        <v>1023</v>
      </c>
      <c r="M197" s="13" t="e">
        <f>_xlfn.XLOOKUP(I197,#REF!,#REF!, "No")</f>
        <v>#REF!</v>
      </c>
      <c r="N197" s="5" t="str">
        <f t="shared" si="33"/>
        <v>No</v>
      </c>
      <c r="O197" s="5" t="str">
        <f t="shared" si="34"/>
        <v>Yes</v>
      </c>
      <c r="P197" s="5" t="str">
        <f t="shared" si="35"/>
        <v>Yes</v>
      </c>
      <c r="Q197" s="5" t="str">
        <f t="shared" si="36"/>
        <v>Yes</v>
      </c>
      <c r="R197" s="5" t="str">
        <f t="shared" si="37"/>
        <v>Yes</v>
      </c>
      <c r="S197" s="5" t="str">
        <f t="shared" si="38"/>
        <v>Yes</v>
      </c>
      <c r="T197" s="5" t="str">
        <f t="shared" si="39"/>
        <v>Yes</v>
      </c>
      <c r="U197" s="5" t="str">
        <f t="shared" si="40"/>
        <v>Yes</v>
      </c>
      <c r="V197" s="5" t="str" cm="1">
        <f t="array" ref="V197">IF(OR(DB197:DG197 =1), "Yes", "No")</f>
        <v>No</v>
      </c>
      <c r="W197" s="5" t="str">
        <f t="shared" si="41"/>
        <v>Yes</v>
      </c>
      <c r="X197" s="5" t="str">
        <f t="shared" si="42"/>
        <v>No</v>
      </c>
      <c r="Y197" s="5" t="str">
        <f t="shared" si="43"/>
        <v>No</v>
      </c>
      <c r="Z197">
        <v>2</v>
      </c>
      <c r="AB197">
        <v>1</v>
      </c>
      <c r="AC197">
        <v>1</v>
      </c>
      <c r="AD197">
        <v>0</v>
      </c>
      <c r="AE197">
        <v>0</v>
      </c>
      <c r="AF197">
        <v>0</v>
      </c>
      <c r="AG197">
        <v>0</v>
      </c>
      <c r="AH197">
        <v>0</v>
      </c>
      <c r="AI197">
        <v>0</v>
      </c>
      <c r="AJ197">
        <v>0</v>
      </c>
      <c r="AK197">
        <v>1</v>
      </c>
      <c r="AM197">
        <v>0</v>
      </c>
      <c r="AN197">
        <v>1</v>
      </c>
      <c r="AO197">
        <v>0</v>
      </c>
      <c r="AQ197">
        <v>100</v>
      </c>
      <c r="AT197">
        <v>100</v>
      </c>
      <c r="AV197">
        <v>1</v>
      </c>
      <c r="AW197">
        <v>0</v>
      </c>
      <c r="AX197">
        <v>0</v>
      </c>
      <c r="AY197">
        <v>0</v>
      </c>
      <c r="AZ197">
        <v>0</v>
      </c>
      <c r="BA197">
        <v>0</v>
      </c>
      <c r="BC197">
        <v>1</v>
      </c>
      <c r="BE197">
        <v>1</v>
      </c>
      <c r="BG197">
        <v>1</v>
      </c>
      <c r="BH197">
        <v>1</v>
      </c>
      <c r="BI197">
        <v>3</v>
      </c>
      <c r="BJ197">
        <v>2</v>
      </c>
      <c r="BL197">
        <v>2</v>
      </c>
      <c r="BM197">
        <v>1</v>
      </c>
      <c r="BN197">
        <v>1</v>
      </c>
      <c r="BO197">
        <v>1</v>
      </c>
      <c r="BP197">
        <v>0</v>
      </c>
      <c r="BQ197">
        <v>0</v>
      </c>
      <c r="BR197">
        <v>0</v>
      </c>
      <c r="BS197">
        <v>0</v>
      </c>
      <c r="BT197">
        <v>0</v>
      </c>
      <c r="BV197">
        <v>0</v>
      </c>
      <c r="BW197">
        <v>0</v>
      </c>
      <c r="BX197">
        <v>0</v>
      </c>
      <c r="BY197">
        <v>0</v>
      </c>
      <c r="BZ197">
        <v>0</v>
      </c>
      <c r="CA197">
        <v>0</v>
      </c>
      <c r="CB197">
        <v>0</v>
      </c>
      <c r="CC197">
        <v>0</v>
      </c>
      <c r="CD197">
        <v>1</v>
      </c>
      <c r="CE197">
        <v>0</v>
      </c>
      <c r="CF197">
        <v>0</v>
      </c>
      <c r="CG197">
        <v>0</v>
      </c>
      <c r="CH197">
        <v>1</v>
      </c>
      <c r="CI197">
        <v>0</v>
      </c>
      <c r="CJ197">
        <v>0</v>
      </c>
      <c r="CK197">
        <v>0</v>
      </c>
      <c r="CL197">
        <v>0</v>
      </c>
      <c r="CN197">
        <v>9</v>
      </c>
      <c r="CO197">
        <v>2</v>
      </c>
      <c r="CP197" t="s">
        <v>1049</v>
      </c>
      <c r="CQ197">
        <v>3</v>
      </c>
      <c r="CR197">
        <v>3</v>
      </c>
      <c r="EB197">
        <v>0</v>
      </c>
      <c r="EC197">
        <v>1</v>
      </c>
      <c r="ED197">
        <v>1</v>
      </c>
      <c r="EE197">
        <v>0</v>
      </c>
      <c r="EF197">
        <v>0</v>
      </c>
      <c r="EG197">
        <v>1</v>
      </c>
      <c r="EH197">
        <v>0</v>
      </c>
      <c r="EI197">
        <v>0</v>
      </c>
      <c r="EJ197">
        <v>0</v>
      </c>
      <c r="EK197">
        <v>0</v>
      </c>
      <c r="EM197">
        <v>0</v>
      </c>
      <c r="EN197">
        <v>1</v>
      </c>
      <c r="EO197">
        <v>0</v>
      </c>
      <c r="EP197">
        <v>1</v>
      </c>
      <c r="EQ197">
        <v>0</v>
      </c>
      <c r="ER197">
        <v>0</v>
      </c>
      <c r="ES197">
        <v>0</v>
      </c>
      <c r="ET197">
        <v>0</v>
      </c>
      <c r="EU197">
        <v>0</v>
      </c>
      <c r="EV197">
        <v>0</v>
      </c>
      <c r="EW197">
        <v>1</v>
      </c>
      <c r="EX197">
        <v>0</v>
      </c>
      <c r="EY197">
        <v>0</v>
      </c>
      <c r="FB197" t="s">
        <v>274</v>
      </c>
      <c r="FC197">
        <v>1</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v>0</v>
      </c>
      <c r="FW197">
        <v>0</v>
      </c>
      <c r="FX197">
        <v>0</v>
      </c>
      <c r="IZ197">
        <v>1</v>
      </c>
      <c r="JA197">
        <v>1</v>
      </c>
      <c r="JB197">
        <v>0</v>
      </c>
      <c r="JC197">
        <v>0</v>
      </c>
      <c r="JD197">
        <v>0</v>
      </c>
      <c r="JE197">
        <v>0</v>
      </c>
      <c r="JF197">
        <v>1</v>
      </c>
      <c r="JG197">
        <v>0</v>
      </c>
      <c r="JH197">
        <v>0</v>
      </c>
      <c r="JI197">
        <v>0</v>
      </c>
      <c r="JJ197">
        <v>0</v>
      </c>
      <c r="JL197">
        <v>1</v>
      </c>
      <c r="JM197" cm="1">
        <f t="array" ref="JM197">IF(OR(JN197:JQ197 &lt;&gt; ""), 1, 0)</f>
        <v>1</v>
      </c>
      <c r="JN197">
        <v>0</v>
      </c>
      <c r="JO197">
        <v>1</v>
      </c>
      <c r="JP197">
        <v>0</v>
      </c>
      <c r="JQ197">
        <v>0</v>
      </c>
    </row>
    <row r="198" spans="1:278" x14ac:dyDescent="0.35">
      <c r="A198">
        <v>379378</v>
      </c>
      <c r="C198">
        <v>1</v>
      </c>
      <c r="D198" t="s">
        <v>1050</v>
      </c>
      <c r="E198" t="str">
        <f>_xlfn.XLOOKUP(I198, [1]SchoolDistrictStudyWODuplicates!$K:$K, [1]SchoolDistrictStudyWODuplicates!$E:$E, "")</f>
        <v>Muhlenberg School District</v>
      </c>
      <c r="G198" t="s">
        <v>1051</v>
      </c>
      <c r="H198" s="7">
        <v>4216200</v>
      </c>
      <c r="I198" s="7">
        <v>4216200</v>
      </c>
      <c r="J198" s="5" t="e">
        <f>_xlfn.XLOOKUP(I198,#REF!,#REF!,"Not Determined")</f>
        <v>#REF!</v>
      </c>
      <c r="K198" s="5" t="s">
        <v>1023</v>
      </c>
      <c r="L198" t="s">
        <v>1052</v>
      </c>
      <c r="M198" s="13" t="e">
        <f>_xlfn.XLOOKUP(I198,#REF!,#REF!, "No")</f>
        <v>#REF!</v>
      </c>
      <c r="N198" s="5" t="str">
        <f t="shared" ref="N198:N250" si="44">IF(AZ198 = 1, "Yes", "No")</f>
        <v>No</v>
      </c>
      <c r="O198" s="5" t="str">
        <f t="shared" ref="O198:O250" si="45">IF(OR(BM198&lt;&gt;"",BH198&lt;&gt;"",BJ198&lt;&gt;"",BL198&lt;&gt;""),"Yes","No")</f>
        <v>Yes</v>
      </c>
      <c r="P198" s="5" t="str">
        <f t="shared" ref="P198:P250" si="46">IF(BM198 = 1, "Yes", "No")</f>
        <v>Yes</v>
      </c>
      <c r="Q198" s="5" t="str">
        <f t="shared" ref="Q198:Q250" si="47">IF(OR(BH198 = 1, BJ198 = 1, BL198 = 1), "Yes", "No")</f>
        <v>Yes</v>
      </c>
      <c r="R198" s="5" t="str">
        <f t="shared" ref="R198:R250" si="48">IF(OR(CQ198 = 1, CQ198 = 2, CQ198 = 3, CQ198 = 4, CQ198 = 5), "Yes", "No")</f>
        <v>Yes</v>
      </c>
      <c r="S198" s="5" t="str">
        <f t="shared" ref="S198:S250" si="49">IF(OR(CR198 = 1, CR198 = 2, CR198 = 3, CR198 = 4, CR198 = 5), "Yes", "No")</f>
        <v>Yes</v>
      </c>
      <c r="T198" s="5" t="str">
        <f t="shared" ref="T198:T250" si="50">IF(OR(CQ198 = 3, CQ198 = 4, CQ198 = 5), "Yes", "No")</f>
        <v>Yes</v>
      </c>
      <c r="U198" s="5" t="str">
        <f t="shared" ref="U198:U250" si="51">IF(OR(CR198 = 3, CR198 = 4, CR198 = 5), "Yes", "No")</f>
        <v>Yes</v>
      </c>
      <c r="V198" s="5" t="str" cm="1">
        <f t="array" ref="V198">IF(OR(DB198:DG198 =1), "Yes", "No")</f>
        <v>No</v>
      </c>
      <c r="W198" s="5" t="str">
        <f t="shared" ref="W198:W250" si="52">IF(JL198 =1, "Yes", "No")</f>
        <v>No</v>
      </c>
      <c r="X198" s="5" t="str">
        <f t="shared" ref="X198:X250" si="53">IF(DL198 =1, "Yes", "No")</f>
        <v>No</v>
      </c>
      <c r="Y198" s="5" t="str">
        <f t="shared" ref="Y198:Y250" si="54">IF(DN198 = 1, "Yes", "No")</f>
        <v>No</v>
      </c>
      <c r="Z198">
        <v>7</v>
      </c>
      <c r="AB198">
        <v>1</v>
      </c>
      <c r="AC198">
        <v>0</v>
      </c>
      <c r="AD198">
        <v>0</v>
      </c>
      <c r="AE198">
        <v>1</v>
      </c>
      <c r="AF198">
        <v>0</v>
      </c>
      <c r="AG198">
        <v>1</v>
      </c>
      <c r="AH198">
        <v>1</v>
      </c>
      <c r="AI198">
        <v>0</v>
      </c>
      <c r="AJ198">
        <v>0</v>
      </c>
      <c r="AK198">
        <v>1</v>
      </c>
      <c r="AM198">
        <v>1</v>
      </c>
      <c r="AN198">
        <v>1</v>
      </c>
      <c r="AO198">
        <v>0</v>
      </c>
      <c r="AP198">
        <v>10</v>
      </c>
      <c r="AQ198">
        <v>48</v>
      </c>
      <c r="AS198">
        <v>10</v>
      </c>
      <c r="AT198">
        <v>48</v>
      </c>
      <c r="AV198">
        <v>1</v>
      </c>
      <c r="AW198">
        <v>1</v>
      </c>
      <c r="AX198">
        <v>0</v>
      </c>
      <c r="AY198">
        <v>0</v>
      </c>
      <c r="AZ198">
        <v>0</v>
      </c>
      <c r="BA198">
        <v>0</v>
      </c>
      <c r="BC198">
        <v>1</v>
      </c>
      <c r="BE198">
        <v>2</v>
      </c>
      <c r="BG198">
        <v>1</v>
      </c>
      <c r="BH198">
        <v>1</v>
      </c>
      <c r="BI198">
        <v>4</v>
      </c>
      <c r="BJ198">
        <v>1</v>
      </c>
      <c r="BK198">
        <v>4</v>
      </c>
      <c r="BL198">
        <v>1</v>
      </c>
      <c r="BM198">
        <v>1</v>
      </c>
      <c r="BN198">
        <v>2</v>
      </c>
      <c r="BV198">
        <v>0</v>
      </c>
      <c r="BW198">
        <v>0</v>
      </c>
      <c r="BX198">
        <v>0</v>
      </c>
      <c r="BY198">
        <v>1</v>
      </c>
      <c r="BZ198">
        <v>0</v>
      </c>
      <c r="CA198">
        <v>0</v>
      </c>
      <c r="CB198">
        <v>0</v>
      </c>
      <c r="CC198">
        <v>0</v>
      </c>
      <c r="CD198">
        <v>1</v>
      </c>
      <c r="CE198">
        <v>0</v>
      </c>
      <c r="CF198">
        <v>1</v>
      </c>
      <c r="CG198">
        <v>1</v>
      </c>
      <c r="CH198">
        <v>0</v>
      </c>
      <c r="CI198">
        <v>0</v>
      </c>
      <c r="CJ198">
        <v>0</v>
      </c>
      <c r="CK198">
        <v>1</v>
      </c>
      <c r="CL198">
        <v>0</v>
      </c>
      <c r="CN198">
        <v>16</v>
      </c>
      <c r="CO198">
        <v>4</v>
      </c>
      <c r="CQ198">
        <v>5</v>
      </c>
      <c r="CR198">
        <v>5</v>
      </c>
      <c r="EB198">
        <v>0</v>
      </c>
      <c r="EC198">
        <v>1</v>
      </c>
      <c r="ED198">
        <v>1</v>
      </c>
      <c r="EE198">
        <v>0</v>
      </c>
      <c r="EF198">
        <v>0</v>
      </c>
      <c r="EG198">
        <v>1</v>
      </c>
      <c r="EH198">
        <v>0</v>
      </c>
      <c r="EI198">
        <v>0</v>
      </c>
      <c r="EJ198">
        <v>0</v>
      </c>
      <c r="EK198">
        <v>0</v>
      </c>
      <c r="EM198">
        <v>0</v>
      </c>
      <c r="EN198">
        <v>1</v>
      </c>
      <c r="EO198">
        <v>0</v>
      </c>
      <c r="EP198">
        <v>0</v>
      </c>
      <c r="EQ198">
        <v>0</v>
      </c>
      <c r="ER198">
        <v>0</v>
      </c>
      <c r="ES198">
        <v>0</v>
      </c>
      <c r="ET198">
        <v>0</v>
      </c>
      <c r="EU198">
        <v>0</v>
      </c>
      <c r="EV198">
        <v>0</v>
      </c>
      <c r="EW198">
        <v>0</v>
      </c>
      <c r="EX198">
        <v>0</v>
      </c>
      <c r="EY198">
        <v>0</v>
      </c>
      <c r="FB198" t="s">
        <v>274</v>
      </c>
      <c r="FC198">
        <v>1</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IZ198">
        <v>1</v>
      </c>
      <c r="JA198">
        <v>0</v>
      </c>
      <c r="JB198">
        <v>1</v>
      </c>
      <c r="JC198">
        <v>0</v>
      </c>
      <c r="JD198">
        <v>0</v>
      </c>
      <c r="JE198">
        <v>0</v>
      </c>
      <c r="JF198">
        <v>1</v>
      </c>
      <c r="JG198">
        <v>0</v>
      </c>
      <c r="JH198">
        <v>0</v>
      </c>
      <c r="JI198">
        <v>0</v>
      </c>
      <c r="JJ198">
        <v>0</v>
      </c>
      <c r="JL198">
        <v>2</v>
      </c>
      <c r="JM198" cm="1">
        <f t="array" ref="JM198">IF(OR(JN198:JQ198 &lt;&gt; ""), 1, 0)</f>
        <v>0</v>
      </c>
    </row>
    <row r="199" spans="1:278" x14ac:dyDescent="0.35">
      <c r="A199">
        <v>405234</v>
      </c>
      <c r="C199">
        <v>1</v>
      </c>
      <c r="D199" t="s">
        <v>1053</v>
      </c>
      <c r="E199" t="str">
        <f>_xlfn.XLOOKUP(I199, [1]SchoolDistrictStudyWODuplicates!$K:$K, [1]SchoolDistrictStudyWODuplicates!$E:$E, "")</f>
        <v>West Middlesex Area Schools</v>
      </c>
      <c r="G199" t="s">
        <v>1054</v>
      </c>
      <c r="H199" s="5" t="e">
        <f>_xlfn.XLOOKUP(A199,#REF!,#REF!, "No")</f>
        <v>#REF!</v>
      </c>
      <c r="I199" s="7">
        <v>4225650</v>
      </c>
      <c r="J199" s="5" t="e">
        <f>_xlfn.XLOOKUP(I199,#REF!,#REF!,"Not Determined")</f>
        <v>#REF!</v>
      </c>
      <c r="K199" s="5" t="s">
        <v>1023</v>
      </c>
      <c r="L199" t="s">
        <v>1052</v>
      </c>
      <c r="M199" s="13" t="e">
        <f>_xlfn.XLOOKUP(I199,#REF!,#REF!, "No")</f>
        <v>#REF!</v>
      </c>
      <c r="N199" s="5" t="str">
        <f t="shared" si="44"/>
        <v>No</v>
      </c>
      <c r="O199" s="5" t="str">
        <f t="shared" si="45"/>
        <v>Yes</v>
      </c>
      <c r="P199" s="5" t="str">
        <f t="shared" si="46"/>
        <v>Yes</v>
      </c>
      <c r="Q199" s="5" t="str">
        <f t="shared" si="47"/>
        <v>Yes</v>
      </c>
      <c r="R199" s="5" t="str">
        <f t="shared" si="48"/>
        <v>No</v>
      </c>
      <c r="S199" s="5" t="str">
        <f t="shared" si="49"/>
        <v>Yes</v>
      </c>
      <c r="T199" s="5" t="str">
        <f t="shared" si="50"/>
        <v>No</v>
      </c>
      <c r="U199" s="5" t="str">
        <f t="shared" si="51"/>
        <v>Yes</v>
      </c>
      <c r="V199" s="5" t="str" cm="1">
        <f t="array" ref="V199">IF(OR(DB199:DG199 =1), "Yes", "No")</f>
        <v>No</v>
      </c>
      <c r="W199" s="5" t="str">
        <f t="shared" si="52"/>
        <v>No</v>
      </c>
      <c r="X199" s="5" t="str">
        <f t="shared" si="53"/>
        <v>No</v>
      </c>
      <c r="Y199" s="5" t="str">
        <f t="shared" si="54"/>
        <v>No</v>
      </c>
      <c r="Z199">
        <v>3</v>
      </c>
      <c r="AB199">
        <v>1</v>
      </c>
      <c r="AC199">
        <v>1</v>
      </c>
      <c r="AD199">
        <v>1</v>
      </c>
      <c r="AE199">
        <v>0</v>
      </c>
      <c r="AF199">
        <v>0</v>
      </c>
      <c r="AG199">
        <v>0</v>
      </c>
      <c r="AH199">
        <v>0</v>
      </c>
      <c r="AI199">
        <v>1</v>
      </c>
      <c r="AJ199">
        <v>0</v>
      </c>
      <c r="AK199">
        <v>1</v>
      </c>
      <c r="AM199">
        <v>1</v>
      </c>
      <c r="AN199">
        <v>1</v>
      </c>
      <c r="AO199">
        <v>0</v>
      </c>
      <c r="AP199">
        <v>3</v>
      </c>
      <c r="AQ199">
        <v>14</v>
      </c>
      <c r="AS199">
        <v>3</v>
      </c>
      <c r="AT199">
        <v>14</v>
      </c>
      <c r="AV199">
        <v>1</v>
      </c>
      <c r="AW199">
        <v>1</v>
      </c>
      <c r="AX199">
        <v>0</v>
      </c>
      <c r="AY199">
        <v>0</v>
      </c>
      <c r="AZ199">
        <v>0</v>
      </c>
      <c r="BA199">
        <v>0</v>
      </c>
      <c r="BC199">
        <v>1</v>
      </c>
      <c r="BE199">
        <v>1</v>
      </c>
      <c r="BG199">
        <v>1</v>
      </c>
      <c r="BH199">
        <v>1</v>
      </c>
      <c r="BI199">
        <v>3</v>
      </c>
      <c r="BJ199">
        <v>1</v>
      </c>
      <c r="BK199">
        <v>1</v>
      </c>
      <c r="BL199">
        <v>2</v>
      </c>
      <c r="BM199">
        <v>1</v>
      </c>
      <c r="BN199">
        <v>2</v>
      </c>
      <c r="BV199">
        <v>0</v>
      </c>
      <c r="BW199">
        <v>0</v>
      </c>
      <c r="BX199">
        <v>1</v>
      </c>
      <c r="BY199">
        <v>0</v>
      </c>
      <c r="BZ199">
        <v>1</v>
      </c>
      <c r="CA199">
        <v>0</v>
      </c>
      <c r="CB199">
        <v>0</v>
      </c>
      <c r="CC199">
        <v>0</v>
      </c>
      <c r="CD199">
        <v>1</v>
      </c>
      <c r="CE199">
        <v>0</v>
      </c>
      <c r="CF199">
        <v>0</v>
      </c>
      <c r="CG199">
        <v>0</v>
      </c>
      <c r="CH199">
        <v>0</v>
      </c>
      <c r="CI199">
        <v>0</v>
      </c>
      <c r="CJ199">
        <v>0</v>
      </c>
      <c r="CK199">
        <v>0</v>
      </c>
      <c r="CL199">
        <v>0</v>
      </c>
      <c r="CN199">
        <v>9</v>
      </c>
      <c r="CO199">
        <v>4</v>
      </c>
      <c r="CQ199">
        <v>6</v>
      </c>
      <c r="CR199">
        <v>3</v>
      </c>
      <c r="EB199">
        <v>0</v>
      </c>
      <c r="EC199">
        <v>1</v>
      </c>
      <c r="ED199">
        <v>1</v>
      </c>
      <c r="EE199">
        <v>1</v>
      </c>
      <c r="EF199">
        <v>0</v>
      </c>
      <c r="EG199">
        <v>0</v>
      </c>
      <c r="EH199">
        <v>0</v>
      </c>
      <c r="EI199">
        <v>1</v>
      </c>
      <c r="EJ199">
        <v>0</v>
      </c>
      <c r="EK199">
        <v>0</v>
      </c>
      <c r="EM199">
        <v>0</v>
      </c>
      <c r="EN199">
        <v>1</v>
      </c>
      <c r="EO199">
        <v>0</v>
      </c>
      <c r="EP199">
        <v>0</v>
      </c>
      <c r="EQ199">
        <v>1</v>
      </c>
      <c r="ER199">
        <v>0</v>
      </c>
      <c r="ES199">
        <v>0</v>
      </c>
      <c r="ET199">
        <v>0</v>
      </c>
      <c r="EU199">
        <v>0</v>
      </c>
      <c r="EV199">
        <v>1</v>
      </c>
      <c r="EW199">
        <v>0</v>
      </c>
      <c r="EX199">
        <v>0</v>
      </c>
      <c r="EY199">
        <v>0</v>
      </c>
      <c r="FB199" t="s">
        <v>421</v>
      </c>
      <c r="FC199">
        <v>1</v>
      </c>
      <c r="FD199">
        <v>0</v>
      </c>
      <c r="FE199">
        <v>0</v>
      </c>
      <c r="FF199">
        <v>0</v>
      </c>
      <c r="FG199">
        <v>0</v>
      </c>
      <c r="FH199">
        <v>0</v>
      </c>
      <c r="FI199">
        <v>0</v>
      </c>
      <c r="FJ199">
        <v>0</v>
      </c>
      <c r="FK199">
        <v>0</v>
      </c>
      <c r="FL199">
        <v>0</v>
      </c>
      <c r="FM199">
        <v>0</v>
      </c>
      <c r="FN199">
        <v>0</v>
      </c>
      <c r="FO199">
        <v>0</v>
      </c>
      <c r="FP199">
        <v>0</v>
      </c>
      <c r="FQ199">
        <v>0</v>
      </c>
      <c r="FR199">
        <v>0</v>
      </c>
      <c r="FS199">
        <v>0</v>
      </c>
      <c r="FT199">
        <v>0</v>
      </c>
      <c r="FU199">
        <v>0</v>
      </c>
      <c r="FV199">
        <v>0</v>
      </c>
      <c r="FW199">
        <v>0</v>
      </c>
      <c r="FX199">
        <v>0</v>
      </c>
      <c r="HC199" t="s">
        <v>1055</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1</v>
      </c>
      <c r="ID199">
        <v>0</v>
      </c>
      <c r="IE199">
        <v>0</v>
      </c>
      <c r="IF199">
        <v>0</v>
      </c>
      <c r="IG199">
        <v>0</v>
      </c>
      <c r="IH199">
        <v>0</v>
      </c>
      <c r="II199">
        <v>0</v>
      </c>
      <c r="IJ199">
        <v>0</v>
      </c>
      <c r="IK199">
        <v>0</v>
      </c>
      <c r="IL199">
        <v>0</v>
      </c>
      <c r="IM199">
        <v>0</v>
      </c>
      <c r="IN199">
        <v>0</v>
      </c>
      <c r="IO199">
        <v>0</v>
      </c>
      <c r="IP199">
        <v>0</v>
      </c>
      <c r="IQ199">
        <v>0</v>
      </c>
      <c r="IR199">
        <v>0</v>
      </c>
      <c r="IS199">
        <v>0</v>
      </c>
      <c r="IT199">
        <v>0</v>
      </c>
      <c r="IU199">
        <v>0</v>
      </c>
      <c r="IV199">
        <v>0</v>
      </c>
      <c r="IW199">
        <v>0</v>
      </c>
      <c r="IZ199">
        <v>1</v>
      </c>
      <c r="JA199">
        <v>0</v>
      </c>
      <c r="JB199">
        <v>1</v>
      </c>
      <c r="JC199">
        <v>0</v>
      </c>
      <c r="JD199">
        <v>1</v>
      </c>
      <c r="JE199">
        <v>0</v>
      </c>
      <c r="JF199">
        <v>0</v>
      </c>
      <c r="JG199">
        <v>0</v>
      </c>
      <c r="JH199">
        <v>0</v>
      </c>
      <c r="JI199">
        <v>0</v>
      </c>
      <c r="JJ199">
        <v>0</v>
      </c>
      <c r="JL199">
        <v>2</v>
      </c>
      <c r="JM199" cm="1">
        <f t="array" ref="JM199">IF(OR(JN199:JQ199 &lt;&gt; ""), 1, 0)</f>
        <v>0</v>
      </c>
    </row>
    <row r="200" spans="1:278" x14ac:dyDescent="0.35">
      <c r="A200">
        <v>392892</v>
      </c>
      <c r="C200">
        <v>1</v>
      </c>
      <c r="D200" t="s">
        <v>1056</v>
      </c>
      <c r="E200" t="str">
        <f>_xlfn.XLOOKUP(I200, [1]SchoolDistrictStudyWODuplicates!$K:$K, [1]SchoolDistrictStudyWODuplicates!$E:$E, "")</f>
        <v/>
      </c>
      <c r="G200" t="s">
        <v>1057</v>
      </c>
      <c r="H200" s="5" t="e">
        <f>_xlfn.XLOOKUP(A200,#REF!,#REF!, "No")</f>
        <v>#REF!</v>
      </c>
      <c r="I200" s="7">
        <v>4225950</v>
      </c>
      <c r="J200" s="5" t="e">
        <f>_xlfn.XLOOKUP(I200,#REF!,#REF!,"Not Determined")</f>
        <v>#REF!</v>
      </c>
      <c r="K200" s="5" t="s">
        <v>1023</v>
      </c>
      <c r="L200" t="s">
        <v>1052</v>
      </c>
      <c r="M200" s="13" t="e">
        <f>_xlfn.XLOOKUP(I200,#REF!,#REF!, "No")</f>
        <v>#REF!</v>
      </c>
      <c r="N200" s="5" t="str">
        <f t="shared" si="44"/>
        <v>No</v>
      </c>
      <c r="O200" s="5" t="str">
        <f t="shared" si="45"/>
        <v>Yes</v>
      </c>
      <c r="P200" s="5" t="str">
        <f t="shared" si="46"/>
        <v>Yes</v>
      </c>
      <c r="Q200" s="5" t="str">
        <f t="shared" si="47"/>
        <v>Yes</v>
      </c>
      <c r="R200" s="5" t="str">
        <f t="shared" si="48"/>
        <v>Yes</v>
      </c>
      <c r="S200" s="5" t="str">
        <f t="shared" si="49"/>
        <v>No</v>
      </c>
      <c r="T200" s="5" t="str">
        <f t="shared" si="50"/>
        <v>No</v>
      </c>
      <c r="U200" s="5" t="str">
        <f t="shared" si="51"/>
        <v>No</v>
      </c>
      <c r="V200" s="5" t="str" cm="1">
        <f t="array" ref="V200">IF(OR(DB200:DG200 =1), "Yes", "No")</f>
        <v>No</v>
      </c>
      <c r="W200" s="5" t="str">
        <f t="shared" si="52"/>
        <v>No</v>
      </c>
      <c r="X200" s="5" t="str">
        <f t="shared" si="53"/>
        <v>No</v>
      </c>
      <c r="Y200" s="5" t="str">
        <f t="shared" si="54"/>
        <v>No</v>
      </c>
      <c r="Z200">
        <v>15</v>
      </c>
      <c r="AA200" t="s">
        <v>1058</v>
      </c>
      <c r="AB200">
        <v>1</v>
      </c>
      <c r="AC200">
        <v>0</v>
      </c>
      <c r="AD200">
        <v>1</v>
      </c>
      <c r="AE200">
        <v>1</v>
      </c>
      <c r="AF200">
        <v>1</v>
      </c>
      <c r="AG200">
        <v>0</v>
      </c>
      <c r="AH200">
        <v>0</v>
      </c>
      <c r="AI200">
        <v>0</v>
      </c>
      <c r="AJ200">
        <v>0</v>
      </c>
      <c r="AK200">
        <v>1</v>
      </c>
      <c r="AM200">
        <v>0</v>
      </c>
      <c r="AN200">
        <v>1</v>
      </c>
      <c r="AO200">
        <v>0</v>
      </c>
      <c r="AQ200">
        <v>36</v>
      </c>
      <c r="AT200">
        <v>36</v>
      </c>
      <c r="AV200">
        <v>1</v>
      </c>
      <c r="AW200">
        <v>1</v>
      </c>
      <c r="AX200">
        <v>0</v>
      </c>
      <c r="AY200">
        <v>0</v>
      </c>
      <c r="AZ200">
        <v>0</v>
      </c>
      <c r="BA200">
        <v>0</v>
      </c>
      <c r="BC200">
        <v>1</v>
      </c>
      <c r="BE200">
        <v>2</v>
      </c>
      <c r="BG200">
        <v>1</v>
      </c>
      <c r="BH200">
        <v>1</v>
      </c>
      <c r="BI200">
        <v>4</v>
      </c>
      <c r="BJ200">
        <v>1</v>
      </c>
      <c r="BK200">
        <v>5</v>
      </c>
      <c r="BL200">
        <v>1</v>
      </c>
      <c r="BM200">
        <v>1</v>
      </c>
      <c r="BN200">
        <v>2</v>
      </c>
      <c r="BV200">
        <v>1</v>
      </c>
      <c r="BW200">
        <v>1</v>
      </c>
      <c r="BX200">
        <v>1</v>
      </c>
      <c r="BY200">
        <v>0</v>
      </c>
      <c r="BZ200">
        <v>0</v>
      </c>
      <c r="CA200">
        <v>1</v>
      </c>
      <c r="CB200">
        <v>1</v>
      </c>
      <c r="CC200">
        <v>0</v>
      </c>
      <c r="CD200">
        <v>1</v>
      </c>
      <c r="CE200">
        <v>0</v>
      </c>
      <c r="CF200">
        <v>1</v>
      </c>
      <c r="CG200">
        <v>0</v>
      </c>
      <c r="CH200">
        <v>0</v>
      </c>
      <c r="CI200">
        <v>0</v>
      </c>
      <c r="CJ200">
        <v>0</v>
      </c>
      <c r="CK200">
        <v>0</v>
      </c>
      <c r="CL200">
        <v>0</v>
      </c>
      <c r="CN200">
        <v>6</v>
      </c>
      <c r="CO200">
        <v>4</v>
      </c>
      <c r="CQ200">
        <v>1</v>
      </c>
      <c r="CR200">
        <v>6</v>
      </c>
      <c r="EB200">
        <v>0</v>
      </c>
      <c r="EC200">
        <v>0</v>
      </c>
      <c r="ED200">
        <v>0</v>
      </c>
      <c r="EE200">
        <v>0</v>
      </c>
      <c r="EF200">
        <v>0</v>
      </c>
      <c r="EG200">
        <v>1</v>
      </c>
      <c r="EH200">
        <v>0</v>
      </c>
      <c r="EI200">
        <v>0</v>
      </c>
      <c r="EJ200">
        <v>0</v>
      </c>
      <c r="EK200">
        <v>0</v>
      </c>
      <c r="EM200">
        <v>0</v>
      </c>
      <c r="EN200">
        <v>0</v>
      </c>
      <c r="EO200">
        <v>0</v>
      </c>
      <c r="EP200">
        <v>1</v>
      </c>
      <c r="EQ200">
        <v>0</v>
      </c>
      <c r="ER200">
        <v>0</v>
      </c>
      <c r="ES200">
        <v>0</v>
      </c>
      <c r="ET200">
        <v>0</v>
      </c>
      <c r="EU200">
        <v>0</v>
      </c>
      <c r="EV200">
        <v>0</v>
      </c>
      <c r="EW200">
        <v>0</v>
      </c>
      <c r="EX200">
        <v>0</v>
      </c>
      <c r="EY200">
        <v>0</v>
      </c>
      <c r="IZ200">
        <v>0</v>
      </c>
      <c r="JA200">
        <v>0</v>
      </c>
      <c r="JB200">
        <v>1</v>
      </c>
      <c r="JC200">
        <v>0</v>
      </c>
      <c r="JD200">
        <v>0</v>
      </c>
      <c r="JE200">
        <v>0</v>
      </c>
      <c r="JF200">
        <v>0</v>
      </c>
      <c r="JG200">
        <v>0</v>
      </c>
      <c r="JH200">
        <v>0</v>
      </c>
      <c r="JI200">
        <v>0</v>
      </c>
      <c r="JJ200">
        <v>0</v>
      </c>
      <c r="JL200">
        <v>2</v>
      </c>
      <c r="JM200" cm="1">
        <f t="array" ref="JM200">IF(OR(JN200:JQ200 &lt;&gt; ""), 1, 0)</f>
        <v>0</v>
      </c>
    </row>
    <row r="201" spans="1:278" x14ac:dyDescent="0.35">
      <c r="A201">
        <v>405202</v>
      </c>
      <c r="C201">
        <v>1</v>
      </c>
      <c r="D201" t="s">
        <v>1059</v>
      </c>
      <c r="E201" t="str">
        <f>_xlfn.XLOOKUP(I201, [1]SchoolDistrictStudyWODuplicates!$K:$K, [1]SchoolDistrictStudyWODuplicates!$E:$E, "")</f>
        <v/>
      </c>
      <c r="G201" t="s">
        <v>1060</v>
      </c>
      <c r="H201" s="7">
        <v>4400240</v>
      </c>
      <c r="I201" s="7">
        <v>4400240</v>
      </c>
      <c r="J201" s="5" t="e">
        <f>_xlfn.XLOOKUP(I201,#REF!,#REF!,"Not Determined")</f>
        <v>#REF!</v>
      </c>
      <c r="K201" s="5" t="s">
        <v>1061</v>
      </c>
      <c r="L201" t="s">
        <v>1061</v>
      </c>
      <c r="M201" s="13" t="e">
        <f>_xlfn.XLOOKUP(I201,#REF!,#REF!, "No")</f>
        <v>#REF!</v>
      </c>
      <c r="N201" s="5" t="str">
        <f t="shared" si="44"/>
        <v>No</v>
      </c>
      <c r="O201" s="5" t="str">
        <f t="shared" si="45"/>
        <v>Yes</v>
      </c>
      <c r="P201" s="5" t="str">
        <f t="shared" si="46"/>
        <v>Yes</v>
      </c>
      <c r="Q201" s="5" t="str">
        <f t="shared" si="47"/>
        <v>Yes</v>
      </c>
      <c r="R201" s="5" t="str">
        <f t="shared" si="48"/>
        <v>No</v>
      </c>
      <c r="S201" s="5" t="str">
        <f t="shared" si="49"/>
        <v>No</v>
      </c>
      <c r="T201" s="5" t="str">
        <f t="shared" si="50"/>
        <v>No</v>
      </c>
      <c r="U201" s="5" t="str">
        <f t="shared" si="51"/>
        <v>No</v>
      </c>
      <c r="V201" s="5" t="str" cm="1">
        <f t="array" ref="V201">IF(OR(DB201:DG201 =1), "Yes", "No")</f>
        <v>No</v>
      </c>
      <c r="W201" s="5" t="str">
        <f t="shared" si="52"/>
        <v>No</v>
      </c>
      <c r="X201" s="5" t="str">
        <f t="shared" si="53"/>
        <v>No</v>
      </c>
      <c r="Y201" s="5" t="str">
        <f t="shared" si="54"/>
        <v>No</v>
      </c>
      <c r="Z201">
        <v>3</v>
      </c>
      <c r="AB201">
        <v>1</v>
      </c>
      <c r="AC201">
        <v>1</v>
      </c>
      <c r="AD201">
        <v>1</v>
      </c>
      <c r="AE201">
        <v>0</v>
      </c>
      <c r="AF201">
        <v>0</v>
      </c>
      <c r="AG201">
        <v>0</v>
      </c>
      <c r="AH201">
        <v>0</v>
      </c>
      <c r="AI201">
        <v>0</v>
      </c>
      <c r="AJ201">
        <v>0</v>
      </c>
      <c r="AK201">
        <v>1</v>
      </c>
      <c r="AM201">
        <v>1</v>
      </c>
      <c r="AN201">
        <v>1</v>
      </c>
      <c r="AO201">
        <v>0</v>
      </c>
      <c r="AP201">
        <v>45</v>
      </c>
      <c r="AQ201">
        <v>45</v>
      </c>
      <c r="AS201">
        <v>45</v>
      </c>
      <c r="AT201">
        <v>45</v>
      </c>
      <c r="AV201">
        <v>1</v>
      </c>
      <c r="AW201">
        <v>1</v>
      </c>
      <c r="AX201">
        <v>0</v>
      </c>
      <c r="AY201">
        <v>0</v>
      </c>
      <c r="AZ201">
        <v>0</v>
      </c>
      <c r="BA201">
        <v>0</v>
      </c>
      <c r="BC201">
        <v>2</v>
      </c>
      <c r="BE201">
        <v>1</v>
      </c>
      <c r="BG201">
        <v>1</v>
      </c>
      <c r="BH201">
        <v>1</v>
      </c>
      <c r="BI201">
        <v>5</v>
      </c>
      <c r="BJ201">
        <v>2</v>
      </c>
      <c r="BL201">
        <v>2</v>
      </c>
      <c r="BM201">
        <v>1</v>
      </c>
      <c r="BN201">
        <v>1</v>
      </c>
      <c r="BO201">
        <v>1</v>
      </c>
      <c r="BP201">
        <v>0</v>
      </c>
      <c r="BQ201">
        <v>0</v>
      </c>
      <c r="BR201">
        <v>0</v>
      </c>
      <c r="BS201">
        <v>0</v>
      </c>
      <c r="BT201">
        <v>0</v>
      </c>
      <c r="BV201">
        <v>0</v>
      </c>
      <c r="BW201">
        <v>1</v>
      </c>
      <c r="BX201">
        <v>0</v>
      </c>
      <c r="BY201">
        <v>0</v>
      </c>
      <c r="BZ201">
        <v>0</v>
      </c>
      <c r="CA201">
        <v>0</v>
      </c>
      <c r="CB201">
        <v>0</v>
      </c>
      <c r="CC201">
        <v>0</v>
      </c>
      <c r="CD201">
        <v>1</v>
      </c>
      <c r="CE201">
        <v>1</v>
      </c>
      <c r="CF201">
        <v>0</v>
      </c>
      <c r="CG201">
        <v>0</v>
      </c>
      <c r="CH201">
        <v>0</v>
      </c>
      <c r="CI201">
        <v>0</v>
      </c>
      <c r="CJ201">
        <v>0</v>
      </c>
      <c r="CK201">
        <v>0</v>
      </c>
      <c r="CL201">
        <v>0</v>
      </c>
      <c r="CN201">
        <v>2</v>
      </c>
      <c r="CO201">
        <v>3</v>
      </c>
      <c r="JM201" cm="1">
        <f t="array" ref="JM201">IF(OR(JN201:JQ201 &lt;&gt; ""), 1, 0)</f>
        <v>0</v>
      </c>
    </row>
    <row r="202" spans="1:278" x14ac:dyDescent="0.35">
      <c r="A202">
        <v>405451</v>
      </c>
      <c r="C202">
        <v>1</v>
      </c>
      <c r="D202" t="s">
        <v>1062</v>
      </c>
      <c r="E202" t="str">
        <f>_xlfn.XLOOKUP(I202, [1]SchoolDistrictStudyWODuplicates!$K:$K, [1]SchoolDistrictStudyWODuplicates!$E:$E, "")</f>
        <v/>
      </c>
      <c r="G202" t="s">
        <v>1063</v>
      </c>
      <c r="H202" s="5" t="e">
        <f>_xlfn.XLOOKUP(A202,#REF!,#REF!, "No")</f>
        <v>#REF!</v>
      </c>
      <c r="I202" s="7">
        <v>4666270</v>
      </c>
      <c r="J202" s="5" t="e">
        <f>_xlfn.XLOOKUP(I202,#REF!,#REF!,"Not Determined")</f>
        <v>#REF!</v>
      </c>
      <c r="K202" s="5" t="s">
        <v>1064</v>
      </c>
      <c r="L202" t="s">
        <v>1064</v>
      </c>
      <c r="M202" s="13" t="e">
        <f>_xlfn.XLOOKUP(I202,#REF!,#REF!, "No")</f>
        <v>#REF!</v>
      </c>
      <c r="N202" s="5" t="str">
        <f t="shared" si="44"/>
        <v>No</v>
      </c>
      <c r="O202" s="5" t="str">
        <f t="shared" si="45"/>
        <v>Yes</v>
      </c>
      <c r="P202" s="5" t="str">
        <f t="shared" si="46"/>
        <v>Yes</v>
      </c>
      <c r="Q202" s="5" t="str">
        <f t="shared" si="47"/>
        <v>Yes</v>
      </c>
      <c r="R202" s="5" t="str">
        <f t="shared" si="48"/>
        <v>Yes</v>
      </c>
      <c r="S202" s="5" t="str">
        <f t="shared" si="49"/>
        <v>Yes</v>
      </c>
      <c r="T202" s="5" t="str">
        <f t="shared" si="50"/>
        <v>Yes</v>
      </c>
      <c r="U202" s="5" t="str">
        <f t="shared" si="51"/>
        <v>Yes</v>
      </c>
      <c r="V202" s="5" t="str" cm="1">
        <f t="array" ref="V202">IF(OR(DB202:DG202 =1), "Yes", "No")</f>
        <v>No</v>
      </c>
      <c r="W202" s="5" t="str">
        <f t="shared" si="52"/>
        <v>No</v>
      </c>
      <c r="X202" s="5" t="str">
        <f t="shared" si="53"/>
        <v>No</v>
      </c>
      <c r="Y202" s="5" t="str">
        <f t="shared" si="54"/>
        <v>No</v>
      </c>
      <c r="Z202">
        <v>4</v>
      </c>
      <c r="AB202">
        <v>0</v>
      </c>
      <c r="AC202">
        <v>0</v>
      </c>
      <c r="AD202">
        <v>0</v>
      </c>
      <c r="AE202">
        <v>0</v>
      </c>
      <c r="AF202">
        <v>0</v>
      </c>
      <c r="AG202">
        <v>0</v>
      </c>
      <c r="AH202">
        <v>1</v>
      </c>
      <c r="AI202">
        <v>0</v>
      </c>
      <c r="AJ202">
        <v>0</v>
      </c>
      <c r="AK202">
        <v>1</v>
      </c>
      <c r="AM202">
        <v>1</v>
      </c>
      <c r="AN202">
        <v>1</v>
      </c>
      <c r="AO202">
        <v>1</v>
      </c>
      <c r="AP202">
        <v>7</v>
      </c>
      <c r="AQ202">
        <v>101</v>
      </c>
      <c r="AR202">
        <v>0</v>
      </c>
      <c r="AS202">
        <v>7</v>
      </c>
      <c r="AT202">
        <v>101</v>
      </c>
      <c r="AV202">
        <v>1</v>
      </c>
      <c r="AW202">
        <v>0</v>
      </c>
      <c r="AX202">
        <v>0</v>
      </c>
      <c r="AY202">
        <v>0</v>
      </c>
      <c r="AZ202">
        <v>0</v>
      </c>
      <c r="BA202">
        <v>0</v>
      </c>
      <c r="BC202">
        <v>1</v>
      </c>
      <c r="BE202">
        <v>2</v>
      </c>
      <c r="BG202">
        <v>1</v>
      </c>
      <c r="BH202">
        <v>1</v>
      </c>
      <c r="BI202">
        <v>4</v>
      </c>
      <c r="BJ202">
        <v>2</v>
      </c>
      <c r="BL202">
        <v>2</v>
      </c>
      <c r="BM202">
        <v>1</v>
      </c>
      <c r="BN202">
        <v>2</v>
      </c>
      <c r="BV202">
        <v>0</v>
      </c>
      <c r="BW202">
        <v>0</v>
      </c>
      <c r="BX202">
        <v>0</v>
      </c>
      <c r="BY202">
        <v>1</v>
      </c>
      <c r="BZ202">
        <v>0</v>
      </c>
      <c r="CA202">
        <v>0</v>
      </c>
      <c r="CB202">
        <v>0</v>
      </c>
      <c r="CC202">
        <v>0</v>
      </c>
      <c r="CD202">
        <v>1</v>
      </c>
      <c r="CE202">
        <v>0</v>
      </c>
      <c r="CF202">
        <v>0</v>
      </c>
      <c r="CG202">
        <v>0</v>
      </c>
      <c r="CH202">
        <v>0</v>
      </c>
      <c r="CI202">
        <v>0</v>
      </c>
      <c r="CJ202">
        <v>0</v>
      </c>
      <c r="CK202">
        <v>1</v>
      </c>
      <c r="CL202">
        <v>0</v>
      </c>
      <c r="CN202">
        <v>16</v>
      </c>
      <c r="CO202">
        <v>4</v>
      </c>
      <c r="CQ202">
        <v>4</v>
      </c>
      <c r="CR202">
        <v>4</v>
      </c>
      <c r="EB202">
        <v>0</v>
      </c>
      <c r="EC202">
        <v>1</v>
      </c>
      <c r="ED202">
        <v>1</v>
      </c>
      <c r="EE202">
        <v>0</v>
      </c>
      <c r="EF202">
        <v>0</v>
      </c>
      <c r="EG202">
        <v>1</v>
      </c>
      <c r="EH202">
        <v>0</v>
      </c>
      <c r="EI202">
        <v>0</v>
      </c>
      <c r="EJ202">
        <v>0</v>
      </c>
      <c r="EK202">
        <v>0</v>
      </c>
      <c r="EM202">
        <v>0</v>
      </c>
      <c r="EN202">
        <v>1</v>
      </c>
      <c r="EO202">
        <v>0</v>
      </c>
      <c r="EP202">
        <v>1</v>
      </c>
      <c r="EQ202">
        <v>1</v>
      </c>
      <c r="ER202">
        <v>0</v>
      </c>
      <c r="ES202">
        <v>0</v>
      </c>
      <c r="ET202">
        <v>0</v>
      </c>
      <c r="EU202">
        <v>1</v>
      </c>
      <c r="EV202">
        <v>0</v>
      </c>
      <c r="EW202">
        <v>1</v>
      </c>
      <c r="EX202">
        <v>0</v>
      </c>
      <c r="EY202">
        <v>0</v>
      </c>
      <c r="FB202" t="s">
        <v>1065</v>
      </c>
      <c r="FC202">
        <v>1</v>
      </c>
      <c r="FD202">
        <v>1</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IZ202">
        <v>0</v>
      </c>
      <c r="JA202">
        <v>0</v>
      </c>
      <c r="JB202">
        <v>0</v>
      </c>
      <c r="JC202">
        <v>0</v>
      </c>
      <c r="JD202">
        <v>0</v>
      </c>
      <c r="JE202">
        <v>0</v>
      </c>
      <c r="JF202">
        <v>0</v>
      </c>
      <c r="JG202">
        <v>0</v>
      </c>
      <c r="JH202">
        <v>0</v>
      </c>
      <c r="JI202">
        <v>0</v>
      </c>
      <c r="JJ202">
        <v>1</v>
      </c>
      <c r="JL202">
        <v>2</v>
      </c>
      <c r="JM202" cm="1">
        <f t="array" ref="JM202">IF(OR(JN202:JQ202 &lt;&gt; ""), 1, 0)</f>
        <v>0</v>
      </c>
    </row>
    <row r="203" spans="1:278" x14ac:dyDescent="0.35">
      <c r="A203">
        <v>405448</v>
      </c>
      <c r="C203">
        <v>1</v>
      </c>
      <c r="D203" t="s">
        <v>1066</v>
      </c>
      <c r="E203" t="str">
        <f>_xlfn.XLOOKUP(I203, [1]SchoolDistrictStudyWODuplicates!$K:$K, [1]SchoolDistrictStudyWODuplicates!$E:$E, "")</f>
        <v/>
      </c>
      <c r="G203" t="s">
        <v>1067</v>
      </c>
      <c r="H203" s="5" t="e">
        <f>_xlfn.XLOOKUP(A203,#REF!,#REF!, "No")</f>
        <v>#REF!</v>
      </c>
      <c r="I203" s="7">
        <v>4701650</v>
      </c>
      <c r="J203" s="5" t="e">
        <f>_xlfn.XLOOKUP(I203,#REF!,#REF!,"Not Determined")</f>
        <v>#REF!</v>
      </c>
      <c r="K203" s="5" t="s">
        <v>1142</v>
      </c>
      <c r="L203" t="s">
        <v>1068</v>
      </c>
      <c r="M203" s="13" t="e">
        <f>_xlfn.XLOOKUP(I203,#REF!,#REF!, "No")</f>
        <v>#REF!</v>
      </c>
      <c r="N203" s="5" t="str">
        <f t="shared" si="44"/>
        <v>No</v>
      </c>
      <c r="O203" s="5" t="str">
        <f t="shared" si="45"/>
        <v>Yes</v>
      </c>
      <c r="P203" s="5" t="str">
        <f t="shared" si="46"/>
        <v>Yes</v>
      </c>
      <c r="Q203" s="5" t="str">
        <f t="shared" si="47"/>
        <v>No</v>
      </c>
      <c r="R203" s="5" t="str">
        <f t="shared" si="48"/>
        <v>Yes</v>
      </c>
      <c r="S203" s="5" t="str">
        <f t="shared" si="49"/>
        <v>Yes</v>
      </c>
      <c r="T203" s="5" t="str">
        <f t="shared" si="50"/>
        <v>No</v>
      </c>
      <c r="U203" s="5" t="str">
        <f t="shared" si="51"/>
        <v>No</v>
      </c>
      <c r="V203" s="5" t="str" cm="1">
        <f t="array" ref="V203">IF(OR(DB203:DG203 =1), "Yes", "No")</f>
        <v>No</v>
      </c>
      <c r="W203" s="5" t="str">
        <f t="shared" si="52"/>
        <v>No</v>
      </c>
      <c r="X203" s="5" t="str">
        <f t="shared" si="53"/>
        <v>No</v>
      </c>
      <c r="Y203" s="5" t="str">
        <f t="shared" si="54"/>
        <v>No</v>
      </c>
      <c r="Z203">
        <v>3</v>
      </c>
      <c r="AB203">
        <v>1</v>
      </c>
      <c r="AC203">
        <v>0</v>
      </c>
      <c r="AD203">
        <v>1</v>
      </c>
      <c r="AE203">
        <v>0</v>
      </c>
      <c r="AF203">
        <v>0</v>
      </c>
      <c r="AG203">
        <v>0</v>
      </c>
      <c r="AH203">
        <v>0</v>
      </c>
      <c r="AI203">
        <v>0</v>
      </c>
      <c r="AJ203">
        <v>1</v>
      </c>
      <c r="AK203">
        <v>1</v>
      </c>
      <c r="AM203">
        <v>1</v>
      </c>
      <c r="AN203">
        <v>1</v>
      </c>
      <c r="AO203">
        <v>1</v>
      </c>
      <c r="AP203">
        <v>10</v>
      </c>
      <c r="AQ203">
        <v>40</v>
      </c>
      <c r="AR203">
        <v>3</v>
      </c>
      <c r="AS203">
        <v>10</v>
      </c>
      <c r="AT203">
        <v>40</v>
      </c>
      <c r="AU203">
        <v>3</v>
      </c>
      <c r="AV203">
        <v>1</v>
      </c>
      <c r="AW203">
        <v>0</v>
      </c>
      <c r="AX203">
        <v>0</v>
      </c>
      <c r="AY203">
        <v>0</v>
      </c>
      <c r="AZ203">
        <v>0</v>
      </c>
      <c r="BA203">
        <v>0</v>
      </c>
      <c r="BC203">
        <v>1</v>
      </c>
      <c r="BE203">
        <v>1</v>
      </c>
      <c r="BG203">
        <v>2</v>
      </c>
      <c r="BJ203">
        <v>2</v>
      </c>
      <c r="BL203">
        <v>2</v>
      </c>
      <c r="BM203">
        <v>1</v>
      </c>
      <c r="BN203">
        <v>1</v>
      </c>
      <c r="BO203">
        <v>0</v>
      </c>
      <c r="BP203">
        <v>0</v>
      </c>
      <c r="BQ203">
        <v>0</v>
      </c>
      <c r="BR203">
        <v>0</v>
      </c>
      <c r="BS203">
        <v>0</v>
      </c>
      <c r="BT203">
        <v>1</v>
      </c>
      <c r="BU203" t="s">
        <v>1069</v>
      </c>
      <c r="BV203">
        <v>1</v>
      </c>
      <c r="BW203">
        <v>1</v>
      </c>
      <c r="BX203">
        <v>1</v>
      </c>
      <c r="BY203">
        <v>0</v>
      </c>
      <c r="BZ203">
        <v>0</v>
      </c>
      <c r="CA203">
        <v>0</v>
      </c>
      <c r="CB203">
        <v>0</v>
      </c>
      <c r="CC203">
        <v>0</v>
      </c>
      <c r="CD203">
        <v>1</v>
      </c>
      <c r="CE203">
        <v>0</v>
      </c>
      <c r="CF203">
        <v>0</v>
      </c>
      <c r="CG203">
        <v>0</v>
      </c>
      <c r="CH203">
        <v>0</v>
      </c>
      <c r="CI203">
        <v>1</v>
      </c>
      <c r="CJ203">
        <v>0</v>
      </c>
      <c r="CK203">
        <v>0</v>
      </c>
      <c r="CL203">
        <v>0</v>
      </c>
      <c r="CN203">
        <v>1</v>
      </c>
      <c r="CO203">
        <v>4</v>
      </c>
      <c r="CQ203">
        <v>2</v>
      </c>
      <c r="CR203">
        <v>2</v>
      </c>
      <c r="EB203">
        <v>0</v>
      </c>
      <c r="EC203">
        <v>0</v>
      </c>
      <c r="ED203">
        <v>0</v>
      </c>
      <c r="EE203">
        <v>0</v>
      </c>
      <c r="EF203">
        <v>0</v>
      </c>
      <c r="EG203">
        <v>1</v>
      </c>
      <c r="EH203">
        <v>0</v>
      </c>
      <c r="EI203">
        <v>0</v>
      </c>
      <c r="EJ203">
        <v>1</v>
      </c>
      <c r="EK203">
        <v>0</v>
      </c>
      <c r="EL203" t="s">
        <v>1070</v>
      </c>
      <c r="EM203">
        <v>0</v>
      </c>
      <c r="EN203">
        <v>0</v>
      </c>
      <c r="EO203">
        <v>0</v>
      </c>
      <c r="EP203">
        <v>1</v>
      </c>
      <c r="EQ203">
        <v>1</v>
      </c>
      <c r="ER203">
        <v>0</v>
      </c>
      <c r="ES203">
        <v>0</v>
      </c>
      <c r="ET203">
        <v>0</v>
      </c>
      <c r="EU203">
        <v>0</v>
      </c>
      <c r="EV203">
        <v>0</v>
      </c>
      <c r="EW203">
        <v>0</v>
      </c>
      <c r="EX203">
        <v>1</v>
      </c>
      <c r="EY203">
        <v>0</v>
      </c>
      <c r="IX203" t="s">
        <v>1071</v>
      </c>
      <c r="IY203">
        <v>10</v>
      </c>
      <c r="IZ203">
        <v>0</v>
      </c>
      <c r="JA203">
        <v>0</v>
      </c>
      <c r="JB203">
        <v>1</v>
      </c>
      <c r="JC203">
        <v>1</v>
      </c>
      <c r="JD203">
        <v>0</v>
      </c>
      <c r="JE203">
        <v>0</v>
      </c>
      <c r="JF203">
        <v>0</v>
      </c>
      <c r="JG203">
        <v>0</v>
      </c>
      <c r="JH203">
        <v>0</v>
      </c>
      <c r="JI203">
        <v>0</v>
      </c>
      <c r="JJ203">
        <v>0</v>
      </c>
      <c r="JL203">
        <v>2</v>
      </c>
      <c r="JM203" cm="1">
        <f t="array" ref="JM203">IF(OR(JN203:JQ203 &lt;&gt; ""), 1, 0)</f>
        <v>0</v>
      </c>
    </row>
    <row r="204" spans="1:278" x14ac:dyDescent="0.35">
      <c r="A204">
        <v>370551</v>
      </c>
      <c r="C204">
        <v>1</v>
      </c>
      <c r="D204" t="s">
        <v>1078</v>
      </c>
      <c r="E204" t="str">
        <f>_xlfn.XLOOKUP(I204, [1]SchoolDistrictStudyWODuplicates!$K:$K, [1]SchoolDistrictStudyWODuplicates!$E:$E, "")</f>
        <v/>
      </c>
      <c r="G204" t="s">
        <v>1079</v>
      </c>
      <c r="H204" s="7">
        <v>4703870</v>
      </c>
      <c r="I204" s="7">
        <v>4703870</v>
      </c>
      <c r="J204" s="5" t="e">
        <f>_xlfn.XLOOKUP(I204,#REF!,#REF!,"Not Determined")</f>
        <v>#REF!</v>
      </c>
      <c r="K204" s="5" t="s">
        <v>1142</v>
      </c>
      <c r="L204" t="s">
        <v>1068</v>
      </c>
      <c r="M204" s="13" t="e">
        <f>_xlfn.XLOOKUP(I204,#REF!,#REF!, "No")</f>
        <v>#REF!</v>
      </c>
      <c r="N204" s="5" t="str">
        <f t="shared" si="44"/>
        <v>No</v>
      </c>
      <c r="O204" s="5" t="str">
        <f t="shared" si="45"/>
        <v>Yes</v>
      </c>
      <c r="P204" s="5" t="str">
        <f t="shared" si="46"/>
        <v>Yes</v>
      </c>
      <c r="Q204" s="5" t="str">
        <f t="shared" si="47"/>
        <v>Yes</v>
      </c>
      <c r="R204" s="5" t="str">
        <f t="shared" si="48"/>
        <v>Yes</v>
      </c>
      <c r="S204" s="5" t="str">
        <f t="shared" si="49"/>
        <v>Yes</v>
      </c>
      <c r="T204" s="5" t="str">
        <f t="shared" si="50"/>
        <v>Yes</v>
      </c>
      <c r="U204" s="5" t="str">
        <f t="shared" si="51"/>
        <v>Yes</v>
      </c>
      <c r="V204" s="5" t="str" cm="1">
        <f t="array" ref="V204">IF(OR(DB204:DG204 =1), "Yes", "No")</f>
        <v>No</v>
      </c>
      <c r="W204" s="5" t="str">
        <f t="shared" si="52"/>
        <v>Yes</v>
      </c>
      <c r="X204" s="5" t="str">
        <f t="shared" si="53"/>
        <v>No</v>
      </c>
      <c r="Y204" s="5" t="str">
        <f t="shared" si="54"/>
        <v>No</v>
      </c>
      <c r="Z204">
        <v>3</v>
      </c>
      <c r="AB204">
        <v>1</v>
      </c>
      <c r="AC204">
        <v>0</v>
      </c>
      <c r="AD204">
        <v>1</v>
      </c>
      <c r="AE204">
        <v>0</v>
      </c>
      <c r="AF204">
        <v>0</v>
      </c>
      <c r="AG204">
        <v>0</v>
      </c>
      <c r="AH204">
        <v>0</v>
      </c>
      <c r="AI204">
        <v>1</v>
      </c>
      <c r="AJ204">
        <v>0</v>
      </c>
      <c r="AK204">
        <v>1</v>
      </c>
      <c r="AM204">
        <v>1</v>
      </c>
      <c r="AN204">
        <v>1</v>
      </c>
      <c r="AO204">
        <v>1</v>
      </c>
      <c r="AP204">
        <v>0</v>
      </c>
      <c r="AQ204">
        <v>5</v>
      </c>
      <c r="AR204">
        <v>19</v>
      </c>
      <c r="AT204">
        <v>5</v>
      </c>
      <c r="AU204">
        <v>19</v>
      </c>
      <c r="AV204">
        <v>1</v>
      </c>
      <c r="AW204">
        <v>0</v>
      </c>
      <c r="AX204">
        <v>0</v>
      </c>
      <c r="AY204">
        <v>0</v>
      </c>
      <c r="AZ204">
        <v>0</v>
      </c>
      <c r="BA204">
        <v>0</v>
      </c>
      <c r="BC204">
        <v>1</v>
      </c>
      <c r="BE204">
        <v>1</v>
      </c>
      <c r="BG204">
        <v>1</v>
      </c>
      <c r="BH204">
        <v>1</v>
      </c>
      <c r="BI204">
        <v>5</v>
      </c>
      <c r="BJ204">
        <v>1</v>
      </c>
      <c r="BK204">
        <v>4</v>
      </c>
      <c r="BL204">
        <v>2</v>
      </c>
      <c r="BM204">
        <v>1</v>
      </c>
      <c r="BN204">
        <v>2</v>
      </c>
      <c r="BV204">
        <v>0</v>
      </c>
      <c r="BW204">
        <v>0</v>
      </c>
      <c r="BX204">
        <v>1</v>
      </c>
      <c r="BY204">
        <v>0</v>
      </c>
      <c r="BZ204">
        <v>0</v>
      </c>
      <c r="CA204">
        <v>1</v>
      </c>
      <c r="CB204">
        <v>0</v>
      </c>
      <c r="CC204">
        <v>1</v>
      </c>
      <c r="CD204">
        <v>0</v>
      </c>
      <c r="CE204">
        <v>0</v>
      </c>
      <c r="CF204">
        <v>1</v>
      </c>
      <c r="CG204">
        <v>1</v>
      </c>
      <c r="CH204">
        <v>1</v>
      </c>
      <c r="CI204">
        <v>1</v>
      </c>
      <c r="CJ204">
        <v>0</v>
      </c>
      <c r="CK204">
        <v>1</v>
      </c>
      <c r="CL204">
        <v>0</v>
      </c>
      <c r="CN204">
        <v>3</v>
      </c>
      <c r="CO204">
        <v>4</v>
      </c>
      <c r="CQ204">
        <v>3</v>
      </c>
      <c r="CR204">
        <v>3</v>
      </c>
      <c r="EB204">
        <v>0</v>
      </c>
      <c r="EC204">
        <v>1</v>
      </c>
      <c r="ED204">
        <v>1</v>
      </c>
      <c r="EE204">
        <v>1</v>
      </c>
      <c r="EF204">
        <v>0</v>
      </c>
      <c r="EG204">
        <v>0</v>
      </c>
      <c r="EH204">
        <v>0</v>
      </c>
      <c r="EI204">
        <v>0</v>
      </c>
      <c r="EJ204">
        <v>1</v>
      </c>
      <c r="EK204">
        <v>0</v>
      </c>
      <c r="EL204" t="s">
        <v>1080</v>
      </c>
      <c r="EM204">
        <v>0</v>
      </c>
      <c r="EN204">
        <v>1</v>
      </c>
      <c r="EO204">
        <v>0</v>
      </c>
      <c r="EP204">
        <v>0</v>
      </c>
      <c r="EQ204">
        <v>1</v>
      </c>
      <c r="ER204">
        <v>0</v>
      </c>
      <c r="ES204">
        <v>1</v>
      </c>
      <c r="ET204">
        <v>0</v>
      </c>
      <c r="EU204">
        <v>1</v>
      </c>
      <c r="EV204">
        <v>0</v>
      </c>
      <c r="EW204">
        <v>1</v>
      </c>
      <c r="EX204">
        <v>1</v>
      </c>
      <c r="EY204">
        <v>0</v>
      </c>
      <c r="FB204" t="s">
        <v>1081</v>
      </c>
      <c r="FC204">
        <v>1</v>
      </c>
      <c r="FD204">
        <v>1</v>
      </c>
      <c r="FE204">
        <v>0</v>
      </c>
      <c r="FF204">
        <v>0</v>
      </c>
      <c r="FG204">
        <v>0</v>
      </c>
      <c r="FH204">
        <v>0</v>
      </c>
      <c r="FI204">
        <v>0</v>
      </c>
      <c r="FJ204">
        <v>0</v>
      </c>
      <c r="FK204">
        <v>0</v>
      </c>
      <c r="FL204">
        <v>0</v>
      </c>
      <c r="FM204">
        <v>0</v>
      </c>
      <c r="FN204">
        <v>0</v>
      </c>
      <c r="FO204">
        <v>0</v>
      </c>
      <c r="FP204">
        <v>0</v>
      </c>
      <c r="FQ204">
        <v>0</v>
      </c>
      <c r="FR204">
        <v>0</v>
      </c>
      <c r="FS204">
        <v>0</v>
      </c>
      <c r="FT204">
        <v>0</v>
      </c>
      <c r="FU204">
        <v>0</v>
      </c>
      <c r="FV204">
        <v>0</v>
      </c>
      <c r="FW204">
        <v>0</v>
      </c>
      <c r="FX204">
        <v>0</v>
      </c>
      <c r="GS204" t="s">
        <v>1082</v>
      </c>
      <c r="GT204">
        <v>0</v>
      </c>
      <c r="GU204">
        <v>1</v>
      </c>
      <c r="GV204">
        <v>0</v>
      </c>
      <c r="GW204">
        <v>0</v>
      </c>
      <c r="GX204">
        <v>0</v>
      </c>
      <c r="GY204">
        <v>0</v>
      </c>
      <c r="GZ204">
        <v>0</v>
      </c>
      <c r="HA204">
        <v>0</v>
      </c>
      <c r="HB204">
        <v>0</v>
      </c>
      <c r="IX204" t="s">
        <v>1083</v>
      </c>
      <c r="IY204">
        <v>12</v>
      </c>
      <c r="IZ204">
        <v>1</v>
      </c>
      <c r="JA204">
        <v>0</v>
      </c>
      <c r="JB204">
        <v>0</v>
      </c>
      <c r="JC204">
        <v>0</v>
      </c>
      <c r="JD204">
        <v>0</v>
      </c>
      <c r="JE204">
        <v>0</v>
      </c>
      <c r="JF204">
        <v>0</v>
      </c>
      <c r="JG204">
        <v>0</v>
      </c>
      <c r="JH204">
        <v>0</v>
      </c>
      <c r="JI204">
        <v>0</v>
      </c>
      <c r="JJ204">
        <v>0</v>
      </c>
      <c r="JL204">
        <v>1</v>
      </c>
      <c r="JM204" cm="1">
        <f t="array" ref="JM204">IF(OR(JN204:JQ204 &lt;&gt; ""), 1, 0)</f>
        <v>1</v>
      </c>
      <c r="JN204">
        <v>0</v>
      </c>
      <c r="JO204">
        <v>0</v>
      </c>
      <c r="JP204">
        <v>0</v>
      </c>
      <c r="JQ204">
        <v>1</v>
      </c>
      <c r="JR204" t="s">
        <v>1084</v>
      </c>
    </row>
    <row r="205" spans="1:278" x14ac:dyDescent="0.35">
      <c r="A205">
        <v>397058</v>
      </c>
      <c r="C205">
        <v>1</v>
      </c>
      <c r="D205" t="s">
        <v>1085</v>
      </c>
      <c r="E205" t="str">
        <f>_xlfn.XLOOKUP(I205, [1]SchoolDistrictStudyWODuplicates!$K:$K, [1]SchoolDistrictStudyWODuplicates!$E:$E, "")</f>
        <v/>
      </c>
      <c r="G205" t="s">
        <v>1086</v>
      </c>
      <c r="H205" s="7">
        <v>4704550</v>
      </c>
      <c r="I205" s="7">
        <v>4704550</v>
      </c>
      <c r="J205" s="5" t="e">
        <f>_xlfn.XLOOKUP(I205,#REF!,#REF!,"Not Determined")</f>
        <v>#REF!</v>
      </c>
      <c r="K205" s="5" t="s">
        <v>1142</v>
      </c>
      <c r="L205" t="s">
        <v>1068</v>
      </c>
      <c r="M205" s="13" t="e">
        <f>_xlfn.XLOOKUP(I205,#REF!,#REF!, "No")</f>
        <v>#REF!</v>
      </c>
      <c r="N205" s="5" t="str">
        <f t="shared" si="44"/>
        <v>No</v>
      </c>
      <c r="O205" s="5" t="str">
        <f t="shared" si="45"/>
        <v>Yes</v>
      </c>
      <c r="P205" s="5" t="str">
        <f t="shared" si="46"/>
        <v>Yes</v>
      </c>
      <c r="Q205" s="5" t="str">
        <f t="shared" si="47"/>
        <v>Yes</v>
      </c>
      <c r="R205" s="5" t="str">
        <f t="shared" si="48"/>
        <v>Yes</v>
      </c>
      <c r="S205" s="5" t="str">
        <f t="shared" si="49"/>
        <v>Yes</v>
      </c>
      <c r="T205" s="5" t="str">
        <f t="shared" si="50"/>
        <v>Yes</v>
      </c>
      <c r="U205" s="5" t="str">
        <f t="shared" si="51"/>
        <v>Yes</v>
      </c>
      <c r="V205" s="5" t="str" cm="1">
        <f t="array" ref="V205">IF(OR(DB205:DG205 =1), "Yes", "No")</f>
        <v>No</v>
      </c>
      <c r="W205" s="5" t="str">
        <f t="shared" si="52"/>
        <v>Yes</v>
      </c>
      <c r="X205" s="5" t="str">
        <f t="shared" si="53"/>
        <v>No</v>
      </c>
      <c r="Y205" s="5" t="str">
        <f t="shared" si="54"/>
        <v>No</v>
      </c>
      <c r="Z205">
        <v>5</v>
      </c>
      <c r="AB205">
        <v>1</v>
      </c>
      <c r="AC205">
        <v>0</v>
      </c>
      <c r="AD205">
        <v>1</v>
      </c>
      <c r="AE205">
        <v>0</v>
      </c>
      <c r="AF205">
        <v>1</v>
      </c>
      <c r="AG205">
        <v>0</v>
      </c>
      <c r="AH205">
        <v>0</v>
      </c>
      <c r="AI205">
        <v>0</v>
      </c>
      <c r="AJ205">
        <v>0</v>
      </c>
      <c r="AK205">
        <v>1</v>
      </c>
      <c r="AM205">
        <v>0</v>
      </c>
      <c r="AN205">
        <v>1</v>
      </c>
      <c r="AO205">
        <v>1</v>
      </c>
      <c r="AQ205">
        <v>60</v>
      </c>
      <c r="AR205">
        <v>120</v>
      </c>
      <c r="AT205">
        <v>60</v>
      </c>
      <c r="AU205">
        <v>120</v>
      </c>
      <c r="AV205">
        <v>1</v>
      </c>
      <c r="AW205">
        <v>0</v>
      </c>
      <c r="AX205">
        <v>0</v>
      </c>
      <c r="AY205">
        <v>0</v>
      </c>
      <c r="AZ205">
        <v>0</v>
      </c>
      <c r="BA205">
        <v>0</v>
      </c>
      <c r="BC205">
        <v>1</v>
      </c>
      <c r="BE205">
        <v>1</v>
      </c>
      <c r="BG205">
        <v>1</v>
      </c>
      <c r="BH205">
        <v>1</v>
      </c>
      <c r="BI205">
        <v>4</v>
      </c>
      <c r="BJ205">
        <v>2</v>
      </c>
      <c r="BL205">
        <v>2</v>
      </c>
      <c r="BM205">
        <v>1</v>
      </c>
      <c r="BN205">
        <v>2</v>
      </c>
      <c r="BV205">
        <v>0</v>
      </c>
      <c r="BW205">
        <v>0</v>
      </c>
      <c r="BX205">
        <v>1</v>
      </c>
      <c r="BY205">
        <v>1</v>
      </c>
      <c r="BZ205">
        <v>1</v>
      </c>
      <c r="CA205">
        <v>0</v>
      </c>
      <c r="CB205">
        <v>0</v>
      </c>
      <c r="CC205">
        <v>0</v>
      </c>
      <c r="CD205">
        <v>1</v>
      </c>
      <c r="CE205">
        <v>1</v>
      </c>
      <c r="CF205">
        <v>1</v>
      </c>
      <c r="CG205">
        <v>0</v>
      </c>
      <c r="CH205">
        <v>0</v>
      </c>
      <c r="CI205">
        <v>1</v>
      </c>
      <c r="CJ205">
        <v>0</v>
      </c>
      <c r="CK205">
        <v>1</v>
      </c>
      <c r="CL205">
        <v>0</v>
      </c>
      <c r="CN205">
        <v>16</v>
      </c>
      <c r="CO205">
        <v>4</v>
      </c>
      <c r="CQ205">
        <v>3</v>
      </c>
      <c r="CR205">
        <v>4</v>
      </c>
      <c r="EB205">
        <v>0</v>
      </c>
      <c r="EC205">
        <v>0</v>
      </c>
      <c r="ED205">
        <v>1</v>
      </c>
      <c r="EE205">
        <v>1</v>
      </c>
      <c r="EF205">
        <v>1</v>
      </c>
      <c r="EG205">
        <v>0</v>
      </c>
      <c r="EH205">
        <v>0</v>
      </c>
      <c r="EI205">
        <v>0</v>
      </c>
      <c r="EJ205">
        <v>0</v>
      </c>
      <c r="EK205">
        <v>0</v>
      </c>
      <c r="EM205">
        <v>0</v>
      </c>
      <c r="EN205">
        <v>1</v>
      </c>
      <c r="EO205">
        <v>0</v>
      </c>
      <c r="EP205">
        <v>0</v>
      </c>
      <c r="EQ205">
        <v>1</v>
      </c>
      <c r="ER205">
        <v>0</v>
      </c>
      <c r="ES205">
        <v>0</v>
      </c>
      <c r="ET205">
        <v>0</v>
      </c>
      <c r="EU205">
        <v>0</v>
      </c>
      <c r="EV205">
        <v>1</v>
      </c>
      <c r="EW205">
        <v>1</v>
      </c>
      <c r="EX205">
        <v>0</v>
      </c>
      <c r="EY205">
        <v>0</v>
      </c>
      <c r="FB205" t="s">
        <v>365</v>
      </c>
      <c r="FC205">
        <v>1</v>
      </c>
      <c r="FD205">
        <v>1</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HC205" t="s">
        <v>1087</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c r="IL205">
        <v>0</v>
      </c>
      <c r="IM205">
        <v>0</v>
      </c>
      <c r="IN205">
        <v>0</v>
      </c>
      <c r="IO205">
        <v>0</v>
      </c>
      <c r="IP205">
        <v>1</v>
      </c>
      <c r="IQ205">
        <v>0</v>
      </c>
      <c r="IR205">
        <v>0</v>
      </c>
      <c r="IS205">
        <v>0</v>
      </c>
      <c r="IT205">
        <v>0</v>
      </c>
      <c r="IU205">
        <v>0</v>
      </c>
      <c r="IV205">
        <v>0</v>
      </c>
      <c r="IW205">
        <v>0</v>
      </c>
      <c r="IZ205">
        <v>0</v>
      </c>
      <c r="JA205">
        <v>0</v>
      </c>
      <c r="JB205">
        <v>0</v>
      </c>
      <c r="JC205">
        <v>0</v>
      </c>
      <c r="JD205">
        <v>0</v>
      </c>
      <c r="JE205">
        <v>0</v>
      </c>
      <c r="JF205">
        <v>0</v>
      </c>
      <c r="JG205">
        <v>0</v>
      </c>
      <c r="JH205">
        <v>0</v>
      </c>
      <c r="JI205">
        <v>0</v>
      </c>
      <c r="JJ205">
        <v>1</v>
      </c>
      <c r="JL205">
        <v>1</v>
      </c>
      <c r="JM205" cm="1">
        <f t="array" ref="JM205">IF(OR(JN205:JQ205 &lt;&gt; ""), 1, 0)</f>
        <v>1</v>
      </c>
      <c r="JN205">
        <v>1</v>
      </c>
      <c r="JO205">
        <v>0</v>
      </c>
      <c r="JP205">
        <v>0</v>
      </c>
      <c r="JQ205">
        <v>0</v>
      </c>
    </row>
    <row r="206" spans="1:278" x14ac:dyDescent="0.35">
      <c r="A206">
        <v>397211</v>
      </c>
      <c r="C206">
        <v>1</v>
      </c>
      <c r="D206" t="s">
        <v>1088</v>
      </c>
      <c r="E206" t="str">
        <f>_xlfn.XLOOKUP(I206, [1]SchoolDistrictStudyWODuplicates!$K:$K, [1]SchoolDistrictStudyWODuplicates!$E:$E, "")</f>
        <v/>
      </c>
      <c r="G206" t="s">
        <v>1089</v>
      </c>
      <c r="H206" s="7">
        <v>4808670</v>
      </c>
      <c r="I206" s="7">
        <v>4808670</v>
      </c>
      <c r="J206" s="5" t="e">
        <f>_xlfn.XLOOKUP(I206,#REF!,#REF!,"Not Determined")</f>
        <v>#REF!</v>
      </c>
      <c r="K206" s="5" t="s">
        <v>1149</v>
      </c>
      <c r="L206" t="s">
        <v>1090</v>
      </c>
      <c r="M206" s="13" t="e">
        <f>_xlfn.XLOOKUP(I206,#REF!,#REF!, "No")</f>
        <v>#REF!</v>
      </c>
      <c r="N206" s="5" t="str">
        <f t="shared" si="44"/>
        <v>No</v>
      </c>
      <c r="O206" s="5" t="str">
        <f t="shared" si="45"/>
        <v>Yes</v>
      </c>
      <c r="P206" s="5" t="str">
        <f t="shared" si="46"/>
        <v>Yes</v>
      </c>
      <c r="Q206" s="5" t="str">
        <f t="shared" si="47"/>
        <v>Yes</v>
      </c>
      <c r="R206" s="5" t="str">
        <f t="shared" si="48"/>
        <v>Yes</v>
      </c>
      <c r="S206" s="5" t="str">
        <f t="shared" si="49"/>
        <v>Yes</v>
      </c>
      <c r="T206" s="5" t="str">
        <f t="shared" si="50"/>
        <v>Yes</v>
      </c>
      <c r="U206" s="5" t="str">
        <f t="shared" si="51"/>
        <v>Yes</v>
      </c>
      <c r="V206" s="5" t="str" cm="1">
        <f t="array" ref="V206">IF(OR(DB206:DG206 =1), "Yes", "No")</f>
        <v>No</v>
      </c>
      <c r="W206" s="5" t="str">
        <f t="shared" si="52"/>
        <v>Yes</v>
      </c>
      <c r="X206" s="5" t="str">
        <f t="shared" si="53"/>
        <v>No</v>
      </c>
      <c r="Y206" s="5" t="str">
        <f t="shared" si="54"/>
        <v>No</v>
      </c>
      <c r="Z206">
        <v>4</v>
      </c>
      <c r="AB206">
        <v>0</v>
      </c>
      <c r="AC206">
        <v>1</v>
      </c>
      <c r="AD206">
        <v>1</v>
      </c>
      <c r="AE206">
        <v>1</v>
      </c>
      <c r="AF206">
        <v>0</v>
      </c>
      <c r="AG206">
        <v>0</v>
      </c>
      <c r="AH206">
        <v>0</v>
      </c>
      <c r="AI206">
        <v>0</v>
      </c>
      <c r="AJ206">
        <v>0</v>
      </c>
      <c r="AK206">
        <v>1</v>
      </c>
      <c r="AM206">
        <v>1</v>
      </c>
      <c r="AN206">
        <v>1</v>
      </c>
      <c r="AO206">
        <v>0</v>
      </c>
      <c r="AP206">
        <v>2</v>
      </c>
      <c r="AQ206">
        <v>50</v>
      </c>
      <c r="AS206">
        <v>2</v>
      </c>
      <c r="AT206">
        <v>50</v>
      </c>
      <c r="AV206">
        <v>1</v>
      </c>
      <c r="AW206">
        <v>1</v>
      </c>
      <c r="AX206">
        <v>0</v>
      </c>
      <c r="AY206">
        <v>0</v>
      </c>
      <c r="AZ206">
        <v>0</v>
      </c>
      <c r="BA206">
        <v>0</v>
      </c>
      <c r="BC206">
        <v>1</v>
      </c>
      <c r="BE206">
        <v>1</v>
      </c>
      <c r="BG206">
        <v>1</v>
      </c>
      <c r="BH206">
        <v>1</v>
      </c>
      <c r="BI206">
        <v>4</v>
      </c>
      <c r="BJ206">
        <v>1</v>
      </c>
      <c r="BK206">
        <v>4</v>
      </c>
      <c r="BL206">
        <v>1</v>
      </c>
      <c r="BM206">
        <v>1</v>
      </c>
      <c r="BN206">
        <v>1</v>
      </c>
      <c r="BO206">
        <v>1</v>
      </c>
      <c r="BP206">
        <v>0</v>
      </c>
      <c r="BQ206">
        <v>0</v>
      </c>
      <c r="BR206">
        <v>0</v>
      </c>
      <c r="BS206">
        <v>0</v>
      </c>
      <c r="BT206">
        <v>0</v>
      </c>
      <c r="BV206">
        <v>1</v>
      </c>
      <c r="BW206">
        <v>1</v>
      </c>
      <c r="BX206">
        <v>1</v>
      </c>
      <c r="BY206">
        <v>0</v>
      </c>
      <c r="BZ206">
        <v>1</v>
      </c>
      <c r="CA206">
        <v>0</v>
      </c>
      <c r="CB206">
        <v>0</v>
      </c>
      <c r="CC206">
        <v>0</v>
      </c>
      <c r="CD206">
        <v>1</v>
      </c>
      <c r="CE206">
        <v>0</v>
      </c>
      <c r="CF206">
        <v>1</v>
      </c>
      <c r="CG206">
        <v>1</v>
      </c>
      <c r="CH206">
        <v>1</v>
      </c>
      <c r="CI206">
        <v>1</v>
      </c>
      <c r="CJ206">
        <v>0</v>
      </c>
      <c r="CK206">
        <v>1</v>
      </c>
      <c r="CL206">
        <v>0</v>
      </c>
      <c r="CN206">
        <v>16</v>
      </c>
      <c r="CO206">
        <v>4</v>
      </c>
      <c r="CQ206">
        <v>5</v>
      </c>
      <c r="CR206">
        <v>4</v>
      </c>
      <c r="EB206">
        <v>1</v>
      </c>
      <c r="EC206">
        <v>1</v>
      </c>
      <c r="ED206">
        <v>1</v>
      </c>
      <c r="EE206">
        <v>1</v>
      </c>
      <c r="EF206">
        <v>1</v>
      </c>
      <c r="EG206">
        <v>1</v>
      </c>
      <c r="EH206">
        <v>1</v>
      </c>
      <c r="EI206">
        <v>1</v>
      </c>
      <c r="EJ206">
        <v>0</v>
      </c>
      <c r="EK206">
        <v>0</v>
      </c>
      <c r="EM206">
        <v>0</v>
      </c>
      <c r="EN206">
        <v>1</v>
      </c>
      <c r="EO206">
        <v>0</v>
      </c>
      <c r="EP206">
        <v>1</v>
      </c>
      <c r="EQ206">
        <v>1</v>
      </c>
      <c r="ER206">
        <v>1</v>
      </c>
      <c r="ES206">
        <v>0</v>
      </c>
      <c r="ET206">
        <v>1</v>
      </c>
      <c r="EU206">
        <v>1</v>
      </c>
      <c r="EV206">
        <v>1</v>
      </c>
      <c r="EW206">
        <v>1</v>
      </c>
      <c r="EX206">
        <v>0</v>
      </c>
      <c r="EY206">
        <v>0</v>
      </c>
      <c r="FB206" t="s">
        <v>1091</v>
      </c>
      <c r="FC206">
        <v>1</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HC206" t="s">
        <v>1092</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1</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1</v>
      </c>
      <c r="IQ206">
        <v>0</v>
      </c>
      <c r="IR206">
        <v>0</v>
      </c>
      <c r="IS206">
        <v>0</v>
      </c>
      <c r="IT206">
        <v>0</v>
      </c>
      <c r="IU206">
        <v>0</v>
      </c>
      <c r="IV206">
        <v>0</v>
      </c>
      <c r="IW206">
        <v>0</v>
      </c>
      <c r="IZ206">
        <v>1</v>
      </c>
      <c r="JA206">
        <v>1</v>
      </c>
      <c r="JB206">
        <v>1</v>
      </c>
      <c r="JC206">
        <v>0</v>
      </c>
      <c r="JD206">
        <v>0</v>
      </c>
      <c r="JE206">
        <v>0</v>
      </c>
      <c r="JF206">
        <v>0</v>
      </c>
      <c r="JG206">
        <v>0</v>
      </c>
      <c r="JH206">
        <v>0</v>
      </c>
      <c r="JI206">
        <v>0</v>
      </c>
      <c r="JJ206">
        <v>0</v>
      </c>
      <c r="JL206">
        <v>1</v>
      </c>
      <c r="JM206" cm="1">
        <f t="array" ref="JM206">IF(OR(JN206:JQ206 &lt;&gt; ""), 1, 0)</f>
        <v>1</v>
      </c>
      <c r="JN206">
        <v>1</v>
      </c>
      <c r="JO206">
        <v>1</v>
      </c>
      <c r="JP206">
        <v>0</v>
      </c>
      <c r="JQ206">
        <v>0</v>
      </c>
    </row>
    <row r="207" spans="1:278" x14ac:dyDescent="0.35">
      <c r="A207">
        <v>376439</v>
      </c>
      <c r="C207">
        <v>1</v>
      </c>
      <c r="D207" t="s">
        <v>1093</v>
      </c>
      <c r="E207" t="str">
        <f>_xlfn.XLOOKUP(I207, [1]SchoolDistrictStudyWODuplicates!$K:$K, [1]SchoolDistrictStudyWODuplicates!$E:$E, "")</f>
        <v/>
      </c>
      <c r="G207" t="s">
        <v>1094</v>
      </c>
      <c r="H207" s="7">
        <v>4815810</v>
      </c>
      <c r="I207" s="7">
        <v>4815810</v>
      </c>
      <c r="J207" s="5" t="e">
        <f>_xlfn.XLOOKUP(I207,#REF!,#REF!,"Not Determined")</f>
        <v>#REF!</v>
      </c>
      <c r="K207" s="5" t="s">
        <v>1149</v>
      </c>
      <c r="L207" t="s">
        <v>1090</v>
      </c>
      <c r="M207" s="13" t="e">
        <f>_xlfn.XLOOKUP(I207,#REF!,#REF!, "No")</f>
        <v>#REF!</v>
      </c>
      <c r="N207" s="5" t="str">
        <f t="shared" si="44"/>
        <v>No</v>
      </c>
      <c r="O207" s="5" t="str">
        <f t="shared" si="45"/>
        <v>Yes</v>
      </c>
      <c r="P207" s="5" t="str">
        <f t="shared" si="46"/>
        <v>Yes</v>
      </c>
      <c r="Q207" s="5" t="str">
        <f t="shared" si="47"/>
        <v>Yes</v>
      </c>
      <c r="R207" s="5" t="str">
        <f t="shared" si="48"/>
        <v>Yes</v>
      </c>
      <c r="S207" s="5" t="str">
        <f t="shared" si="49"/>
        <v>No</v>
      </c>
      <c r="T207" s="5" t="str">
        <f t="shared" si="50"/>
        <v>Yes</v>
      </c>
      <c r="U207" s="5" t="str">
        <f t="shared" si="51"/>
        <v>No</v>
      </c>
      <c r="V207" s="5" t="str" cm="1">
        <f t="array" ref="V207">IF(OR(DB207:DG207 =1), "Yes", "No")</f>
        <v>No</v>
      </c>
      <c r="W207" s="5" t="str">
        <f t="shared" si="52"/>
        <v>No</v>
      </c>
      <c r="X207" s="5" t="str">
        <f t="shared" si="53"/>
        <v>No</v>
      </c>
      <c r="Y207" s="5" t="str">
        <f t="shared" si="54"/>
        <v>No</v>
      </c>
      <c r="Z207">
        <v>3</v>
      </c>
      <c r="AB207">
        <v>0</v>
      </c>
      <c r="AC207">
        <v>0</v>
      </c>
      <c r="AD207">
        <v>0</v>
      </c>
      <c r="AE207">
        <v>0</v>
      </c>
      <c r="AF207">
        <v>0</v>
      </c>
      <c r="AG207">
        <v>0</v>
      </c>
      <c r="AH207">
        <v>0</v>
      </c>
      <c r="AI207">
        <v>1</v>
      </c>
      <c r="AJ207">
        <v>0</v>
      </c>
      <c r="AK207">
        <v>1</v>
      </c>
      <c r="AM207">
        <v>1</v>
      </c>
      <c r="AN207">
        <v>1</v>
      </c>
      <c r="AO207">
        <v>1</v>
      </c>
      <c r="AP207">
        <v>1</v>
      </c>
      <c r="AQ207">
        <v>10</v>
      </c>
      <c r="AR207">
        <v>2</v>
      </c>
      <c r="AS207">
        <v>1</v>
      </c>
      <c r="AT207">
        <v>10</v>
      </c>
      <c r="AU207">
        <v>2</v>
      </c>
      <c r="AV207">
        <v>1</v>
      </c>
      <c r="AW207">
        <v>1</v>
      </c>
      <c r="AX207">
        <v>0</v>
      </c>
      <c r="AY207">
        <v>0</v>
      </c>
      <c r="AZ207">
        <v>0</v>
      </c>
      <c r="BA207">
        <v>0</v>
      </c>
      <c r="BC207">
        <v>2</v>
      </c>
      <c r="BE207">
        <v>1</v>
      </c>
      <c r="BG207">
        <v>1</v>
      </c>
      <c r="BH207">
        <v>1</v>
      </c>
      <c r="BI207">
        <v>4</v>
      </c>
      <c r="BJ207">
        <v>2</v>
      </c>
      <c r="BL207">
        <v>2</v>
      </c>
      <c r="BM207">
        <v>1</v>
      </c>
      <c r="BN207">
        <v>2</v>
      </c>
      <c r="BV207">
        <v>1</v>
      </c>
      <c r="BW207">
        <v>0</v>
      </c>
      <c r="BX207">
        <v>1</v>
      </c>
      <c r="BY207">
        <v>0</v>
      </c>
      <c r="BZ207">
        <v>0</v>
      </c>
      <c r="CA207">
        <v>0</v>
      </c>
      <c r="CB207">
        <v>0</v>
      </c>
      <c r="CC207">
        <v>0</v>
      </c>
      <c r="CD207">
        <v>0</v>
      </c>
      <c r="CE207">
        <v>0</v>
      </c>
      <c r="CF207">
        <v>0</v>
      </c>
      <c r="CG207">
        <v>1</v>
      </c>
      <c r="CH207">
        <v>0</v>
      </c>
      <c r="CI207">
        <v>1</v>
      </c>
      <c r="CJ207">
        <v>0</v>
      </c>
      <c r="CK207">
        <v>1</v>
      </c>
      <c r="CL207">
        <v>0</v>
      </c>
      <c r="CN207">
        <v>3</v>
      </c>
      <c r="CO207">
        <v>4</v>
      </c>
      <c r="CQ207">
        <v>5</v>
      </c>
      <c r="CR207">
        <v>6</v>
      </c>
      <c r="EB207">
        <v>0</v>
      </c>
      <c r="EC207">
        <v>0</v>
      </c>
      <c r="ED207">
        <v>1</v>
      </c>
      <c r="EE207">
        <v>0</v>
      </c>
      <c r="EF207">
        <v>0</v>
      </c>
      <c r="EG207">
        <v>1</v>
      </c>
      <c r="EH207">
        <v>0</v>
      </c>
      <c r="EI207">
        <v>0</v>
      </c>
      <c r="EJ207">
        <v>0</v>
      </c>
      <c r="EK207">
        <v>0</v>
      </c>
      <c r="EM207">
        <v>0</v>
      </c>
      <c r="EN207">
        <v>1</v>
      </c>
      <c r="EO207">
        <v>0</v>
      </c>
      <c r="EP207">
        <v>0</v>
      </c>
      <c r="EQ207">
        <v>0</v>
      </c>
      <c r="ER207">
        <v>0</v>
      </c>
      <c r="ES207">
        <v>0</v>
      </c>
      <c r="ET207">
        <v>0</v>
      </c>
      <c r="EU207">
        <v>0</v>
      </c>
      <c r="EV207">
        <v>0</v>
      </c>
      <c r="EW207">
        <v>1</v>
      </c>
      <c r="EX207">
        <v>0</v>
      </c>
      <c r="EY207">
        <v>0</v>
      </c>
      <c r="FB207" t="s">
        <v>1095</v>
      </c>
      <c r="FC207">
        <v>1</v>
      </c>
      <c r="FD207">
        <v>1</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IZ207">
        <v>0</v>
      </c>
      <c r="JA207">
        <v>0</v>
      </c>
      <c r="JB207">
        <v>1</v>
      </c>
      <c r="JC207">
        <v>0</v>
      </c>
      <c r="JD207">
        <v>0</v>
      </c>
      <c r="JE207">
        <v>0</v>
      </c>
      <c r="JF207">
        <v>0</v>
      </c>
      <c r="JG207">
        <v>0</v>
      </c>
      <c r="JH207">
        <v>0</v>
      </c>
      <c r="JI207">
        <v>0</v>
      </c>
      <c r="JJ207">
        <v>0</v>
      </c>
      <c r="JL207">
        <v>2</v>
      </c>
      <c r="JM207" cm="1">
        <f t="array" ref="JM207">IF(OR(JN207:JQ207 &lt;&gt; ""), 1, 0)</f>
        <v>0</v>
      </c>
    </row>
    <row r="208" spans="1:278" x14ac:dyDescent="0.35">
      <c r="A208">
        <v>405522</v>
      </c>
      <c r="C208">
        <v>1</v>
      </c>
      <c r="D208" t="s">
        <v>1096</v>
      </c>
      <c r="E208" t="str">
        <f>_xlfn.XLOOKUP(I208, [1]SchoolDistrictStudyWODuplicates!$K:$K, [1]SchoolDistrictStudyWODuplicates!$E:$E, "")</f>
        <v/>
      </c>
      <c r="G208" t="s">
        <v>1097</v>
      </c>
      <c r="H208" s="7">
        <v>4816380</v>
      </c>
      <c r="I208" s="7">
        <v>4816380</v>
      </c>
      <c r="J208" s="5" t="e">
        <f>_xlfn.XLOOKUP(I208,#REF!,#REF!,"Not Determined")</f>
        <v>#REF!</v>
      </c>
      <c r="K208" s="5" t="s">
        <v>1149</v>
      </c>
      <c r="L208" t="s">
        <v>1090</v>
      </c>
      <c r="M208" s="13" t="e">
        <f>_xlfn.XLOOKUP(I208,#REF!,#REF!, "No")</f>
        <v>#REF!</v>
      </c>
      <c r="N208" s="5" t="str">
        <f t="shared" si="44"/>
        <v>No</v>
      </c>
      <c r="O208" s="5" t="str">
        <f t="shared" si="45"/>
        <v>Yes</v>
      </c>
      <c r="P208" s="5" t="str">
        <f t="shared" si="46"/>
        <v>No</v>
      </c>
      <c r="Q208" s="5" t="str">
        <f t="shared" si="47"/>
        <v>No</v>
      </c>
      <c r="R208" s="5" t="str">
        <f t="shared" si="48"/>
        <v>Yes</v>
      </c>
      <c r="S208" s="5" t="str">
        <f t="shared" si="49"/>
        <v>Yes</v>
      </c>
      <c r="T208" s="5" t="str">
        <f t="shared" si="50"/>
        <v>Yes</v>
      </c>
      <c r="U208" s="5" t="str">
        <f t="shared" si="51"/>
        <v>Yes</v>
      </c>
      <c r="V208" s="5" t="str" cm="1">
        <f t="array" ref="V208">IF(OR(DB208:DG208 =1), "Yes", "No")</f>
        <v>No</v>
      </c>
      <c r="W208" s="5" t="str">
        <f t="shared" si="52"/>
        <v>No</v>
      </c>
      <c r="X208" s="5" t="str">
        <f t="shared" si="53"/>
        <v>No</v>
      </c>
      <c r="Y208" s="5" t="str">
        <f t="shared" si="54"/>
        <v>No</v>
      </c>
      <c r="Z208">
        <v>3</v>
      </c>
      <c r="AB208">
        <v>1</v>
      </c>
      <c r="AC208">
        <v>0</v>
      </c>
      <c r="AD208">
        <v>0</v>
      </c>
      <c r="AE208">
        <v>0</v>
      </c>
      <c r="AF208">
        <v>0</v>
      </c>
      <c r="AG208">
        <v>0</v>
      </c>
      <c r="AH208">
        <v>0</v>
      </c>
      <c r="AI208">
        <v>0</v>
      </c>
      <c r="AJ208">
        <v>0</v>
      </c>
      <c r="AK208">
        <v>1</v>
      </c>
      <c r="AM208">
        <v>0</v>
      </c>
      <c r="AN208">
        <v>1</v>
      </c>
      <c r="AO208">
        <v>0</v>
      </c>
      <c r="AQ208">
        <v>12</v>
      </c>
      <c r="AT208">
        <v>12</v>
      </c>
      <c r="AV208">
        <v>1</v>
      </c>
      <c r="AW208">
        <v>0</v>
      </c>
      <c r="AX208">
        <v>0</v>
      </c>
      <c r="AY208">
        <v>0</v>
      </c>
      <c r="AZ208">
        <v>0</v>
      </c>
      <c r="BA208">
        <v>0</v>
      </c>
      <c r="BC208">
        <v>1</v>
      </c>
      <c r="BE208">
        <v>1</v>
      </c>
      <c r="BG208">
        <v>2</v>
      </c>
      <c r="BJ208">
        <v>2</v>
      </c>
      <c r="BL208">
        <v>2</v>
      </c>
      <c r="BM208">
        <v>3</v>
      </c>
      <c r="BN208">
        <v>2</v>
      </c>
      <c r="BV208">
        <v>0</v>
      </c>
      <c r="BW208">
        <v>0</v>
      </c>
      <c r="BX208">
        <v>0</v>
      </c>
      <c r="BY208">
        <v>0</v>
      </c>
      <c r="BZ208">
        <v>0</v>
      </c>
      <c r="CA208">
        <v>0</v>
      </c>
      <c r="CB208">
        <v>0</v>
      </c>
      <c r="CC208">
        <v>0</v>
      </c>
      <c r="CD208">
        <v>0</v>
      </c>
      <c r="CE208">
        <v>0</v>
      </c>
      <c r="CF208">
        <v>0</v>
      </c>
      <c r="CG208">
        <v>0</v>
      </c>
      <c r="CH208">
        <v>0</v>
      </c>
      <c r="CI208">
        <v>0</v>
      </c>
      <c r="CJ208">
        <v>0</v>
      </c>
      <c r="CK208">
        <v>1</v>
      </c>
      <c r="CL208">
        <v>0</v>
      </c>
      <c r="CN208">
        <v>16</v>
      </c>
      <c r="CO208">
        <v>4</v>
      </c>
      <c r="CQ208">
        <v>5</v>
      </c>
      <c r="CR208">
        <v>5</v>
      </c>
      <c r="EB208">
        <v>1</v>
      </c>
      <c r="EC208">
        <v>1</v>
      </c>
      <c r="ED208">
        <v>1</v>
      </c>
      <c r="EE208">
        <v>1</v>
      </c>
      <c r="EF208">
        <v>1</v>
      </c>
      <c r="EG208">
        <v>0</v>
      </c>
      <c r="EH208">
        <v>0</v>
      </c>
      <c r="EI208">
        <v>0</v>
      </c>
      <c r="EJ208">
        <v>0</v>
      </c>
      <c r="EK208">
        <v>0</v>
      </c>
      <c r="EM208">
        <v>1</v>
      </c>
      <c r="EN208">
        <v>0</v>
      </c>
      <c r="EO208">
        <v>1</v>
      </c>
      <c r="EP208">
        <v>0</v>
      </c>
      <c r="EQ208">
        <v>1</v>
      </c>
      <c r="ER208">
        <v>0</v>
      </c>
      <c r="ES208">
        <v>0</v>
      </c>
      <c r="ET208">
        <v>0</v>
      </c>
      <c r="EU208">
        <v>0</v>
      </c>
      <c r="EV208">
        <v>0</v>
      </c>
      <c r="EW208">
        <v>1</v>
      </c>
      <c r="EX208">
        <v>0</v>
      </c>
      <c r="EY208">
        <v>0</v>
      </c>
      <c r="EZ208" t="s">
        <v>1098</v>
      </c>
      <c r="FA208">
        <v>7</v>
      </c>
      <c r="FY208" t="s">
        <v>1099</v>
      </c>
      <c r="FZ208">
        <v>1</v>
      </c>
      <c r="GA208">
        <v>0</v>
      </c>
      <c r="GB208">
        <v>0</v>
      </c>
      <c r="GC208">
        <v>0</v>
      </c>
      <c r="GD208">
        <v>0</v>
      </c>
      <c r="GE208">
        <v>0</v>
      </c>
      <c r="GF208">
        <v>0</v>
      </c>
      <c r="GG208">
        <v>0</v>
      </c>
      <c r="GH208">
        <v>0</v>
      </c>
      <c r="GI208">
        <v>0</v>
      </c>
      <c r="GJ208">
        <v>0</v>
      </c>
      <c r="GK208">
        <v>0</v>
      </c>
      <c r="GL208">
        <v>0</v>
      </c>
      <c r="GM208">
        <v>0</v>
      </c>
      <c r="GN208">
        <v>0</v>
      </c>
      <c r="GO208">
        <v>0</v>
      </c>
      <c r="GP208">
        <v>0</v>
      </c>
      <c r="GQ208">
        <v>0</v>
      </c>
      <c r="GR208">
        <v>0</v>
      </c>
      <c r="IZ208">
        <v>1</v>
      </c>
      <c r="JA208">
        <v>0</v>
      </c>
      <c r="JB208">
        <v>0</v>
      </c>
      <c r="JC208">
        <v>0</v>
      </c>
      <c r="JD208">
        <v>1</v>
      </c>
      <c r="JE208">
        <v>0</v>
      </c>
      <c r="JF208">
        <v>0</v>
      </c>
      <c r="JG208">
        <v>1</v>
      </c>
      <c r="JH208">
        <v>0</v>
      </c>
      <c r="JI208">
        <v>0</v>
      </c>
      <c r="JJ208">
        <v>0</v>
      </c>
      <c r="JL208">
        <v>2</v>
      </c>
      <c r="JM208" cm="1">
        <f t="array" ref="JM208">IF(OR(JN208:JQ208 &lt;&gt; ""), 1, 0)</f>
        <v>0</v>
      </c>
    </row>
    <row r="209" spans="1:277" x14ac:dyDescent="0.35">
      <c r="A209">
        <v>405441</v>
      </c>
      <c r="C209">
        <v>1</v>
      </c>
      <c r="D209" t="s">
        <v>1100</v>
      </c>
      <c r="E209" t="str">
        <f>_xlfn.XLOOKUP(I209, [1]SchoolDistrictStudyWODuplicates!$K:$K, [1]SchoolDistrictStudyWODuplicates!$E:$E, "")</f>
        <v/>
      </c>
      <c r="G209" t="s">
        <v>1101</v>
      </c>
      <c r="H209" s="5" t="e">
        <f>_xlfn.XLOOKUP(A209,#REF!,#REF!, "No")</f>
        <v>#REF!</v>
      </c>
      <c r="I209" s="7">
        <v>4818600</v>
      </c>
      <c r="J209" s="5" t="e">
        <f>_xlfn.XLOOKUP(I209,#REF!,#REF!,"Not Determined")</f>
        <v>#REF!</v>
      </c>
      <c r="K209" s="5" t="s">
        <v>1149</v>
      </c>
      <c r="L209" t="s">
        <v>1090</v>
      </c>
      <c r="M209" s="13" t="e">
        <f>_xlfn.XLOOKUP(I209,#REF!,#REF!, "No")</f>
        <v>#REF!</v>
      </c>
      <c r="N209" s="5" t="str">
        <f t="shared" si="44"/>
        <v>No</v>
      </c>
      <c r="O209" s="5" t="str">
        <f t="shared" si="45"/>
        <v>Yes</v>
      </c>
      <c r="P209" s="5" t="str">
        <f t="shared" si="46"/>
        <v>Yes</v>
      </c>
      <c r="Q209" s="5" t="str">
        <f t="shared" si="47"/>
        <v>Yes</v>
      </c>
      <c r="R209" s="5" t="str">
        <f t="shared" si="48"/>
        <v>Yes</v>
      </c>
      <c r="S209" s="5" t="str">
        <f t="shared" si="49"/>
        <v>Yes</v>
      </c>
      <c r="T209" s="5" t="str">
        <f t="shared" si="50"/>
        <v>Yes</v>
      </c>
      <c r="U209" s="5" t="str">
        <f t="shared" si="51"/>
        <v>Yes</v>
      </c>
      <c r="V209" s="5" t="str" cm="1">
        <f t="array" ref="V209">IF(OR(DB209:DG209 =1), "Yes", "No")</f>
        <v>No</v>
      </c>
      <c r="W209" s="5" t="str">
        <f t="shared" si="52"/>
        <v>No</v>
      </c>
      <c r="X209" s="5" t="str">
        <f t="shared" si="53"/>
        <v>No</v>
      </c>
      <c r="Y209" s="5" t="str">
        <f t="shared" si="54"/>
        <v>No</v>
      </c>
      <c r="Z209">
        <v>7</v>
      </c>
      <c r="AB209">
        <v>0</v>
      </c>
      <c r="AC209">
        <v>0</v>
      </c>
      <c r="AD209">
        <v>0</v>
      </c>
      <c r="AE209">
        <v>0</v>
      </c>
      <c r="AF209">
        <v>0</v>
      </c>
      <c r="AG209">
        <v>0</v>
      </c>
      <c r="AH209">
        <v>0</v>
      </c>
      <c r="AI209">
        <v>1</v>
      </c>
      <c r="AJ209">
        <v>0</v>
      </c>
      <c r="AK209">
        <v>1</v>
      </c>
      <c r="AM209">
        <v>0</v>
      </c>
      <c r="AN209">
        <v>1</v>
      </c>
      <c r="AO209">
        <v>0</v>
      </c>
      <c r="AQ209">
        <v>10</v>
      </c>
      <c r="AT209">
        <v>10</v>
      </c>
      <c r="AV209">
        <v>1</v>
      </c>
      <c r="AW209">
        <v>1</v>
      </c>
      <c r="AX209">
        <v>0</v>
      </c>
      <c r="AY209">
        <v>0</v>
      </c>
      <c r="AZ209">
        <v>0</v>
      </c>
      <c r="BA209">
        <v>0</v>
      </c>
      <c r="BC209">
        <v>1</v>
      </c>
      <c r="BE209">
        <v>1</v>
      </c>
      <c r="BG209">
        <v>1</v>
      </c>
      <c r="BH209">
        <v>1</v>
      </c>
      <c r="BI209">
        <v>4</v>
      </c>
      <c r="BJ209">
        <v>2</v>
      </c>
      <c r="BL209">
        <v>2</v>
      </c>
      <c r="BM209">
        <v>1</v>
      </c>
      <c r="BN209">
        <v>1</v>
      </c>
      <c r="BO209">
        <v>1</v>
      </c>
      <c r="BP209">
        <v>0</v>
      </c>
      <c r="BQ209">
        <v>0</v>
      </c>
      <c r="BR209">
        <v>0</v>
      </c>
      <c r="BS209">
        <v>0</v>
      </c>
      <c r="BT209">
        <v>0</v>
      </c>
      <c r="BV209">
        <v>0</v>
      </c>
      <c r="BW209">
        <v>0</v>
      </c>
      <c r="BX209">
        <v>0</v>
      </c>
      <c r="BY209">
        <v>1</v>
      </c>
      <c r="BZ209">
        <v>0</v>
      </c>
      <c r="CA209">
        <v>0</v>
      </c>
      <c r="CB209">
        <v>0</v>
      </c>
      <c r="CC209">
        <v>0</v>
      </c>
      <c r="CD209">
        <v>1</v>
      </c>
      <c r="CE209">
        <v>0</v>
      </c>
      <c r="CF209">
        <v>0</v>
      </c>
      <c r="CG209">
        <v>1</v>
      </c>
      <c r="CH209">
        <v>0</v>
      </c>
      <c r="CI209">
        <v>1</v>
      </c>
      <c r="CJ209">
        <v>0</v>
      </c>
      <c r="CK209">
        <v>0</v>
      </c>
      <c r="CL209">
        <v>0</v>
      </c>
      <c r="CN209">
        <v>9</v>
      </c>
      <c r="CO209">
        <v>4</v>
      </c>
      <c r="CQ209">
        <v>3</v>
      </c>
      <c r="CR209">
        <v>3</v>
      </c>
      <c r="EB209">
        <v>0</v>
      </c>
      <c r="EC209">
        <v>1</v>
      </c>
      <c r="ED209">
        <v>1</v>
      </c>
      <c r="EE209">
        <v>0</v>
      </c>
      <c r="EF209">
        <v>0</v>
      </c>
      <c r="EG209">
        <v>1</v>
      </c>
      <c r="EH209">
        <v>0</v>
      </c>
      <c r="EI209">
        <v>0</v>
      </c>
      <c r="EJ209">
        <v>0</v>
      </c>
      <c r="EK209">
        <v>0</v>
      </c>
      <c r="EM209">
        <v>0</v>
      </c>
      <c r="EN209">
        <v>1</v>
      </c>
      <c r="EO209">
        <v>0</v>
      </c>
      <c r="EP209">
        <v>1</v>
      </c>
      <c r="EQ209">
        <v>0</v>
      </c>
      <c r="ER209">
        <v>0</v>
      </c>
      <c r="ES209">
        <v>0</v>
      </c>
      <c r="ET209">
        <v>0</v>
      </c>
      <c r="EU209">
        <v>0</v>
      </c>
      <c r="EV209">
        <v>0</v>
      </c>
      <c r="EW209">
        <v>0</v>
      </c>
      <c r="EX209">
        <v>0</v>
      </c>
      <c r="EY209">
        <v>0</v>
      </c>
      <c r="FB209" t="s">
        <v>1102</v>
      </c>
      <c r="FC209">
        <v>0</v>
      </c>
      <c r="FD209">
        <v>0</v>
      </c>
      <c r="FE209">
        <v>0</v>
      </c>
      <c r="FF209">
        <v>0</v>
      </c>
      <c r="FG209">
        <v>0</v>
      </c>
      <c r="FH209">
        <v>0</v>
      </c>
      <c r="FI209">
        <v>0</v>
      </c>
      <c r="FJ209">
        <v>0</v>
      </c>
      <c r="FK209">
        <v>0</v>
      </c>
      <c r="FL209">
        <v>0</v>
      </c>
      <c r="FM209">
        <v>0</v>
      </c>
      <c r="FN209">
        <v>0</v>
      </c>
      <c r="FO209">
        <v>0</v>
      </c>
      <c r="FP209">
        <v>0</v>
      </c>
      <c r="FQ209">
        <v>0</v>
      </c>
      <c r="FR209">
        <v>1</v>
      </c>
      <c r="FS209">
        <v>0</v>
      </c>
      <c r="FT209">
        <v>0</v>
      </c>
      <c r="FU209">
        <v>0</v>
      </c>
      <c r="FV209">
        <v>0</v>
      </c>
      <c r="FW209">
        <v>0</v>
      </c>
      <c r="FX209">
        <v>0</v>
      </c>
      <c r="IZ209">
        <v>0</v>
      </c>
      <c r="JA209">
        <v>0</v>
      </c>
      <c r="JB209">
        <v>0</v>
      </c>
      <c r="JC209">
        <v>0</v>
      </c>
      <c r="JD209">
        <v>0</v>
      </c>
      <c r="JE209">
        <v>0</v>
      </c>
      <c r="JF209">
        <v>0</v>
      </c>
      <c r="JG209">
        <v>0</v>
      </c>
      <c r="JH209">
        <v>0</v>
      </c>
      <c r="JI209">
        <v>0</v>
      </c>
      <c r="JJ209">
        <v>1</v>
      </c>
      <c r="JL209">
        <v>2</v>
      </c>
      <c r="JM209" cm="1">
        <f t="array" ref="JM209">IF(OR(JN209:JQ209 &lt;&gt; ""), 1, 0)</f>
        <v>0</v>
      </c>
    </row>
    <row r="210" spans="1:277" x14ac:dyDescent="0.35">
      <c r="A210">
        <v>405324</v>
      </c>
      <c r="C210">
        <v>1</v>
      </c>
      <c r="D210" t="s">
        <v>1103</v>
      </c>
      <c r="E210" t="str">
        <f>_xlfn.XLOOKUP(I210, [1]SchoolDistrictStudyWODuplicates!$K:$K, [1]SchoolDistrictStudyWODuplicates!$E:$E, "")</f>
        <v/>
      </c>
      <c r="G210" t="s">
        <v>1104</v>
      </c>
      <c r="H210" s="7">
        <v>4819700</v>
      </c>
      <c r="I210" s="7">
        <v>4819700</v>
      </c>
      <c r="J210" s="5" t="e">
        <f>_xlfn.XLOOKUP(I210,#REF!,#REF!,"Not Determined")</f>
        <v>#REF!</v>
      </c>
      <c r="K210" s="5" t="s">
        <v>1149</v>
      </c>
      <c r="L210" t="s">
        <v>1090</v>
      </c>
      <c r="M210" s="13" t="e">
        <f>_xlfn.XLOOKUP(I210,#REF!,#REF!, "No")</f>
        <v>#REF!</v>
      </c>
      <c r="N210" s="5" t="str">
        <f t="shared" si="44"/>
        <v>No</v>
      </c>
      <c r="O210" s="5" t="str">
        <f t="shared" si="45"/>
        <v>Yes</v>
      </c>
      <c r="P210" s="5" t="str">
        <f t="shared" si="46"/>
        <v>Yes</v>
      </c>
      <c r="Q210" s="5" t="str">
        <f t="shared" si="47"/>
        <v>Yes</v>
      </c>
      <c r="R210" s="5" t="str">
        <f t="shared" si="48"/>
        <v>Yes</v>
      </c>
      <c r="S210" s="5" t="str">
        <f t="shared" si="49"/>
        <v>Yes</v>
      </c>
      <c r="T210" s="5" t="str">
        <f t="shared" si="50"/>
        <v>No</v>
      </c>
      <c r="U210" s="5" t="str">
        <f t="shared" si="51"/>
        <v>No</v>
      </c>
      <c r="V210" s="5" t="str" cm="1">
        <f t="array" ref="V210">IF(OR(DB210:DG210 =1), "Yes", "No")</f>
        <v>No</v>
      </c>
      <c r="W210" s="5" t="str">
        <f t="shared" si="52"/>
        <v>No</v>
      </c>
      <c r="X210" s="5" t="str">
        <f t="shared" si="53"/>
        <v>No</v>
      </c>
      <c r="Y210" s="5" t="str">
        <f t="shared" si="54"/>
        <v>No</v>
      </c>
      <c r="Z210">
        <v>3</v>
      </c>
      <c r="AB210">
        <v>0</v>
      </c>
      <c r="AC210">
        <v>0</v>
      </c>
      <c r="AD210">
        <v>1</v>
      </c>
      <c r="AE210">
        <v>0</v>
      </c>
      <c r="AF210">
        <v>0</v>
      </c>
      <c r="AG210">
        <v>0</v>
      </c>
      <c r="AH210">
        <v>0</v>
      </c>
      <c r="AI210">
        <v>0</v>
      </c>
      <c r="AJ210">
        <v>0</v>
      </c>
      <c r="AK210">
        <v>1</v>
      </c>
      <c r="AM210">
        <v>1</v>
      </c>
      <c r="AN210">
        <v>1</v>
      </c>
      <c r="AO210">
        <v>1</v>
      </c>
      <c r="AP210">
        <v>10</v>
      </c>
      <c r="AQ210">
        <v>290</v>
      </c>
      <c r="AR210">
        <v>10</v>
      </c>
      <c r="AS210">
        <v>10</v>
      </c>
      <c r="AT210">
        <v>290</v>
      </c>
      <c r="AU210">
        <v>10</v>
      </c>
      <c r="AV210">
        <v>1</v>
      </c>
      <c r="AW210">
        <v>1</v>
      </c>
      <c r="AX210">
        <v>0</v>
      </c>
      <c r="AY210">
        <v>1</v>
      </c>
      <c r="AZ210">
        <v>0</v>
      </c>
      <c r="BA210">
        <v>0</v>
      </c>
      <c r="BC210">
        <v>1</v>
      </c>
      <c r="BE210">
        <v>1</v>
      </c>
      <c r="BG210">
        <v>1</v>
      </c>
      <c r="BH210">
        <v>1</v>
      </c>
      <c r="BI210">
        <v>2</v>
      </c>
      <c r="BJ210">
        <v>1</v>
      </c>
      <c r="BK210">
        <v>6</v>
      </c>
      <c r="BL210">
        <v>1</v>
      </c>
      <c r="BM210">
        <v>1</v>
      </c>
      <c r="BN210">
        <v>1</v>
      </c>
      <c r="BO210">
        <v>1</v>
      </c>
      <c r="BP210">
        <v>1</v>
      </c>
      <c r="BQ210">
        <v>1</v>
      </c>
      <c r="BR210">
        <v>0</v>
      </c>
      <c r="BS210">
        <v>0</v>
      </c>
      <c r="BT210">
        <v>0</v>
      </c>
      <c r="BV210">
        <v>0</v>
      </c>
      <c r="BW210">
        <v>0</v>
      </c>
      <c r="BX210">
        <v>1</v>
      </c>
      <c r="BY210">
        <v>1</v>
      </c>
      <c r="BZ210">
        <v>0</v>
      </c>
      <c r="CA210">
        <v>0</v>
      </c>
      <c r="CB210">
        <v>0</v>
      </c>
      <c r="CC210">
        <v>0</v>
      </c>
      <c r="CD210">
        <v>1</v>
      </c>
      <c r="CE210">
        <v>0</v>
      </c>
      <c r="CF210">
        <v>0</v>
      </c>
      <c r="CG210">
        <v>0</v>
      </c>
      <c r="CH210">
        <v>0</v>
      </c>
      <c r="CI210">
        <v>0</v>
      </c>
      <c r="CJ210">
        <v>0</v>
      </c>
      <c r="CK210">
        <v>0</v>
      </c>
      <c r="CL210">
        <v>0</v>
      </c>
      <c r="CN210">
        <v>9</v>
      </c>
      <c r="CO210">
        <v>1</v>
      </c>
      <c r="CP210" t="s">
        <v>357</v>
      </c>
      <c r="CQ210">
        <v>1</v>
      </c>
      <c r="CR210">
        <v>1</v>
      </c>
      <c r="EB210">
        <v>0</v>
      </c>
      <c r="EC210">
        <v>0</v>
      </c>
      <c r="ED210">
        <v>0</v>
      </c>
      <c r="EE210">
        <v>1</v>
      </c>
      <c r="EF210">
        <v>1</v>
      </c>
      <c r="EG210">
        <v>1</v>
      </c>
      <c r="EH210">
        <v>0</v>
      </c>
      <c r="EI210">
        <v>1</v>
      </c>
      <c r="EJ210">
        <v>0</v>
      </c>
      <c r="EK210">
        <v>0</v>
      </c>
      <c r="EM210">
        <v>0</v>
      </c>
      <c r="EN210">
        <v>0</v>
      </c>
      <c r="EO210">
        <v>0</v>
      </c>
      <c r="EP210">
        <v>1</v>
      </c>
      <c r="EQ210">
        <v>0</v>
      </c>
      <c r="ER210">
        <v>0</v>
      </c>
      <c r="ES210">
        <v>0</v>
      </c>
      <c r="ET210">
        <v>0</v>
      </c>
      <c r="EU210">
        <v>0</v>
      </c>
      <c r="EV210">
        <v>0</v>
      </c>
      <c r="EW210">
        <v>0</v>
      </c>
      <c r="EX210">
        <v>0</v>
      </c>
      <c r="EY210">
        <v>0</v>
      </c>
      <c r="IZ210">
        <v>1</v>
      </c>
      <c r="JA210">
        <v>0</v>
      </c>
      <c r="JB210">
        <v>1</v>
      </c>
      <c r="JC210">
        <v>0</v>
      </c>
      <c r="JD210">
        <v>0</v>
      </c>
      <c r="JE210">
        <v>0</v>
      </c>
      <c r="JF210">
        <v>1</v>
      </c>
      <c r="JG210">
        <v>0</v>
      </c>
      <c r="JH210">
        <v>0</v>
      </c>
      <c r="JI210">
        <v>0</v>
      </c>
      <c r="JJ210">
        <v>0</v>
      </c>
      <c r="JL210">
        <v>2</v>
      </c>
      <c r="JM210" cm="1">
        <f t="array" ref="JM210">IF(OR(JN210:JQ210 &lt;&gt; ""), 1, 0)</f>
        <v>0</v>
      </c>
    </row>
    <row r="211" spans="1:277" x14ac:dyDescent="0.35">
      <c r="A211">
        <v>370333</v>
      </c>
      <c r="C211">
        <v>1</v>
      </c>
      <c r="D211" t="s">
        <v>1105</v>
      </c>
      <c r="E211" t="str">
        <f>_xlfn.XLOOKUP(I211, [1]SchoolDistrictStudyWODuplicates!$K:$K, [1]SchoolDistrictStudyWODuplicates!$E:$E, "")</f>
        <v>Friendswood ISD</v>
      </c>
      <c r="G211" t="s">
        <v>1106</v>
      </c>
      <c r="H211" s="7">
        <v>4819950</v>
      </c>
      <c r="I211" s="7">
        <v>4819950</v>
      </c>
      <c r="J211" s="5" t="e">
        <f>_xlfn.XLOOKUP(I211,#REF!,#REF!,"Not Determined")</f>
        <v>#REF!</v>
      </c>
      <c r="K211" s="5" t="s">
        <v>1149</v>
      </c>
      <c r="L211" t="s">
        <v>1090</v>
      </c>
      <c r="M211" s="13" t="e">
        <f>_xlfn.XLOOKUP(I211,#REF!,#REF!, "No")</f>
        <v>#REF!</v>
      </c>
      <c r="N211" s="5" t="str">
        <f t="shared" si="44"/>
        <v>No</v>
      </c>
      <c r="O211" s="5" t="str">
        <f t="shared" si="45"/>
        <v>Yes</v>
      </c>
      <c r="P211" s="5" t="str">
        <f t="shared" si="46"/>
        <v>No</v>
      </c>
      <c r="Q211" s="5" t="str">
        <f t="shared" si="47"/>
        <v>No</v>
      </c>
      <c r="R211" s="5" t="str">
        <f t="shared" si="48"/>
        <v>Yes</v>
      </c>
      <c r="S211" s="5" t="str">
        <f t="shared" si="49"/>
        <v>Yes</v>
      </c>
      <c r="T211" s="5" t="str">
        <f t="shared" si="50"/>
        <v>No</v>
      </c>
      <c r="U211" s="5" t="str">
        <f t="shared" si="51"/>
        <v>No</v>
      </c>
      <c r="V211" s="5" t="str" cm="1">
        <f t="array" ref="V211">IF(OR(DB211:DG211 =1), "Yes", "No")</f>
        <v>No</v>
      </c>
      <c r="W211" s="5" t="str">
        <f t="shared" si="52"/>
        <v>Yes</v>
      </c>
      <c r="X211" s="5" t="str">
        <f t="shared" si="53"/>
        <v>No</v>
      </c>
      <c r="Y211" s="5" t="str">
        <f t="shared" si="54"/>
        <v>No</v>
      </c>
      <c r="Z211">
        <v>5</v>
      </c>
      <c r="AB211">
        <v>0</v>
      </c>
      <c r="AC211">
        <v>0</v>
      </c>
      <c r="AD211">
        <v>1</v>
      </c>
      <c r="AE211">
        <v>0</v>
      </c>
      <c r="AF211">
        <v>1</v>
      </c>
      <c r="AG211">
        <v>0</v>
      </c>
      <c r="AH211">
        <v>1</v>
      </c>
      <c r="AI211">
        <v>1</v>
      </c>
      <c r="AJ211">
        <v>0</v>
      </c>
      <c r="AK211">
        <v>1</v>
      </c>
      <c r="AM211">
        <v>0</v>
      </c>
      <c r="AN211">
        <v>1</v>
      </c>
      <c r="AO211">
        <v>0</v>
      </c>
      <c r="AQ211">
        <v>55</v>
      </c>
      <c r="AT211">
        <v>55</v>
      </c>
      <c r="AV211">
        <v>1</v>
      </c>
      <c r="AW211">
        <v>0</v>
      </c>
      <c r="AX211">
        <v>0</v>
      </c>
      <c r="AY211">
        <v>1</v>
      </c>
      <c r="AZ211">
        <v>0</v>
      </c>
      <c r="BA211">
        <v>0</v>
      </c>
      <c r="BC211">
        <v>1</v>
      </c>
      <c r="BE211">
        <v>1</v>
      </c>
      <c r="BG211">
        <v>1</v>
      </c>
      <c r="BH211">
        <v>2</v>
      </c>
      <c r="BI211">
        <v>3</v>
      </c>
      <c r="BJ211">
        <v>2</v>
      </c>
      <c r="BL211">
        <v>2</v>
      </c>
      <c r="BM211">
        <v>2</v>
      </c>
      <c r="BN211">
        <v>2</v>
      </c>
      <c r="BV211">
        <v>0</v>
      </c>
      <c r="BW211">
        <v>1</v>
      </c>
      <c r="BX211">
        <v>0</v>
      </c>
      <c r="BY211">
        <v>0</v>
      </c>
      <c r="BZ211">
        <v>0</v>
      </c>
      <c r="CA211">
        <v>1</v>
      </c>
      <c r="CB211">
        <v>0</v>
      </c>
      <c r="CC211">
        <v>0</v>
      </c>
      <c r="CD211">
        <v>0</v>
      </c>
      <c r="CE211">
        <v>0</v>
      </c>
      <c r="CF211">
        <v>0</v>
      </c>
      <c r="CG211">
        <v>0</v>
      </c>
      <c r="CH211">
        <v>0</v>
      </c>
      <c r="CI211">
        <v>1</v>
      </c>
      <c r="CJ211">
        <v>0</v>
      </c>
      <c r="CK211">
        <v>0</v>
      </c>
      <c r="CL211">
        <v>0</v>
      </c>
      <c r="CN211">
        <v>6</v>
      </c>
      <c r="CO211">
        <v>4</v>
      </c>
      <c r="CQ211">
        <v>1</v>
      </c>
      <c r="CR211">
        <v>2</v>
      </c>
      <c r="EB211">
        <v>0</v>
      </c>
      <c r="EC211">
        <v>0</v>
      </c>
      <c r="ED211">
        <v>1</v>
      </c>
      <c r="EE211">
        <v>1</v>
      </c>
      <c r="EF211">
        <v>0</v>
      </c>
      <c r="EG211">
        <v>0</v>
      </c>
      <c r="EH211">
        <v>0</v>
      </c>
      <c r="EI211">
        <v>0</v>
      </c>
      <c r="EJ211">
        <v>0</v>
      </c>
      <c r="EK211">
        <v>0</v>
      </c>
      <c r="EM211">
        <v>0</v>
      </c>
      <c r="EN211">
        <v>1</v>
      </c>
      <c r="EO211">
        <v>0</v>
      </c>
      <c r="EP211">
        <v>0</v>
      </c>
      <c r="EQ211">
        <v>0</v>
      </c>
      <c r="ER211">
        <v>0</v>
      </c>
      <c r="ES211">
        <v>0</v>
      </c>
      <c r="ET211">
        <v>0</v>
      </c>
      <c r="EU211">
        <v>0</v>
      </c>
      <c r="EV211">
        <v>0</v>
      </c>
      <c r="EW211">
        <v>0</v>
      </c>
      <c r="EX211">
        <v>0</v>
      </c>
      <c r="EY211">
        <v>0</v>
      </c>
      <c r="FB211" t="s">
        <v>1107</v>
      </c>
      <c r="FC211">
        <v>1</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IZ211">
        <v>1</v>
      </c>
      <c r="JA211">
        <v>0</v>
      </c>
      <c r="JB211">
        <v>1</v>
      </c>
      <c r="JC211">
        <v>0</v>
      </c>
      <c r="JD211">
        <v>0</v>
      </c>
      <c r="JE211">
        <v>0</v>
      </c>
      <c r="JF211">
        <v>1</v>
      </c>
      <c r="JG211">
        <v>0</v>
      </c>
      <c r="JH211">
        <v>0</v>
      </c>
      <c r="JI211">
        <v>0</v>
      </c>
      <c r="JJ211">
        <v>0</v>
      </c>
      <c r="JL211">
        <v>1</v>
      </c>
      <c r="JM211" cm="1">
        <f t="array" ref="JM211">IF(OR(JN211:JQ211 &lt;&gt; ""), 1, 0)</f>
        <v>1</v>
      </c>
      <c r="JN211">
        <v>1</v>
      </c>
      <c r="JO211">
        <v>0</v>
      </c>
      <c r="JP211">
        <v>0</v>
      </c>
      <c r="JQ211">
        <v>0</v>
      </c>
    </row>
    <row r="212" spans="1:277" x14ac:dyDescent="0.35">
      <c r="A212">
        <v>346037</v>
      </c>
      <c r="C212">
        <v>1</v>
      </c>
      <c r="D212" t="s">
        <v>1108</v>
      </c>
      <c r="E212" t="str">
        <f>_xlfn.XLOOKUP(I212, [1]SchoolDistrictStudyWODuplicates!$K:$K, [1]SchoolDistrictStudyWODuplicates!$E:$E, "")</f>
        <v>GPISD</v>
      </c>
      <c r="G212" t="s">
        <v>1109</v>
      </c>
      <c r="H212" s="7">
        <v>4821420</v>
      </c>
      <c r="I212" s="7">
        <v>4821420</v>
      </c>
      <c r="J212" s="5" t="e">
        <f>_xlfn.XLOOKUP(I212,#REF!,#REF!,"Not Determined")</f>
        <v>#REF!</v>
      </c>
      <c r="K212" s="5" t="s">
        <v>1149</v>
      </c>
      <c r="L212" t="s">
        <v>1090</v>
      </c>
      <c r="M212" s="13" t="e">
        <f>_xlfn.XLOOKUP(I212,#REF!,#REF!, "No")</f>
        <v>#REF!</v>
      </c>
      <c r="N212" s="5" t="str">
        <f t="shared" si="44"/>
        <v>No</v>
      </c>
      <c r="O212" s="5" t="str">
        <f t="shared" si="45"/>
        <v>Yes</v>
      </c>
      <c r="P212" s="5" t="str">
        <f t="shared" si="46"/>
        <v>No</v>
      </c>
      <c r="Q212" s="5" t="str">
        <f t="shared" si="47"/>
        <v>Yes</v>
      </c>
      <c r="R212" s="5" t="str">
        <f t="shared" si="48"/>
        <v>Yes</v>
      </c>
      <c r="S212" s="5" t="str">
        <f t="shared" si="49"/>
        <v>Yes</v>
      </c>
      <c r="T212" s="5" t="str">
        <f t="shared" si="50"/>
        <v>Yes</v>
      </c>
      <c r="U212" s="5" t="str">
        <f t="shared" si="51"/>
        <v>Yes</v>
      </c>
      <c r="V212" s="5" t="str" cm="1">
        <f t="array" ref="V212">IF(OR(DB212:DG212 =1), "Yes", "No")</f>
        <v>No</v>
      </c>
      <c r="W212" s="5" t="str">
        <f t="shared" si="52"/>
        <v>No</v>
      </c>
      <c r="X212" s="5" t="str">
        <f t="shared" si="53"/>
        <v>No</v>
      </c>
      <c r="Y212" s="5" t="str">
        <f t="shared" si="54"/>
        <v>No</v>
      </c>
      <c r="Z212">
        <v>3</v>
      </c>
      <c r="AB212">
        <v>0</v>
      </c>
      <c r="AC212">
        <v>0</v>
      </c>
      <c r="AD212">
        <v>1</v>
      </c>
      <c r="AE212">
        <v>0</v>
      </c>
      <c r="AF212">
        <v>0</v>
      </c>
      <c r="AG212">
        <v>0</v>
      </c>
      <c r="AH212">
        <v>0</v>
      </c>
      <c r="AI212">
        <v>0</v>
      </c>
      <c r="AJ212">
        <v>0</v>
      </c>
      <c r="AK212">
        <v>1</v>
      </c>
      <c r="AM212">
        <v>1</v>
      </c>
      <c r="AN212">
        <v>1</v>
      </c>
      <c r="AO212">
        <v>0</v>
      </c>
      <c r="AP212">
        <v>15</v>
      </c>
      <c r="AQ212">
        <v>125</v>
      </c>
      <c r="AS212">
        <v>15</v>
      </c>
      <c r="AT212">
        <v>125</v>
      </c>
      <c r="AV212">
        <v>1</v>
      </c>
      <c r="AW212">
        <v>1</v>
      </c>
      <c r="AX212">
        <v>0</v>
      </c>
      <c r="AY212">
        <v>0</v>
      </c>
      <c r="AZ212">
        <v>0</v>
      </c>
      <c r="BA212">
        <v>0</v>
      </c>
      <c r="BC212">
        <v>1</v>
      </c>
      <c r="BE212">
        <v>1</v>
      </c>
      <c r="BG212">
        <v>1</v>
      </c>
      <c r="BH212">
        <v>1</v>
      </c>
      <c r="BI212">
        <v>4</v>
      </c>
      <c r="BJ212">
        <v>2</v>
      </c>
      <c r="BL212">
        <v>2</v>
      </c>
      <c r="BM212">
        <v>2</v>
      </c>
      <c r="BN212">
        <v>1</v>
      </c>
      <c r="BO212">
        <v>0</v>
      </c>
      <c r="BP212">
        <v>0</v>
      </c>
      <c r="BQ212">
        <v>1</v>
      </c>
      <c r="BR212">
        <v>0</v>
      </c>
      <c r="BS212">
        <v>0</v>
      </c>
      <c r="BT212">
        <v>0</v>
      </c>
      <c r="BV212">
        <v>1</v>
      </c>
      <c r="BW212">
        <v>0</v>
      </c>
      <c r="BX212">
        <v>1</v>
      </c>
      <c r="BY212">
        <v>0</v>
      </c>
      <c r="BZ212">
        <v>0</v>
      </c>
      <c r="CA212">
        <v>0</v>
      </c>
      <c r="CB212">
        <v>0</v>
      </c>
      <c r="CC212">
        <v>0</v>
      </c>
      <c r="CD212">
        <v>1</v>
      </c>
      <c r="CE212">
        <v>0</v>
      </c>
      <c r="CF212">
        <v>0</v>
      </c>
      <c r="CG212">
        <v>1</v>
      </c>
      <c r="CH212">
        <v>0</v>
      </c>
      <c r="CI212">
        <v>1</v>
      </c>
      <c r="CJ212">
        <v>0</v>
      </c>
      <c r="CK212">
        <v>0</v>
      </c>
      <c r="CL212">
        <v>0</v>
      </c>
      <c r="CN212">
        <v>9</v>
      </c>
      <c r="CO212">
        <v>4</v>
      </c>
      <c r="CQ212">
        <v>3</v>
      </c>
      <c r="CR212">
        <v>3</v>
      </c>
      <c r="EB212">
        <v>0</v>
      </c>
      <c r="EC212">
        <v>1</v>
      </c>
      <c r="ED212">
        <v>1</v>
      </c>
      <c r="EE212">
        <v>1</v>
      </c>
      <c r="EF212">
        <v>1</v>
      </c>
      <c r="EG212">
        <v>1</v>
      </c>
      <c r="EH212">
        <v>0</v>
      </c>
      <c r="EI212">
        <v>0</v>
      </c>
      <c r="EJ212">
        <v>0</v>
      </c>
      <c r="EK212">
        <v>0</v>
      </c>
      <c r="EM212">
        <v>0</v>
      </c>
      <c r="EN212">
        <v>0</v>
      </c>
      <c r="EO212">
        <v>0</v>
      </c>
      <c r="EP212">
        <v>0</v>
      </c>
      <c r="EQ212">
        <v>0</v>
      </c>
      <c r="ER212">
        <v>0</v>
      </c>
      <c r="ES212">
        <v>0</v>
      </c>
      <c r="ET212">
        <v>0</v>
      </c>
      <c r="EU212">
        <v>0</v>
      </c>
      <c r="EV212">
        <v>0</v>
      </c>
      <c r="EW212">
        <v>1</v>
      </c>
      <c r="EX212">
        <v>0</v>
      </c>
      <c r="EY212">
        <v>0</v>
      </c>
      <c r="IZ212">
        <v>1</v>
      </c>
      <c r="JA212">
        <v>0</v>
      </c>
      <c r="JB212">
        <v>0</v>
      </c>
      <c r="JC212">
        <v>1</v>
      </c>
      <c r="JD212">
        <v>1</v>
      </c>
      <c r="JE212">
        <v>0</v>
      </c>
      <c r="JF212">
        <v>0</v>
      </c>
      <c r="JG212">
        <v>0</v>
      </c>
      <c r="JH212">
        <v>0</v>
      </c>
      <c r="JI212">
        <v>0</v>
      </c>
      <c r="JJ212">
        <v>0</v>
      </c>
      <c r="JL212">
        <v>2</v>
      </c>
      <c r="JM212" cm="1">
        <f t="array" ref="JM212">IF(OR(JN212:JQ212 &lt;&gt; ""), 1, 0)</f>
        <v>0</v>
      </c>
    </row>
    <row r="213" spans="1:277" x14ac:dyDescent="0.35">
      <c r="A213">
        <v>405319</v>
      </c>
      <c r="C213">
        <v>1</v>
      </c>
      <c r="D213" t="s">
        <v>1110</v>
      </c>
      <c r="E213" t="str">
        <f>_xlfn.XLOOKUP(I213, [1]SchoolDistrictStudyWODuplicates!$K:$K, [1]SchoolDistrictStudyWODuplicates!$E:$E, "")</f>
        <v/>
      </c>
      <c r="G213" t="s">
        <v>1111</v>
      </c>
      <c r="H213" s="5" t="e">
        <f>_xlfn.XLOOKUP(A213,#REF!,#REF!, "No")</f>
        <v>#REF!</v>
      </c>
      <c r="I213" s="7">
        <v>4826130</v>
      </c>
      <c r="J213" s="5" t="e">
        <f>_xlfn.XLOOKUP(I213,#REF!,#REF!,"Not Determined")</f>
        <v>#REF!</v>
      </c>
      <c r="K213" s="5" t="s">
        <v>1149</v>
      </c>
      <c r="L213" t="s">
        <v>1090</v>
      </c>
      <c r="M213" s="13" t="e">
        <f>_xlfn.XLOOKUP(I213,#REF!,#REF!, "No")</f>
        <v>#REF!</v>
      </c>
      <c r="N213" s="5" t="str">
        <f t="shared" si="44"/>
        <v>No</v>
      </c>
      <c r="O213" s="5" t="str">
        <f t="shared" si="45"/>
        <v>Yes</v>
      </c>
      <c r="P213" s="5" t="str">
        <f t="shared" si="46"/>
        <v>Yes</v>
      </c>
      <c r="Q213" s="5" t="str">
        <f t="shared" si="47"/>
        <v>Yes</v>
      </c>
      <c r="R213" s="5" t="str">
        <f t="shared" si="48"/>
        <v>No</v>
      </c>
      <c r="S213" s="5" t="str">
        <f t="shared" si="49"/>
        <v>No</v>
      </c>
      <c r="T213" s="5" t="str">
        <f t="shared" si="50"/>
        <v>No</v>
      </c>
      <c r="U213" s="5" t="str">
        <f t="shared" si="51"/>
        <v>No</v>
      </c>
      <c r="V213" s="5" t="str" cm="1">
        <f t="array" ref="V213">IF(OR(DB213:DG213 =1), "Yes", "No")</f>
        <v>No</v>
      </c>
      <c r="W213" s="5" t="str">
        <f t="shared" si="52"/>
        <v>No</v>
      </c>
      <c r="X213" s="5" t="str">
        <f t="shared" si="53"/>
        <v>No</v>
      </c>
      <c r="Y213" s="5" t="str">
        <f t="shared" si="54"/>
        <v>No</v>
      </c>
      <c r="Z213">
        <v>8</v>
      </c>
      <c r="AB213">
        <v>1</v>
      </c>
      <c r="AC213">
        <v>0</v>
      </c>
      <c r="AD213">
        <v>1</v>
      </c>
      <c r="AE213">
        <v>1</v>
      </c>
      <c r="AF213">
        <v>0</v>
      </c>
      <c r="AG213">
        <v>0</v>
      </c>
      <c r="AH213">
        <v>0</v>
      </c>
      <c r="AI213">
        <v>0</v>
      </c>
      <c r="AJ213">
        <v>0</v>
      </c>
      <c r="AK213">
        <v>1</v>
      </c>
      <c r="AM213">
        <v>1</v>
      </c>
      <c r="AN213">
        <v>1</v>
      </c>
      <c r="AO213">
        <v>0</v>
      </c>
      <c r="AP213">
        <v>30</v>
      </c>
      <c r="AQ213">
        <v>180</v>
      </c>
      <c r="AS213">
        <v>30</v>
      </c>
      <c r="AT213">
        <v>180</v>
      </c>
      <c r="AV213">
        <v>1</v>
      </c>
      <c r="AW213">
        <v>1</v>
      </c>
      <c r="AX213">
        <v>0</v>
      </c>
      <c r="AY213">
        <v>0</v>
      </c>
      <c r="AZ213">
        <v>0</v>
      </c>
      <c r="BA213">
        <v>0</v>
      </c>
      <c r="BC213">
        <v>1</v>
      </c>
      <c r="BE213">
        <v>1</v>
      </c>
      <c r="BG213">
        <v>1</v>
      </c>
      <c r="BH213">
        <v>1</v>
      </c>
      <c r="BI213">
        <v>5</v>
      </c>
      <c r="BJ213">
        <v>1</v>
      </c>
      <c r="BK213">
        <v>6</v>
      </c>
      <c r="BL213">
        <v>1</v>
      </c>
      <c r="BM213">
        <v>1</v>
      </c>
      <c r="BN213">
        <v>2</v>
      </c>
      <c r="BV213">
        <v>1</v>
      </c>
      <c r="BW213">
        <v>1</v>
      </c>
      <c r="BX213">
        <v>1</v>
      </c>
      <c r="BY213">
        <v>0</v>
      </c>
      <c r="BZ213">
        <v>0</v>
      </c>
      <c r="CA213">
        <v>0</v>
      </c>
      <c r="CB213">
        <v>0</v>
      </c>
      <c r="CC213">
        <v>0</v>
      </c>
      <c r="CD213">
        <v>0</v>
      </c>
      <c r="CE213">
        <v>0</v>
      </c>
      <c r="CF213">
        <v>0</v>
      </c>
      <c r="CG213">
        <v>1</v>
      </c>
      <c r="CH213">
        <v>0</v>
      </c>
      <c r="CI213">
        <v>1</v>
      </c>
      <c r="CJ213">
        <v>0</v>
      </c>
      <c r="CK213">
        <v>1</v>
      </c>
      <c r="CL213">
        <v>0</v>
      </c>
      <c r="JM213" cm="1">
        <f t="array" ref="JM213">IF(OR(JN213:JQ213 &lt;&gt; ""), 1, 0)</f>
        <v>0</v>
      </c>
    </row>
    <row r="214" spans="1:277" x14ac:dyDescent="0.35">
      <c r="A214">
        <v>405487</v>
      </c>
      <c r="C214">
        <v>1</v>
      </c>
      <c r="D214" t="s">
        <v>1112</v>
      </c>
      <c r="E214" t="str">
        <f>_xlfn.XLOOKUP(I214, [1]SchoolDistrictStudyWODuplicates!$K:$K, [1]SchoolDistrictStudyWODuplicates!$E:$E, "")</f>
        <v/>
      </c>
      <c r="G214" t="s">
        <v>1113</v>
      </c>
      <c r="H214" s="7">
        <v>4833340</v>
      </c>
      <c r="I214" s="7">
        <v>4833340</v>
      </c>
      <c r="J214" s="5" t="e">
        <f>_xlfn.XLOOKUP(I214,#REF!,#REF!,"Not Determined")</f>
        <v>#REF!</v>
      </c>
      <c r="K214" s="5" t="s">
        <v>1149</v>
      </c>
      <c r="L214" t="s">
        <v>1090</v>
      </c>
      <c r="M214" s="13" t="e">
        <f>_xlfn.XLOOKUP(I214,#REF!,#REF!, "No")</f>
        <v>#REF!</v>
      </c>
      <c r="N214" s="5" t="str">
        <f t="shared" si="44"/>
        <v>No</v>
      </c>
      <c r="O214" s="5" t="str">
        <f t="shared" si="45"/>
        <v>Yes</v>
      </c>
      <c r="P214" s="5" t="str">
        <f t="shared" si="46"/>
        <v>No</v>
      </c>
      <c r="Q214" s="5" t="str">
        <f t="shared" si="47"/>
        <v>Yes</v>
      </c>
      <c r="R214" s="5" t="str">
        <f t="shared" si="48"/>
        <v>Yes</v>
      </c>
      <c r="S214" s="5" t="str">
        <f t="shared" si="49"/>
        <v>Yes</v>
      </c>
      <c r="T214" s="5" t="str">
        <f t="shared" si="50"/>
        <v>Yes</v>
      </c>
      <c r="U214" s="5" t="str">
        <f t="shared" si="51"/>
        <v>Yes</v>
      </c>
      <c r="V214" s="5" t="str" cm="1">
        <f t="array" ref="V214">IF(OR(DB214:DG214 =1), "Yes", "No")</f>
        <v>No</v>
      </c>
      <c r="W214" s="5" t="str">
        <f t="shared" si="52"/>
        <v>Yes</v>
      </c>
      <c r="X214" s="5" t="str">
        <f t="shared" si="53"/>
        <v>No</v>
      </c>
      <c r="Y214" s="5" t="str">
        <f t="shared" si="54"/>
        <v>No</v>
      </c>
      <c r="Z214">
        <v>1</v>
      </c>
      <c r="AB214">
        <v>1</v>
      </c>
      <c r="AC214">
        <v>0</v>
      </c>
      <c r="AD214">
        <v>0</v>
      </c>
      <c r="AE214">
        <v>0</v>
      </c>
      <c r="AF214">
        <v>0</v>
      </c>
      <c r="AG214">
        <v>0</v>
      </c>
      <c r="AH214">
        <v>0</v>
      </c>
      <c r="AI214">
        <v>0</v>
      </c>
      <c r="AJ214">
        <v>0</v>
      </c>
      <c r="AK214">
        <v>1</v>
      </c>
      <c r="AM214">
        <v>0</v>
      </c>
      <c r="AN214">
        <v>1</v>
      </c>
      <c r="AO214">
        <v>0</v>
      </c>
      <c r="AQ214">
        <v>8</v>
      </c>
      <c r="AT214">
        <v>8</v>
      </c>
      <c r="AV214">
        <v>1</v>
      </c>
      <c r="AW214">
        <v>0</v>
      </c>
      <c r="AX214">
        <v>0</v>
      </c>
      <c r="AY214">
        <v>0</v>
      </c>
      <c r="AZ214">
        <v>0</v>
      </c>
      <c r="BA214">
        <v>0</v>
      </c>
      <c r="BC214">
        <v>5</v>
      </c>
      <c r="BE214">
        <v>1</v>
      </c>
      <c r="BG214">
        <v>1</v>
      </c>
      <c r="BH214">
        <v>1</v>
      </c>
      <c r="BI214">
        <v>2</v>
      </c>
      <c r="BJ214">
        <v>2</v>
      </c>
      <c r="BL214">
        <v>2</v>
      </c>
      <c r="BM214">
        <v>2</v>
      </c>
      <c r="BN214">
        <v>1</v>
      </c>
      <c r="BO214">
        <v>0</v>
      </c>
      <c r="BP214">
        <v>0</v>
      </c>
      <c r="BQ214">
        <v>0</v>
      </c>
      <c r="BR214">
        <v>0</v>
      </c>
      <c r="BS214">
        <v>0</v>
      </c>
      <c r="BT214">
        <v>1</v>
      </c>
      <c r="BU214" t="s">
        <v>1114</v>
      </c>
      <c r="BV214">
        <v>1</v>
      </c>
      <c r="BW214">
        <v>0</v>
      </c>
      <c r="BX214">
        <v>0</v>
      </c>
      <c r="BY214">
        <v>0</v>
      </c>
      <c r="BZ214">
        <v>1</v>
      </c>
      <c r="CA214">
        <v>0</v>
      </c>
      <c r="CB214">
        <v>0</v>
      </c>
      <c r="CC214">
        <v>0</v>
      </c>
      <c r="CD214">
        <v>1</v>
      </c>
      <c r="CE214">
        <v>0</v>
      </c>
      <c r="CF214">
        <v>0</v>
      </c>
      <c r="CG214">
        <v>0</v>
      </c>
      <c r="CH214">
        <v>0</v>
      </c>
      <c r="CI214">
        <v>0</v>
      </c>
      <c r="CJ214">
        <v>1</v>
      </c>
      <c r="CK214">
        <v>0</v>
      </c>
      <c r="CL214">
        <v>0</v>
      </c>
      <c r="CN214">
        <v>1</v>
      </c>
      <c r="CO214">
        <v>4</v>
      </c>
      <c r="CQ214">
        <v>3</v>
      </c>
      <c r="CR214">
        <v>4</v>
      </c>
      <c r="EB214">
        <v>0</v>
      </c>
      <c r="EC214">
        <v>0</v>
      </c>
      <c r="ED214">
        <v>0</v>
      </c>
      <c r="EE214">
        <v>0</v>
      </c>
      <c r="EF214">
        <v>0</v>
      </c>
      <c r="EG214">
        <v>1</v>
      </c>
      <c r="EH214">
        <v>0</v>
      </c>
      <c r="EI214">
        <v>0</v>
      </c>
      <c r="EJ214">
        <v>0</v>
      </c>
      <c r="EK214">
        <v>0</v>
      </c>
      <c r="EM214">
        <v>0</v>
      </c>
      <c r="EN214">
        <v>1</v>
      </c>
      <c r="EO214">
        <v>1</v>
      </c>
      <c r="EP214">
        <v>1</v>
      </c>
      <c r="EQ214">
        <v>1</v>
      </c>
      <c r="ER214">
        <v>0</v>
      </c>
      <c r="ES214">
        <v>0</v>
      </c>
      <c r="ET214">
        <v>0</v>
      </c>
      <c r="EU214">
        <v>0</v>
      </c>
      <c r="EV214">
        <v>0</v>
      </c>
      <c r="EW214">
        <v>0</v>
      </c>
      <c r="EX214">
        <v>0</v>
      </c>
      <c r="EY214">
        <v>0</v>
      </c>
      <c r="FB214" t="s">
        <v>274</v>
      </c>
      <c r="FC214">
        <v>1</v>
      </c>
      <c r="FD214">
        <v>0</v>
      </c>
      <c r="FE214">
        <v>0</v>
      </c>
      <c r="FF214">
        <v>0</v>
      </c>
      <c r="FG214">
        <v>0</v>
      </c>
      <c r="FH214">
        <v>0</v>
      </c>
      <c r="FI214">
        <v>0</v>
      </c>
      <c r="FJ214">
        <v>0</v>
      </c>
      <c r="FK214">
        <v>0</v>
      </c>
      <c r="FL214">
        <v>0</v>
      </c>
      <c r="FM214">
        <v>0</v>
      </c>
      <c r="FN214">
        <v>0</v>
      </c>
      <c r="FO214">
        <v>0</v>
      </c>
      <c r="FP214">
        <v>0</v>
      </c>
      <c r="FQ214">
        <v>0</v>
      </c>
      <c r="FR214">
        <v>0</v>
      </c>
      <c r="FS214">
        <v>0</v>
      </c>
      <c r="FT214">
        <v>0</v>
      </c>
      <c r="FU214">
        <v>0</v>
      </c>
      <c r="FV214">
        <v>0</v>
      </c>
      <c r="FW214">
        <v>0</v>
      </c>
      <c r="FX214">
        <v>0</v>
      </c>
      <c r="FY214" t="s">
        <v>1115</v>
      </c>
      <c r="FZ214">
        <v>0</v>
      </c>
      <c r="GA214">
        <v>0</v>
      </c>
      <c r="GB214">
        <v>0</v>
      </c>
      <c r="GC214">
        <v>0</v>
      </c>
      <c r="GD214">
        <v>0</v>
      </c>
      <c r="GE214">
        <v>0</v>
      </c>
      <c r="GF214">
        <v>0</v>
      </c>
      <c r="GG214">
        <v>0</v>
      </c>
      <c r="GH214">
        <v>0</v>
      </c>
      <c r="GI214">
        <v>0</v>
      </c>
      <c r="GJ214">
        <v>0</v>
      </c>
      <c r="GK214">
        <v>0</v>
      </c>
      <c r="GL214">
        <v>0</v>
      </c>
      <c r="GM214">
        <v>0</v>
      </c>
      <c r="GN214">
        <v>0</v>
      </c>
      <c r="GO214">
        <v>0</v>
      </c>
      <c r="GP214">
        <v>0</v>
      </c>
      <c r="GQ214">
        <v>1</v>
      </c>
      <c r="GR214">
        <v>0</v>
      </c>
      <c r="IZ214">
        <v>1</v>
      </c>
      <c r="JA214">
        <v>1</v>
      </c>
      <c r="JB214">
        <v>1</v>
      </c>
      <c r="JC214">
        <v>0</v>
      </c>
      <c r="JD214">
        <v>0</v>
      </c>
      <c r="JE214">
        <v>0</v>
      </c>
      <c r="JF214">
        <v>0</v>
      </c>
      <c r="JG214">
        <v>0</v>
      </c>
      <c r="JH214">
        <v>0</v>
      </c>
      <c r="JI214">
        <v>0</v>
      </c>
      <c r="JJ214">
        <v>0</v>
      </c>
      <c r="JL214">
        <v>1</v>
      </c>
      <c r="JM214" cm="1">
        <f t="array" ref="JM214">IF(OR(JN214:JQ214 &lt;&gt; ""), 1, 0)</f>
        <v>1</v>
      </c>
      <c r="JN214">
        <v>1</v>
      </c>
      <c r="JO214">
        <v>0</v>
      </c>
      <c r="JP214">
        <v>0</v>
      </c>
      <c r="JQ214">
        <v>0</v>
      </c>
    </row>
    <row r="215" spans="1:277" x14ac:dyDescent="0.35">
      <c r="A215">
        <v>393624</v>
      </c>
      <c r="C215">
        <v>1</v>
      </c>
      <c r="D215" t="s">
        <v>1116</v>
      </c>
      <c r="E215" t="str">
        <f>_xlfn.XLOOKUP(I215, [1]SchoolDistrictStudyWODuplicates!$K:$K, [1]SchoolDistrictStudyWODuplicates!$E:$E, "")</f>
        <v>Rockdale ISD</v>
      </c>
      <c r="G215" t="s">
        <v>1117</v>
      </c>
      <c r="H215" s="7">
        <v>4837590</v>
      </c>
      <c r="I215" s="7">
        <v>4837590</v>
      </c>
      <c r="J215" s="5" t="e">
        <f>_xlfn.XLOOKUP(I215,#REF!,#REF!,"Not Determined")</f>
        <v>#REF!</v>
      </c>
      <c r="K215" s="5" t="s">
        <v>1149</v>
      </c>
      <c r="L215" t="s">
        <v>1090</v>
      </c>
      <c r="M215" s="13" t="e">
        <f>_xlfn.XLOOKUP(I215,#REF!,#REF!, "No")</f>
        <v>#REF!</v>
      </c>
      <c r="N215" s="5" t="str">
        <f t="shared" si="44"/>
        <v>No</v>
      </c>
      <c r="O215" s="5" t="str">
        <f t="shared" si="45"/>
        <v>Yes</v>
      </c>
      <c r="P215" s="5" t="str">
        <f t="shared" si="46"/>
        <v>No</v>
      </c>
      <c r="Q215" s="5" t="str">
        <f t="shared" si="47"/>
        <v>Yes</v>
      </c>
      <c r="R215" s="5" t="str">
        <f t="shared" si="48"/>
        <v>Yes</v>
      </c>
      <c r="S215" s="5" t="str">
        <f t="shared" si="49"/>
        <v>Yes</v>
      </c>
      <c r="T215" s="5" t="str">
        <f t="shared" si="50"/>
        <v>Yes</v>
      </c>
      <c r="U215" s="5" t="str">
        <f t="shared" si="51"/>
        <v>Yes</v>
      </c>
      <c r="V215" s="5" t="str" cm="1">
        <f t="array" ref="V215">IF(OR(DB215:DG215 =1), "Yes", "No")</f>
        <v>No</v>
      </c>
      <c r="W215" s="5" t="str">
        <f t="shared" si="52"/>
        <v>No</v>
      </c>
      <c r="X215" s="5" t="str">
        <f t="shared" si="53"/>
        <v>No</v>
      </c>
      <c r="Y215" s="5" t="str">
        <f t="shared" si="54"/>
        <v>No</v>
      </c>
      <c r="Z215">
        <v>3</v>
      </c>
      <c r="AB215">
        <v>1</v>
      </c>
      <c r="AC215">
        <v>0</v>
      </c>
      <c r="AD215">
        <v>1</v>
      </c>
      <c r="AE215">
        <v>0</v>
      </c>
      <c r="AF215">
        <v>0</v>
      </c>
      <c r="AG215">
        <v>0</v>
      </c>
      <c r="AH215">
        <v>0</v>
      </c>
      <c r="AI215">
        <v>0</v>
      </c>
      <c r="AJ215">
        <v>0</v>
      </c>
      <c r="AK215">
        <v>1</v>
      </c>
      <c r="AM215">
        <v>0</v>
      </c>
      <c r="AN215">
        <v>1</v>
      </c>
      <c r="AO215">
        <v>0</v>
      </c>
      <c r="AQ215">
        <v>20</v>
      </c>
      <c r="AT215">
        <v>20</v>
      </c>
      <c r="AV215">
        <v>1</v>
      </c>
      <c r="AW215">
        <v>1</v>
      </c>
      <c r="AX215">
        <v>0</v>
      </c>
      <c r="AY215">
        <v>0</v>
      </c>
      <c r="AZ215">
        <v>0</v>
      </c>
      <c r="BA215">
        <v>0</v>
      </c>
      <c r="BC215">
        <v>2</v>
      </c>
      <c r="BE215">
        <v>1</v>
      </c>
      <c r="BG215">
        <v>1</v>
      </c>
      <c r="BH215">
        <v>1</v>
      </c>
      <c r="BI215">
        <v>5</v>
      </c>
      <c r="BJ215">
        <v>2</v>
      </c>
      <c r="BL215">
        <v>2</v>
      </c>
      <c r="BM215">
        <v>2</v>
      </c>
      <c r="BN215">
        <v>2</v>
      </c>
      <c r="BV215">
        <v>1</v>
      </c>
      <c r="BW215">
        <v>0</v>
      </c>
      <c r="BX215">
        <v>1</v>
      </c>
      <c r="BY215">
        <v>0</v>
      </c>
      <c r="BZ215">
        <v>1</v>
      </c>
      <c r="CA215">
        <v>0</v>
      </c>
      <c r="CB215">
        <v>0</v>
      </c>
      <c r="CC215">
        <v>0</v>
      </c>
      <c r="CD215">
        <v>0</v>
      </c>
      <c r="CE215">
        <v>0</v>
      </c>
      <c r="CF215">
        <v>0</v>
      </c>
      <c r="CG215">
        <v>1</v>
      </c>
      <c r="CH215">
        <v>0</v>
      </c>
      <c r="CI215">
        <v>1</v>
      </c>
      <c r="CJ215">
        <v>0</v>
      </c>
      <c r="CK215">
        <v>0</v>
      </c>
      <c r="CL215">
        <v>0</v>
      </c>
      <c r="CN215">
        <v>5</v>
      </c>
      <c r="CO215">
        <v>4</v>
      </c>
      <c r="CQ215">
        <v>3</v>
      </c>
      <c r="CR215">
        <v>4</v>
      </c>
      <c r="EB215">
        <v>0</v>
      </c>
      <c r="EC215">
        <v>0</v>
      </c>
      <c r="ED215">
        <v>0</v>
      </c>
      <c r="EE215">
        <v>1</v>
      </c>
      <c r="EF215">
        <v>0</v>
      </c>
      <c r="EG215">
        <v>0</v>
      </c>
      <c r="EH215">
        <v>0</v>
      </c>
      <c r="EI215">
        <v>0</v>
      </c>
      <c r="EJ215">
        <v>0</v>
      </c>
      <c r="EK215">
        <v>0</v>
      </c>
      <c r="EM215">
        <v>0</v>
      </c>
      <c r="EN215">
        <v>0</v>
      </c>
      <c r="EO215">
        <v>0</v>
      </c>
      <c r="EP215">
        <v>1</v>
      </c>
      <c r="EQ215">
        <v>0</v>
      </c>
      <c r="ER215">
        <v>0</v>
      </c>
      <c r="ES215">
        <v>0</v>
      </c>
      <c r="ET215">
        <v>0</v>
      </c>
      <c r="EU215">
        <v>0</v>
      </c>
      <c r="EV215">
        <v>0</v>
      </c>
      <c r="EW215">
        <v>0</v>
      </c>
      <c r="EX215">
        <v>0</v>
      </c>
      <c r="EY215">
        <v>0</v>
      </c>
      <c r="IZ215">
        <v>1</v>
      </c>
      <c r="JA215">
        <v>0</v>
      </c>
      <c r="JB215">
        <v>1</v>
      </c>
      <c r="JC215">
        <v>0</v>
      </c>
      <c r="JD215">
        <v>1</v>
      </c>
      <c r="JE215">
        <v>0</v>
      </c>
      <c r="JF215">
        <v>0</v>
      </c>
      <c r="JG215">
        <v>0</v>
      </c>
      <c r="JH215">
        <v>0</v>
      </c>
      <c r="JI215">
        <v>0</v>
      </c>
      <c r="JJ215">
        <v>0</v>
      </c>
      <c r="JL215">
        <v>2</v>
      </c>
      <c r="JM215" cm="1">
        <f t="array" ref="JM215">IF(OR(JN215:JQ215 &lt;&gt; ""), 1, 0)</f>
        <v>0</v>
      </c>
    </row>
    <row r="216" spans="1:277" x14ac:dyDescent="0.35">
      <c r="A216">
        <v>362425</v>
      </c>
      <c r="C216">
        <v>1</v>
      </c>
      <c r="D216" t="s">
        <v>1118</v>
      </c>
      <c r="E216" t="str">
        <f>_xlfn.XLOOKUP(I216, [1]SchoolDistrictStudyWODuplicates!$K:$K, [1]SchoolDistrictStudyWODuplicates!$E:$E, "")</f>
        <v/>
      </c>
      <c r="G216" t="s">
        <v>1119</v>
      </c>
      <c r="H216" s="7">
        <v>4837740</v>
      </c>
      <c r="I216" s="7">
        <v>4837740</v>
      </c>
      <c r="J216" s="5" t="e">
        <f>_xlfn.XLOOKUP(I216,#REF!,#REF!,"Not Determined")</f>
        <v>#REF!</v>
      </c>
      <c r="K216" s="5" t="s">
        <v>1149</v>
      </c>
      <c r="L216" t="s">
        <v>1090</v>
      </c>
      <c r="M216" s="13" t="e">
        <f>_xlfn.XLOOKUP(I216,#REF!,#REF!, "No")</f>
        <v>#REF!</v>
      </c>
      <c r="N216" s="5" t="str">
        <f t="shared" si="44"/>
        <v>No</v>
      </c>
      <c r="O216" s="5" t="str">
        <f t="shared" si="45"/>
        <v>Yes</v>
      </c>
      <c r="P216" s="5" t="str">
        <f t="shared" si="46"/>
        <v>Yes</v>
      </c>
      <c r="Q216" s="5" t="str">
        <f t="shared" si="47"/>
        <v>Yes</v>
      </c>
      <c r="R216" s="5" t="str">
        <f t="shared" si="48"/>
        <v>Yes</v>
      </c>
      <c r="S216" s="5" t="str">
        <f t="shared" si="49"/>
        <v>Yes</v>
      </c>
      <c r="T216" s="5" t="str">
        <f t="shared" si="50"/>
        <v>Yes</v>
      </c>
      <c r="U216" s="5" t="str">
        <f t="shared" si="51"/>
        <v>Yes</v>
      </c>
      <c r="V216" s="5" t="str" cm="1">
        <f t="array" ref="V216">IF(OR(DB216:DG216 =1), "Yes", "No")</f>
        <v>No</v>
      </c>
      <c r="W216" s="5" t="str">
        <f t="shared" si="52"/>
        <v>No</v>
      </c>
      <c r="X216" s="5" t="str">
        <f t="shared" si="53"/>
        <v>No</v>
      </c>
      <c r="Y216" s="5" t="str">
        <f t="shared" si="54"/>
        <v>No</v>
      </c>
      <c r="Z216">
        <v>13</v>
      </c>
      <c r="AB216">
        <v>1</v>
      </c>
      <c r="AC216">
        <v>0</v>
      </c>
      <c r="AD216">
        <v>1</v>
      </c>
      <c r="AE216">
        <v>0</v>
      </c>
      <c r="AF216">
        <v>0</v>
      </c>
      <c r="AG216">
        <v>1</v>
      </c>
      <c r="AH216">
        <v>0</v>
      </c>
      <c r="AI216">
        <v>1</v>
      </c>
      <c r="AJ216">
        <v>0</v>
      </c>
      <c r="AK216">
        <v>1</v>
      </c>
      <c r="AM216">
        <v>1</v>
      </c>
      <c r="AN216">
        <v>1</v>
      </c>
      <c r="AO216">
        <v>0</v>
      </c>
      <c r="AP216">
        <v>20</v>
      </c>
      <c r="AQ216">
        <v>40</v>
      </c>
      <c r="AS216">
        <v>20</v>
      </c>
      <c r="AT216">
        <v>40</v>
      </c>
      <c r="AV216">
        <v>1</v>
      </c>
      <c r="AW216">
        <v>1</v>
      </c>
      <c r="AX216">
        <v>0</v>
      </c>
      <c r="AY216">
        <v>0</v>
      </c>
      <c r="AZ216">
        <v>0</v>
      </c>
      <c r="BA216">
        <v>0</v>
      </c>
      <c r="BC216">
        <v>1</v>
      </c>
      <c r="BE216">
        <v>1</v>
      </c>
      <c r="BG216">
        <v>1</v>
      </c>
      <c r="BH216">
        <v>1</v>
      </c>
      <c r="BI216">
        <v>2</v>
      </c>
      <c r="BJ216">
        <v>1</v>
      </c>
      <c r="BK216">
        <v>6</v>
      </c>
      <c r="BL216">
        <v>2</v>
      </c>
      <c r="BM216">
        <v>1</v>
      </c>
      <c r="BN216">
        <v>1</v>
      </c>
      <c r="BO216">
        <v>0</v>
      </c>
      <c r="BP216">
        <v>0</v>
      </c>
      <c r="BQ216">
        <v>0</v>
      </c>
      <c r="BR216">
        <v>0</v>
      </c>
      <c r="BS216">
        <v>1</v>
      </c>
      <c r="BT216">
        <v>0</v>
      </c>
      <c r="BV216">
        <v>0</v>
      </c>
      <c r="BW216">
        <v>0</v>
      </c>
      <c r="BX216">
        <v>1</v>
      </c>
      <c r="BY216">
        <v>0</v>
      </c>
      <c r="BZ216">
        <v>1</v>
      </c>
      <c r="CA216">
        <v>0</v>
      </c>
      <c r="CB216">
        <v>0</v>
      </c>
      <c r="CC216">
        <v>0</v>
      </c>
      <c r="CD216">
        <v>1</v>
      </c>
      <c r="CE216">
        <v>0</v>
      </c>
      <c r="CF216">
        <v>0</v>
      </c>
      <c r="CG216">
        <v>0</v>
      </c>
      <c r="CH216">
        <v>0</v>
      </c>
      <c r="CI216">
        <v>0</v>
      </c>
      <c r="CJ216">
        <v>0</v>
      </c>
      <c r="CK216">
        <v>0</v>
      </c>
      <c r="CL216">
        <v>0</v>
      </c>
      <c r="CN216">
        <v>9</v>
      </c>
      <c r="CO216">
        <v>3</v>
      </c>
      <c r="CP216" t="s">
        <v>1120</v>
      </c>
      <c r="CQ216">
        <v>4</v>
      </c>
      <c r="CR216">
        <v>4</v>
      </c>
      <c r="EB216">
        <v>0</v>
      </c>
      <c r="EC216">
        <v>0</v>
      </c>
      <c r="ED216">
        <v>0</v>
      </c>
      <c r="EE216">
        <v>0</v>
      </c>
      <c r="EF216">
        <v>0</v>
      </c>
      <c r="EG216">
        <v>1</v>
      </c>
      <c r="EH216">
        <v>0</v>
      </c>
      <c r="EI216">
        <v>0</v>
      </c>
      <c r="EJ216">
        <v>0</v>
      </c>
      <c r="EK216">
        <v>0</v>
      </c>
      <c r="EM216">
        <v>0</v>
      </c>
      <c r="EN216">
        <v>1</v>
      </c>
      <c r="EO216">
        <v>1</v>
      </c>
      <c r="EP216">
        <v>1</v>
      </c>
      <c r="EQ216">
        <v>1</v>
      </c>
      <c r="ER216">
        <v>0</v>
      </c>
      <c r="ES216">
        <v>0</v>
      </c>
      <c r="ET216">
        <v>0</v>
      </c>
      <c r="EU216">
        <v>0</v>
      </c>
      <c r="EV216">
        <v>0</v>
      </c>
      <c r="EW216">
        <v>0</v>
      </c>
      <c r="EX216">
        <v>0</v>
      </c>
      <c r="EY216">
        <v>0</v>
      </c>
      <c r="FB216" t="s">
        <v>1121</v>
      </c>
      <c r="FC216">
        <v>0</v>
      </c>
      <c r="FD216">
        <v>0</v>
      </c>
      <c r="FE216">
        <v>0</v>
      </c>
      <c r="FF216">
        <v>0</v>
      </c>
      <c r="FG216">
        <v>0</v>
      </c>
      <c r="FH216">
        <v>0</v>
      </c>
      <c r="FI216">
        <v>0</v>
      </c>
      <c r="FJ216">
        <v>0</v>
      </c>
      <c r="FK216">
        <v>0</v>
      </c>
      <c r="FL216">
        <v>0</v>
      </c>
      <c r="FM216">
        <v>0</v>
      </c>
      <c r="FN216">
        <v>0</v>
      </c>
      <c r="FO216">
        <v>0</v>
      </c>
      <c r="FP216">
        <v>0</v>
      </c>
      <c r="FQ216">
        <v>0</v>
      </c>
      <c r="FR216">
        <v>1</v>
      </c>
      <c r="FS216">
        <v>0</v>
      </c>
      <c r="FT216">
        <v>0</v>
      </c>
      <c r="FU216">
        <v>0</v>
      </c>
      <c r="FV216">
        <v>0</v>
      </c>
      <c r="FW216">
        <v>0</v>
      </c>
      <c r="FX216">
        <v>0</v>
      </c>
      <c r="FY216" t="s">
        <v>300</v>
      </c>
      <c r="FZ216">
        <v>1</v>
      </c>
      <c r="GA216">
        <v>0</v>
      </c>
      <c r="GB216">
        <v>0</v>
      </c>
      <c r="GC216">
        <v>0</v>
      </c>
      <c r="GD216">
        <v>0</v>
      </c>
      <c r="GE216">
        <v>0</v>
      </c>
      <c r="GF216">
        <v>0</v>
      </c>
      <c r="GG216">
        <v>0</v>
      </c>
      <c r="GH216">
        <v>0</v>
      </c>
      <c r="GI216">
        <v>0</v>
      </c>
      <c r="GJ216">
        <v>0</v>
      </c>
      <c r="GK216">
        <v>0</v>
      </c>
      <c r="GL216">
        <v>0</v>
      </c>
      <c r="GM216">
        <v>0</v>
      </c>
      <c r="GN216">
        <v>0</v>
      </c>
      <c r="GO216">
        <v>0</v>
      </c>
      <c r="GP216">
        <v>0</v>
      </c>
      <c r="GQ216">
        <v>0</v>
      </c>
      <c r="GR216">
        <v>0</v>
      </c>
      <c r="IZ216">
        <v>1</v>
      </c>
      <c r="JA216">
        <v>0</v>
      </c>
      <c r="JB216">
        <v>1</v>
      </c>
      <c r="JC216">
        <v>0</v>
      </c>
      <c r="JD216">
        <v>0</v>
      </c>
      <c r="JE216">
        <v>0</v>
      </c>
      <c r="JF216">
        <v>0</v>
      </c>
      <c r="JG216">
        <v>0</v>
      </c>
      <c r="JH216">
        <v>0</v>
      </c>
      <c r="JI216">
        <v>0</v>
      </c>
      <c r="JJ216">
        <v>0</v>
      </c>
      <c r="JL216">
        <v>2</v>
      </c>
      <c r="JM216" cm="1">
        <f t="array" ref="JM216">IF(OR(JN216:JQ216 &lt;&gt; ""), 1, 0)</f>
        <v>0</v>
      </c>
    </row>
    <row r="217" spans="1:277" x14ac:dyDescent="0.35">
      <c r="A217">
        <v>393623</v>
      </c>
      <c r="C217">
        <v>1</v>
      </c>
      <c r="D217" t="s">
        <v>1122</v>
      </c>
      <c r="E217" t="str">
        <f>_xlfn.XLOOKUP(I217, [1]SchoolDistrictStudyWODuplicates!$K:$K, [1]SchoolDistrictStudyWODuplicates!$E:$E, "")</f>
        <v>San Antonio I.S.D.</v>
      </c>
      <c r="G217" t="s">
        <v>1123</v>
      </c>
      <c r="H217" s="7">
        <v>4838730</v>
      </c>
      <c r="I217" s="7">
        <v>4838730</v>
      </c>
      <c r="J217" s="5" t="e">
        <f>_xlfn.XLOOKUP(I217,#REF!,#REF!,"Not Determined")</f>
        <v>#REF!</v>
      </c>
      <c r="K217" s="5" t="s">
        <v>1149</v>
      </c>
      <c r="L217" t="s">
        <v>1090</v>
      </c>
      <c r="M217" s="13" t="e">
        <f>_xlfn.XLOOKUP(I217,#REF!,#REF!, "No")</f>
        <v>#REF!</v>
      </c>
      <c r="N217" s="5" t="str">
        <f t="shared" si="44"/>
        <v>No</v>
      </c>
      <c r="O217" s="5" t="str">
        <f t="shared" si="45"/>
        <v>Yes</v>
      </c>
      <c r="P217" s="5" t="str">
        <f t="shared" si="46"/>
        <v>No</v>
      </c>
      <c r="Q217" s="5" t="str">
        <f t="shared" si="47"/>
        <v>Yes</v>
      </c>
      <c r="R217" s="5" t="str">
        <f t="shared" si="48"/>
        <v>Yes</v>
      </c>
      <c r="S217" s="5" t="str">
        <f t="shared" si="49"/>
        <v>Yes</v>
      </c>
      <c r="T217" s="5" t="str">
        <f t="shared" si="50"/>
        <v>Yes</v>
      </c>
      <c r="U217" s="5" t="str">
        <f t="shared" si="51"/>
        <v>Yes</v>
      </c>
      <c r="V217" s="5" t="str" cm="1">
        <f t="array" ref="V217">IF(OR(DB217:DG217 =1), "Yes", "No")</f>
        <v>No</v>
      </c>
      <c r="W217" s="5" t="str">
        <f t="shared" si="52"/>
        <v>No</v>
      </c>
      <c r="X217" s="5" t="str">
        <f t="shared" si="53"/>
        <v>No</v>
      </c>
      <c r="Y217" s="5" t="str">
        <f t="shared" si="54"/>
        <v>No</v>
      </c>
      <c r="Z217">
        <v>6</v>
      </c>
      <c r="AB217">
        <v>0</v>
      </c>
      <c r="AC217">
        <v>1</v>
      </c>
      <c r="AD217">
        <v>1</v>
      </c>
      <c r="AE217">
        <v>0</v>
      </c>
      <c r="AF217">
        <v>0</v>
      </c>
      <c r="AG217">
        <v>0</v>
      </c>
      <c r="AH217">
        <v>0</v>
      </c>
      <c r="AI217">
        <v>1</v>
      </c>
      <c r="AJ217">
        <v>0</v>
      </c>
      <c r="AK217">
        <v>1</v>
      </c>
      <c r="AM217">
        <v>1</v>
      </c>
      <c r="AN217">
        <v>1</v>
      </c>
      <c r="AO217">
        <v>0</v>
      </c>
      <c r="AP217">
        <v>8</v>
      </c>
      <c r="AQ217">
        <v>160</v>
      </c>
      <c r="AS217">
        <v>8</v>
      </c>
      <c r="AT217">
        <v>160</v>
      </c>
      <c r="AV217">
        <v>1</v>
      </c>
      <c r="AW217">
        <v>0</v>
      </c>
      <c r="AX217">
        <v>0</v>
      </c>
      <c r="AY217">
        <v>1</v>
      </c>
      <c r="AZ217">
        <v>0</v>
      </c>
      <c r="BA217">
        <v>0</v>
      </c>
      <c r="BC217">
        <v>1</v>
      </c>
      <c r="BE217">
        <v>1</v>
      </c>
      <c r="BG217">
        <v>1</v>
      </c>
      <c r="BH217">
        <v>1</v>
      </c>
      <c r="BI217">
        <v>3</v>
      </c>
      <c r="BJ217">
        <v>1</v>
      </c>
      <c r="BK217">
        <v>1</v>
      </c>
      <c r="BL217">
        <v>1</v>
      </c>
      <c r="BM217">
        <v>2</v>
      </c>
      <c r="BN217">
        <v>1</v>
      </c>
      <c r="BO217">
        <v>1</v>
      </c>
      <c r="BP217">
        <v>0</v>
      </c>
      <c r="BQ217">
        <v>0</v>
      </c>
      <c r="BR217">
        <v>0</v>
      </c>
      <c r="BS217">
        <v>0</v>
      </c>
      <c r="BT217">
        <v>0</v>
      </c>
      <c r="BV217">
        <v>0</v>
      </c>
      <c r="BW217">
        <v>0</v>
      </c>
      <c r="BX217">
        <v>0</v>
      </c>
      <c r="BY217">
        <v>0</v>
      </c>
      <c r="BZ217">
        <v>0</v>
      </c>
      <c r="CA217">
        <v>0</v>
      </c>
      <c r="CB217">
        <v>0</v>
      </c>
      <c r="CC217">
        <v>0</v>
      </c>
      <c r="CD217">
        <v>1</v>
      </c>
      <c r="CE217">
        <v>0</v>
      </c>
      <c r="CF217">
        <v>0</v>
      </c>
      <c r="CG217">
        <v>0</v>
      </c>
      <c r="CH217">
        <v>0</v>
      </c>
      <c r="CI217">
        <v>1</v>
      </c>
      <c r="CJ217">
        <v>0</v>
      </c>
      <c r="CK217">
        <v>0</v>
      </c>
      <c r="CL217">
        <v>0</v>
      </c>
      <c r="CN217">
        <v>9</v>
      </c>
      <c r="CO217">
        <v>4</v>
      </c>
      <c r="CQ217">
        <v>3</v>
      </c>
      <c r="CR217">
        <v>3</v>
      </c>
      <c r="EB217">
        <v>0</v>
      </c>
      <c r="EC217">
        <v>1</v>
      </c>
      <c r="ED217">
        <v>1</v>
      </c>
      <c r="EE217">
        <v>0</v>
      </c>
      <c r="EF217">
        <v>0</v>
      </c>
      <c r="EG217">
        <v>1</v>
      </c>
      <c r="EH217">
        <v>0</v>
      </c>
      <c r="EI217">
        <v>0</v>
      </c>
      <c r="EJ217">
        <v>0</v>
      </c>
      <c r="EK217">
        <v>0</v>
      </c>
      <c r="EM217">
        <v>0</v>
      </c>
      <c r="EN217">
        <v>1</v>
      </c>
      <c r="EO217">
        <v>0</v>
      </c>
      <c r="EP217">
        <v>1</v>
      </c>
      <c r="EQ217">
        <v>0</v>
      </c>
      <c r="ER217">
        <v>0</v>
      </c>
      <c r="ES217">
        <v>0</v>
      </c>
      <c r="ET217">
        <v>0</v>
      </c>
      <c r="EU217">
        <v>0</v>
      </c>
      <c r="EV217">
        <v>0</v>
      </c>
      <c r="EW217">
        <v>0</v>
      </c>
      <c r="EX217">
        <v>0</v>
      </c>
      <c r="EY217">
        <v>0</v>
      </c>
      <c r="FB217" t="s">
        <v>570</v>
      </c>
      <c r="FC217">
        <v>1</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IZ217">
        <v>0</v>
      </c>
      <c r="JA217">
        <v>0</v>
      </c>
      <c r="JB217">
        <v>0</v>
      </c>
      <c r="JC217">
        <v>0</v>
      </c>
      <c r="JD217">
        <v>0</v>
      </c>
      <c r="JE217">
        <v>0</v>
      </c>
      <c r="JF217">
        <v>0</v>
      </c>
      <c r="JG217">
        <v>0</v>
      </c>
      <c r="JH217">
        <v>0</v>
      </c>
      <c r="JI217">
        <v>0</v>
      </c>
      <c r="JJ217">
        <v>1</v>
      </c>
      <c r="JL217">
        <v>2</v>
      </c>
      <c r="JM217" cm="1">
        <f t="array" ref="JM217">IF(OR(JN217:JQ217 &lt;&gt; ""), 1, 0)</f>
        <v>0</v>
      </c>
    </row>
    <row r="218" spans="1:277" x14ac:dyDescent="0.35">
      <c r="A218">
        <v>364228</v>
      </c>
      <c r="C218">
        <v>1</v>
      </c>
      <c r="D218" t="s">
        <v>1124</v>
      </c>
      <c r="E218" t="str">
        <f>_xlfn.XLOOKUP(I218, [1]SchoolDistrictStudyWODuplicates!$K:$K, [1]SchoolDistrictStudyWODuplicates!$E:$E, "")</f>
        <v/>
      </c>
      <c r="G218" t="s">
        <v>1125</v>
      </c>
      <c r="H218" s="7">
        <v>4839450</v>
      </c>
      <c r="I218" s="7">
        <v>4839450</v>
      </c>
      <c r="J218" s="5" t="e">
        <f>_xlfn.XLOOKUP(I218,#REF!,#REF!,"Not Determined")</f>
        <v>#REF!</v>
      </c>
      <c r="K218" s="5" t="s">
        <v>1149</v>
      </c>
      <c r="L218" t="s">
        <v>1090</v>
      </c>
      <c r="M218" s="13" t="e">
        <f>_xlfn.XLOOKUP(I218,#REF!,#REF!, "No")</f>
        <v>#REF!</v>
      </c>
      <c r="N218" s="5" t="str">
        <f t="shared" si="44"/>
        <v>No</v>
      </c>
      <c r="O218" s="5" t="str">
        <f t="shared" si="45"/>
        <v>Yes</v>
      </c>
      <c r="P218" s="5" t="str">
        <f t="shared" si="46"/>
        <v>Yes</v>
      </c>
      <c r="Q218" s="5" t="str">
        <f t="shared" si="47"/>
        <v>Yes</v>
      </c>
      <c r="R218" s="5" t="str">
        <f t="shared" si="48"/>
        <v>Yes</v>
      </c>
      <c r="S218" s="5" t="str">
        <f t="shared" si="49"/>
        <v>Yes</v>
      </c>
      <c r="T218" s="5" t="str">
        <f t="shared" si="50"/>
        <v>Yes</v>
      </c>
      <c r="U218" s="5" t="str">
        <f t="shared" si="51"/>
        <v>Yes</v>
      </c>
      <c r="V218" s="5" t="str" cm="1">
        <f t="array" ref="V218">IF(OR(DB218:DG218 =1), "Yes", "No")</f>
        <v>No</v>
      </c>
      <c r="W218" s="5" t="str">
        <f t="shared" si="52"/>
        <v>Yes</v>
      </c>
      <c r="X218" s="5" t="str">
        <f t="shared" si="53"/>
        <v>No</v>
      </c>
      <c r="Y218" s="5" t="str">
        <f t="shared" si="54"/>
        <v>No</v>
      </c>
      <c r="Z218">
        <v>3</v>
      </c>
      <c r="AB218">
        <v>0</v>
      </c>
      <c r="AC218">
        <v>0</v>
      </c>
      <c r="AD218">
        <v>0</v>
      </c>
      <c r="AE218">
        <v>0</v>
      </c>
      <c r="AF218">
        <v>0</v>
      </c>
      <c r="AG218">
        <v>0</v>
      </c>
      <c r="AH218">
        <v>0</v>
      </c>
      <c r="AI218">
        <v>1</v>
      </c>
      <c r="AJ218">
        <v>0</v>
      </c>
      <c r="AK218">
        <v>1</v>
      </c>
      <c r="AM218">
        <v>0</v>
      </c>
      <c r="AN218">
        <v>1</v>
      </c>
      <c r="AO218">
        <v>0</v>
      </c>
      <c r="AQ218">
        <v>8</v>
      </c>
      <c r="AT218">
        <v>8</v>
      </c>
      <c r="AV218">
        <v>1</v>
      </c>
      <c r="AW218">
        <v>1</v>
      </c>
      <c r="AX218">
        <v>0</v>
      </c>
      <c r="AY218">
        <v>0</v>
      </c>
      <c r="AZ218">
        <v>0</v>
      </c>
      <c r="BA218">
        <v>0</v>
      </c>
      <c r="BC218">
        <v>1</v>
      </c>
      <c r="BE218">
        <v>1</v>
      </c>
      <c r="BG218">
        <v>1</v>
      </c>
      <c r="BH218">
        <v>1</v>
      </c>
      <c r="BI218">
        <v>4</v>
      </c>
      <c r="BJ218">
        <v>2</v>
      </c>
      <c r="BL218">
        <v>2</v>
      </c>
      <c r="BM218">
        <v>1</v>
      </c>
      <c r="BN218">
        <v>2</v>
      </c>
      <c r="BV218">
        <v>0</v>
      </c>
      <c r="BW218">
        <v>0</v>
      </c>
      <c r="BX218">
        <v>0</v>
      </c>
      <c r="BY218">
        <v>0</v>
      </c>
      <c r="BZ218">
        <v>0</v>
      </c>
      <c r="CA218">
        <v>0</v>
      </c>
      <c r="CB218">
        <v>0</v>
      </c>
      <c r="CC218">
        <v>0</v>
      </c>
      <c r="CD218">
        <v>0</v>
      </c>
      <c r="CE218">
        <v>0</v>
      </c>
      <c r="CF218">
        <v>0</v>
      </c>
      <c r="CG218">
        <v>0</v>
      </c>
      <c r="CH218">
        <v>0</v>
      </c>
      <c r="CI218">
        <v>0</v>
      </c>
      <c r="CJ218">
        <v>0</v>
      </c>
      <c r="CK218">
        <v>1</v>
      </c>
      <c r="CL218">
        <v>0</v>
      </c>
      <c r="CN218">
        <v>16</v>
      </c>
      <c r="CO218">
        <v>4</v>
      </c>
      <c r="CQ218">
        <v>5</v>
      </c>
      <c r="CR218">
        <v>5</v>
      </c>
      <c r="EB218">
        <v>1</v>
      </c>
      <c r="EC218">
        <v>1</v>
      </c>
      <c r="ED218">
        <v>1</v>
      </c>
      <c r="EE218">
        <v>0</v>
      </c>
      <c r="EF218">
        <v>1</v>
      </c>
      <c r="EG218">
        <v>0</v>
      </c>
      <c r="EH218">
        <v>0</v>
      </c>
      <c r="EI218">
        <v>0</v>
      </c>
      <c r="EJ218">
        <v>0</v>
      </c>
      <c r="EK218">
        <v>0</v>
      </c>
      <c r="EM218">
        <v>0</v>
      </c>
      <c r="EN218">
        <v>1</v>
      </c>
      <c r="EO218">
        <v>0</v>
      </c>
      <c r="EP218">
        <v>0</v>
      </c>
      <c r="EQ218">
        <v>0</v>
      </c>
      <c r="ER218">
        <v>0</v>
      </c>
      <c r="ES218">
        <v>0</v>
      </c>
      <c r="ET218">
        <v>1</v>
      </c>
      <c r="EU218">
        <v>0</v>
      </c>
      <c r="EV218">
        <v>0</v>
      </c>
      <c r="EW218">
        <v>0</v>
      </c>
      <c r="EX218">
        <v>0</v>
      </c>
      <c r="EY218">
        <v>0</v>
      </c>
      <c r="FB218" t="s">
        <v>1126</v>
      </c>
      <c r="FC218">
        <v>1</v>
      </c>
      <c r="FD218">
        <v>1</v>
      </c>
      <c r="FE218">
        <v>0</v>
      </c>
      <c r="FF218">
        <v>0</v>
      </c>
      <c r="FG218">
        <v>0</v>
      </c>
      <c r="FH218">
        <v>0</v>
      </c>
      <c r="FI218">
        <v>0</v>
      </c>
      <c r="FJ218">
        <v>0</v>
      </c>
      <c r="FK218">
        <v>0</v>
      </c>
      <c r="FL218">
        <v>0</v>
      </c>
      <c r="FM218">
        <v>0</v>
      </c>
      <c r="FN218">
        <v>0</v>
      </c>
      <c r="FO218">
        <v>0</v>
      </c>
      <c r="FP218">
        <v>0</v>
      </c>
      <c r="FQ218">
        <v>0</v>
      </c>
      <c r="FR218">
        <v>0</v>
      </c>
      <c r="FS218">
        <v>0</v>
      </c>
      <c r="FT218">
        <v>0</v>
      </c>
      <c r="FU218">
        <v>0</v>
      </c>
      <c r="FV218">
        <v>0</v>
      </c>
      <c r="FW218">
        <v>0</v>
      </c>
      <c r="FX218">
        <v>0</v>
      </c>
      <c r="IZ218">
        <v>0</v>
      </c>
      <c r="JA218">
        <v>0</v>
      </c>
      <c r="JB218">
        <v>0</v>
      </c>
      <c r="JC218">
        <v>0</v>
      </c>
      <c r="JD218">
        <v>0</v>
      </c>
      <c r="JE218">
        <v>0</v>
      </c>
      <c r="JF218">
        <v>0</v>
      </c>
      <c r="JG218">
        <v>0</v>
      </c>
      <c r="JH218">
        <v>0</v>
      </c>
      <c r="JI218">
        <v>0</v>
      </c>
      <c r="JJ218">
        <v>1</v>
      </c>
      <c r="JL218">
        <v>1</v>
      </c>
      <c r="JM218" cm="1">
        <f t="array" ref="JM218">IF(OR(JN218:JQ218 &lt;&gt; ""), 1, 0)</f>
        <v>1</v>
      </c>
      <c r="JN218">
        <v>1</v>
      </c>
      <c r="JO218">
        <v>0</v>
      </c>
      <c r="JP218">
        <v>0</v>
      </c>
      <c r="JQ218">
        <v>0</v>
      </c>
    </row>
    <row r="219" spans="1:277" x14ac:dyDescent="0.35">
      <c r="A219">
        <v>393104</v>
      </c>
      <c r="C219">
        <v>1</v>
      </c>
      <c r="D219" t="s">
        <v>1127</v>
      </c>
      <c r="E219" t="str">
        <f>_xlfn.XLOOKUP(I219, [1]SchoolDistrictStudyWODuplicates!$K:$K, [1]SchoolDistrictStudyWODuplicates!$E:$E, "")</f>
        <v>South San Antonio ISD</v>
      </c>
      <c r="G219" t="s">
        <v>1123</v>
      </c>
      <c r="H219" s="7">
        <v>4840680</v>
      </c>
      <c r="I219" s="7">
        <v>4840680</v>
      </c>
      <c r="J219" s="5" t="e">
        <f>_xlfn.XLOOKUP(I219,#REF!,#REF!,"Not Determined")</f>
        <v>#REF!</v>
      </c>
      <c r="K219" s="5" t="s">
        <v>1149</v>
      </c>
      <c r="L219" t="s">
        <v>1090</v>
      </c>
      <c r="M219" s="13" t="e">
        <f>_xlfn.XLOOKUP(I219,#REF!,#REF!, "No")</f>
        <v>#REF!</v>
      </c>
      <c r="N219" s="5" t="str">
        <f t="shared" si="44"/>
        <v>No</v>
      </c>
      <c r="O219" s="5" t="str">
        <f t="shared" si="45"/>
        <v>Yes</v>
      </c>
      <c r="P219" s="5" t="str">
        <f t="shared" si="46"/>
        <v>Yes</v>
      </c>
      <c r="Q219" s="5" t="str">
        <f t="shared" si="47"/>
        <v>No</v>
      </c>
      <c r="R219" s="5" t="str">
        <f t="shared" si="48"/>
        <v>Yes</v>
      </c>
      <c r="S219" s="5" t="str">
        <f t="shared" si="49"/>
        <v>Yes</v>
      </c>
      <c r="T219" s="5" t="str">
        <f t="shared" si="50"/>
        <v>No</v>
      </c>
      <c r="U219" s="5" t="str">
        <f t="shared" si="51"/>
        <v>No</v>
      </c>
      <c r="V219" s="5" t="str" cm="1">
        <f t="array" ref="V219">IF(OR(DB219:DG219 =1), "Yes", "No")</f>
        <v>No</v>
      </c>
      <c r="W219" s="5" t="str">
        <f t="shared" si="52"/>
        <v>No</v>
      </c>
      <c r="X219" s="5" t="str">
        <f t="shared" si="53"/>
        <v>No</v>
      </c>
      <c r="Y219" s="5" t="str">
        <f t="shared" si="54"/>
        <v>No</v>
      </c>
      <c r="Z219">
        <v>3</v>
      </c>
      <c r="AB219">
        <v>1</v>
      </c>
      <c r="AC219">
        <v>1</v>
      </c>
      <c r="AD219">
        <v>1</v>
      </c>
      <c r="AE219">
        <v>0</v>
      </c>
      <c r="AF219">
        <v>0</v>
      </c>
      <c r="AG219">
        <v>0</v>
      </c>
      <c r="AH219">
        <v>0</v>
      </c>
      <c r="AI219">
        <v>1</v>
      </c>
      <c r="AJ219">
        <v>0</v>
      </c>
      <c r="AK219">
        <v>1</v>
      </c>
      <c r="AM219">
        <v>1</v>
      </c>
      <c r="AN219">
        <v>1</v>
      </c>
      <c r="AO219">
        <v>0</v>
      </c>
      <c r="AP219">
        <v>7</v>
      </c>
      <c r="AQ219">
        <v>45</v>
      </c>
      <c r="AS219">
        <v>7</v>
      </c>
      <c r="AT219">
        <v>45</v>
      </c>
      <c r="AV219">
        <v>1</v>
      </c>
      <c r="AW219">
        <v>1</v>
      </c>
      <c r="AX219">
        <v>0</v>
      </c>
      <c r="AY219">
        <v>0</v>
      </c>
      <c r="AZ219">
        <v>0</v>
      </c>
      <c r="BA219">
        <v>0</v>
      </c>
      <c r="BC219">
        <v>1</v>
      </c>
      <c r="BE219">
        <v>1</v>
      </c>
      <c r="BG219">
        <v>3</v>
      </c>
      <c r="BJ219">
        <v>2</v>
      </c>
      <c r="BL219">
        <v>2</v>
      </c>
      <c r="BM219">
        <v>1</v>
      </c>
      <c r="BN219">
        <v>2</v>
      </c>
      <c r="BV219">
        <v>0</v>
      </c>
      <c r="BW219">
        <v>0</v>
      </c>
      <c r="BX219">
        <v>0</v>
      </c>
      <c r="BY219">
        <v>0</v>
      </c>
      <c r="BZ219">
        <v>0</v>
      </c>
      <c r="CA219">
        <v>0</v>
      </c>
      <c r="CB219">
        <v>0</v>
      </c>
      <c r="CC219">
        <v>0</v>
      </c>
      <c r="CD219">
        <v>1</v>
      </c>
      <c r="CE219">
        <v>0</v>
      </c>
      <c r="CF219">
        <v>1</v>
      </c>
      <c r="CG219">
        <v>1</v>
      </c>
      <c r="CH219">
        <v>1</v>
      </c>
      <c r="CI219">
        <v>1</v>
      </c>
      <c r="CJ219">
        <v>0</v>
      </c>
      <c r="CK219">
        <v>0</v>
      </c>
      <c r="CL219">
        <v>0</v>
      </c>
      <c r="CN219">
        <v>9</v>
      </c>
      <c r="CO219">
        <v>3</v>
      </c>
      <c r="CP219" t="s">
        <v>1128</v>
      </c>
      <c r="CQ219">
        <v>2</v>
      </c>
      <c r="CR219">
        <v>2</v>
      </c>
      <c r="EB219">
        <v>0</v>
      </c>
      <c r="EC219">
        <v>1</v>
      </c>
      <c r="ED219">
        <v>1</v>
      </c>
      <c r="EE219">
        <v>0</v>
      </c>
      <c r="EF219">
        <v>0</v>
      </c>
      <c r="EG219">
        <v>0</v>
      </c>
      <c r="EH219">
        <v>1</v>
      </c>
      <c r="EI219">
        <v>0</v>
      </c>
      <c r="EJ219">
        <v>0</v>
      </c>
      <c r="EK219">
        <v>0</v>
      </c>
      <c r="EM219">
        <v>0</v>
      </c>
      <c r="EN219">
        <v>0</v>
      </c>
      <c r="EO219">
        <v>0</v>
      </c>
      <c r="EP219">
        <v>0</v>
      </c>
      <c r="EQ219">
        <v>1</v>
      </c>
      <c r="ER219">
        <v>1</v>
      </c>
      <c r="ES219">
        <v>0</v>
      </c>
      <c r="ET219">
        <v>0</v>
      </c>
      <c r="EU219">
        <v>1</v>
      </c>
      <c r="EV219">
        <v>0</v>
      </c>
      <c r="EW219">
        <v>1</v>
      </c>
      <c r="EX219">
        <v>0</v>
      </c>
      <c r="EY219">
        <v>0</v>
      </c>
      <c r="IZ219">
        <v>1</v>
      </c>
      <c r="JA219">
        <v>0</v>
      </c>
      <c r="JB219">
        <v>1</v>
      </c>
      <c r="JC219">
        <v>0</v>
      </c>
      <c r="JD219">
        <v>0</v>
      </c>
      <c r="JE219">
        <v>0</v>
      </c>
      <c r="JF219">
        <v>1</v>
      </c>
      <c r="JG219">
        <v>0</v>
      </c>
      <c r="JH219">
        <v>0</v>
      </c>
      <c r="JI219">
        <v>0</v>
      </c>
      <c r="JJ219">
        <v>0</v>
      </c>
      <c r="JL219">
        <v>2</v>
      </c>
      <c r="JM219" cm="1">
        <f t="array" ref="JM219">IF(OR(JN219:JQ219 &lt;&gt; ""), 1, 0)</f>
        <v>0</v>
      </c>
    </row>
    <row r="220" spans="1:277" x14ac:dyDescent="0.35">
      <c r="A220">
        <v>405534</v>
      </c>
      <c r="C220">
        <v>1</v>
      </c>
      <c r="D220" t="s">
        <v>1129</v>
      </c>
      <c r="E220" t="str">
        <f>_xlfn.XLOOKUP(I220, [1]SchoolDistrictStudyWODuplicates!$K:$K, [1]SchoolDistrictStudyWODuplicates!$E:$E, "")</f>
        <v/>
      </c>
      <c r="G220" t="s">
        <v>1123</v>
      </c>
      <c r="H220" s="7">
        <v>4840920</v>
      </c>
      <c r="I220" s="7">
        <v>4840920</v>
      </c>
      <c r="J220" s="5" t="e">
        <f>_xlfn.XLOOKUP(I220,#REF!,#REF!,"Not Determined")</f>
        <v>#REF!</v>
      </c>
      <c r="K220" s="5" t="s">
        <v>1149</v>
      </c>
      <c r="L220" t="s">
        <v>1090</v>
      </c>
      <c r="M220" s="13" t="e">
        <f>_xlfn.XLOOKUP(I220,#REF!,#REF!, "No")</f>
        <v>#REF!</v>
      </c>
      <c r="N220" s="5" t="str">
        <f t="shared" si="44"/>
        <v>No</v>
      </c>
      <c r="O220" s="5" t="str">
        <f t="shared" si="45"/>
        <v>Yes</v>
      </c>
      <c r="P220" s="5" t="str">
        <f t="shared" si="46"/>
        <v>Yes</v>
      </c>
      <c r="Q220" s="5" t="str">
        <f t="shared" si="47"/>
        <v>Yes</v>
      </c>
      <c r="R220" s="5" t="str">
        <f t="shared" si="48"/>
        <v>No</v>
      </c>
      <c r="S220" s="5" t="str">
        <f t="shared" si="49"/>
        <v>No</v>
      </c>
      <c r="T220" s="5" t="str">
        <f t="shared" si="50"/>
        <v>No</v>
      </c>
      <c r="U220" s="5" t="str">
        <f t="shared" si="51"/>
        <v>No</v>
      </c>
      <c r="V220" s="5" t="str" cm="1">
        <f t="array" ref="V220">IF(OR(DB220:DG220 =1), "Yes", "No")</f>
        <v>No</v>
      </c>
      <c r="W220" s="5" t="str">
        <f t="shared" si="52"/>
        <v>No</v>
      </c>
      <c r="X220" s="5" t="str">
        <f t="shared" si="53"/>
        <v>No</v>
      </c>
      <c r="Y220" s="5" t="str">
        <f t="shared" si="54"/>
        <v>No</v>
      </c>
      <c r="Z220">
        <v>3</v>
      </c>
      <c r="AB220">
        <v>0</v>
      </c>
      <c r="AC220">
        <v>1</v>
      </c>
      <c r="AD220">
        <v>0</v>
      </c>
      <c r="AE220">
        <v>0</v>
      </c>
      <c r="AF220">
        <v>0</v>
      </c>
      <c r="AG220">
        <v>0</v>
      </c>
      <c r="AH220">
        <v>0</v>
      </c>
      <c r="AI220">
        <v>0</v>
      </c>
      <c r="AJ220">
        <v>0</v>
      </c>
      <c r="AK220">
        <v>1</v>
      </c>
      <c r="AM220">
        <v>1</v>
      </c>
      <c r="AN220">
        <v>1</v>
      </c>
      <c r="AO220">
        <v>0</v>
      </c>
      <c r="AP220">
        <v>4</v>
      </c>
      <c r="AQ220">
        <v>80</v>
      </c>
      <c r="AS220">
        <v>4</v>
      </c>
      <c r="AT220">
        <v>80</v>
      </c>
      <c r="AV220">
        <v>1</v>
      </c>
      <c r="AW220">
        <v>1</v>
      </c>
      <c r="AX220">
        <v>0</v>
      </c>
      <c r="AY220">
        <v>1</v>
      </c>
      <c r="AZ220">
        <v>0</v>
      </c>
      <c r="BA220">
        <v>0</v>
      </c>
      <c r="BC220">
        <v>1</v>
      </c>
      <c r="BE220">
        <v>1</v>
      </c>
      <c r="BG220">
        <v>1</v>
      </c>
      <c r="BH220">
        <v>1</v>
      </c>
      <c r="BI220">
        <v>1</v>
      </c>
      <c r="BJ220">
        <v>1</v>
      </c>
      <c r="BK220">
        <v>5</v>
      </c>
      <c r="BL220">
        <v>2</v>
      </c>
      <c r="BM220">
        <v>1</v>
      </c>
      <c r="BN220">
        <v>2</v>
      </c>
      <c r="BV220">
        <v>0</v>
      </c>
      <c r="BW220">
        <v>0</v>
      </c>
      <c r="BX220">
        <v>0</v>
      </c>
      <c r="BY220">
        <v>0</v>
      </c>
      <c r="BZ220">
        <v>0</v>
      </c>
      <c r="CA220">
        <v>0</v>
      </c>
      <c r="CB220">
        <v>0</v>
      </c>
      <c r="CC220">
        <v>0</v>
      </c>
      <c r="CD220">
        <v>0</v>
      </c>
      <c r="CE220">
        <v>0</v>
      </c>
      <c r="CF220">
        <v>0</v>
      </c>
      <c r="CG220">
        <v>0</v>
      </c>
      <c r="CH220">
        <v>0</v>
      </c>
      <c r="CI220">
        <v>0</v>
      </c>
      <c r="CJ220">
        <v>0</v>
      </c>
      <c r="CK220">
        <v>0</v>
      </c>
      <c r="CL220">
        <v>1</v>
      </c>
      <c r="CM220" t="s">
        <v>1130</v>
      </c>
      <c r="CN220">
        <v>1</v>
      </c>
      <c r="CO220">
        <v>4</v>
      </c>
      <c r="JM220" cm="1">
        <f t="array" ref="JM220">IF(OR(JN220:JQ220 &lt;&gt; ""), 1, 0)</f>
        <v>0</v>
      </c>
    </row>
    <row r="221" spans="1:277" x14ac:dyDescent="0.35">
      <c r="A221">
        <v>374823</v>
      </c>
      <c r="C221">
        <v>1</v>
      </c>
      <c r="D221" t="s">
        <v>1131</v>
      </c>
      <c r="E221" t="str">
        <f>_xlfn.XLOOKUP(I221, [1]SchoolDistrictStudyWODuplicates!$K:$K, [1]SchoolDistrictStudyWODuplicates!$E:$E, "")</f>
        <v/>
      </c>
      <c r="G221" t="s">
        <v>1132</v>
      </c>
      <c r="H221" s="7">
        <v>4843860</v>
      </c>
      <c r="I221" s="7">
        <v>4843860</v>
      </c>
      <c r="J221" s="5" t="e">
        <f>_xlfn.XLOOKUP(I221,#REF!,#REF!,"Not Determined")</f>
        <v>#REF!</v>
      </c>
      <c r="K221" s="5" t="s">
        <v>1149</v>
      </c>
      <c r="L221" t="s">
        <v>1090</v>
      </c>
      <c r="M221" s="13" t="e">
        <f>_xlfn.XLOOKUP(I221,#REF!,#REF!, "No")</f>
        <v>#REF!</v>
      </c>
      <c r="N221" s="5" t="str">
        <f t="shared" si="44"/>
        <v>No</v>
      </c>
      <c r="O221" s="5" t="str">
        <f t="shared" si="45"/>
        <v>Yes</v>
      </c>
      <c r="P221" s="5" t="str">
        <f t="shared" si="46"/>
        <v>Yes</v>
      </c>
      <c r="Q221" s="5" t="str">
        <f t="shared" si="47"/>
        <v>Yes</v>
      </c>
      <c r="R221" s="5" t="str">
        <f t="shared" si="48"/>
        <v>Yes</v>
      </c>
      <c r="S221" s="5" t="str">
        <f t="shared" si="49"/>
        <v>Yes</v>
      </c>
      <c r="T221" s="5" t="str">
        <f t="shared" si="50"/>
        <v>Yes</v>
      </c>
      <c r="U221" s="5" t="str">
        <f t="shared" si="51"/>
        <v>Yes</v>
      </c>
      <c r="V221" s="5" t="str" cm="1">
        <f t="array" ref="V221">IF(OR(DB221:DG221 =1), "Yes", "No")</f>
        <v>No</v>
      </c>
      <c r="W221" s="5" t="str">
        <f t="shared" si="52"/>
        <v>No</v>
      </c>
      <c r="X221" s="5" t="str">
        <f t="shared" si="53"/>
        <v>No</v>
      </c>
      <c r="Y221" s="5" t="str">
        <f t="shared" si="54"/>
        <v>No</v>
      </c>
      <c r="Z221">
        <v>3</v>
      </c>
      <c r="AB221">
        <v>1</v>
      </c>
      <c r="AC221">
        <v>0</v>
      </c>
      <c r="AD221">
        <v>1</v>
      </c>
      <c r="AE221">
        <v>0</v>
      </c>
      <c r="AF221">
        <v>0</v>
      </c>
      <c r="AG221">
        <v>0</v>
      </c>
      <c r="AH221">
        <v>0</v>
      </c>
      <c r="AI221">
        <v>0</v>
      </c>
      <c r="AJ221">
        <v>0</v>
      </c>
      <c r="AK221">
        <v>1</v>
      </c>
      <c r="AM221">
        <v>1</v>
      </c>
      <c r="AN221">
        <v>1</v>
      </c>
      <c r="AO221">
        <v>0</v>
      </c>
      <c r="AP221">
        <v>1</v>
      </c>
      <c r="AQ221">
        <v>16</v>
      </c>
      <c r="AS221">
        <v>1</v>
      </c>
      <c r="AT221">
        <v>16</v>
      </c>
      <c r="AV221">
        <v>1</v>
      </c>
      <c r="AW221">
        <v>1</v>
      </c>
      <c r="AX221">
        <v>0</v>
      </c>
      <c r="AY221">
        <v>0</v>
      </c>
      <c r="AZ221">
        <v>0</v>
      </c>
      <c r="BA221">
        <v>0</v>
      </c>
      <c r="BC221">
        <v>1</v>
      </c>
      <c r="BE221">
        <v>1</v>
      </c>
      <c r="BG221">
        <v>1</v>
      </c>
      <c r="BH221">
        <v>1</v>
      </c>
      <c r="BI221">
        <v>4</v>
      </c>
      <c r="BJ221">
        <v>2</v>
      </c>
      <c r="BL221">
        <v>2</v>
      </c>
      <c r="BM221">
        <v>1</v>
      </c>
      <c r="BN221">
        <v>1</v>
      </c>
      <c r="BO221">
        <v>0</v>
      </c>
      <c r="BP221">
        <v>0</v>
      </c>
      <c r="BQ221">
        <v>1</v>
      </c>
      <c r="BR221">
        <v>1</v>
      </c>
      <c r="BS221">
        <v>0</v>
      </c>
      <c r="BT221">
        <v>0</v>
      </c>
      <c r="BV221">
        <v>0</v>
      </c>
      <c r="BW221">
        <v>0</v>
      </c>
      <c r="BX221">
        <v>1</v>
      </c>
      <c r="BY221">
        <v>0</v>
      </c>
      <c r="BZ221">
        <v>1</v>
      </c>
      <c r="CA221">
        <v>0</v>
      </c>
      <c r="CB221">
        <v>0</v>
      </c>
      <c r="CC221">
        <v>0</v>
      </c>
      <c r="CD221">
        <v>1</v>
      </c>
      <c r="CE221">
        <v>1</v>
      </c>
      <c r="CF221">
        <v>1</v>
      </c>
      <c r="CG221">
        <v>1</v>
      </c>
      <c r="CH221">
        <v>0</v>
      </c>
      <c r="CI221">
        <v>1</v>
      </c>
      <c r="CJ221">
        <v>0</v>
      </c>
      <c r="CK221">
        <v>0</v>
      </c>
      <c r="CL221">
        <v>0</v>
      </c>
      <c r="CN221">
        <v>3</v>
      </c>
      <c r="CO221">
        <v>4</v>
      </c>
      <c r="CQ221">
        <v>5</v>
      </c>
      <c r="CR221">
        <v>3</v>
      </c>
      <c r="EB221">
        <v>1</v>
      </c>
      <c r="EC221">
        <v>1</v>
      </c>
      <c r="ED221">
        <v>1</v>
      </c>
      <c r="EE221">
        <v>0</v>
      </c>
      <c r="EF221">
        <v>0</v>
      </c>
      <c r="EG221">
        <v>1</v>
      </c>
      <c r="EH221">
        <v>0</v>
      </c>
      <c r="EI221">
        <v>0</v>
      </c>
      <c r="EJ221">
        <v>0</v>
      </c>
      <c r="EK221">
        <v>0</v>
      </c>
      <c r="EM221">
        <v>1</v>
      </c>
      <c r="EN221">
        <v>1</v>
      </c>
      <c r="EO221">
        <v>0</v>
      </c>
      <c r="EP221">
        <v>1</v>
      </c>
      <c r="EQ221">
        <v>1</v>
      </c>
      <c r="ER221">
        <v>0</v>
      </c>
      <c r="ES221">
        <v>0</v>
      </c>
      <c r="ET221">
        <v>0</v>
      </c>
      <c r="EU221">
        <v>0</v>
      </c>
      <c r="EV221">
        <v>0</v>
      </c>
      <c r="EW221">
        <v>0</v>
      </c>
      <c r="EX221">
        <v>0</v>
      </c>
      <c r="EY221">
        <v>0</v>
      </c>
      <c r="EZ221" t="s">
        <v>1133</v>
      </c>
      <c r="FA221">
        <v>13</v>
      </c>
      <c r="FB221" t="s">
        <v>1134</v>
      </c>
      <c r="FC221">
        <v>1</v>
      </c>
      <c r="FD221">
        <v>1</v>
      </c>
      <c r="FE221">
        <v>0</v>
      </c>
      <c r="FF221">
        <v>0</v>
      </c>
      <c r="FG221">
        <v>0</v>
      </c>
      <c r="FH221">
        <v>0</v>
      </c>
      <c r="FI221">
        <v>0</v>
      </c>
      <c r="FJ221">
        <v>0</v>
      </c>
      <c r="FK221">
        <v>0</v>
      </c>
      <c r="FL221">
        <v>0</v>
      </c>
      <c r="FM221">
        <v>0</v>
      </c>
      <c r="FN221">
        <v>0</v>
      </c>
      <c r="FO221">
        <v>0</v>
      </c>
      <c r="FP221">
        <v>0</v>
      </c>
      <c r="FQ221">
        <v>0</v>
      </c>
      <c r="FR221">
        <v>0</v>
      </c>
      <c r="FS221">
        <v>0</v>
      </c>
      <c r="FT221">
        <v>0</v>
      </c>
      <c r="FU221">
        <v>0</v>
      </c>
      <c r="FV221">
        <v>0</v>
      </c>
      <c r="FW221">
        <v>0</v>
      </c>
      <c r="FX221">
        <v>0</v>
      </c>
      <c r="IZ221">
        <v>0</v>
      </c>
      <c r="JA221">
        <v>0</v>
      </c>
      <c r="JB221">
        <v>1</v>
      </c>
      <c r="JC221">
        <v>0</v>
      </c>
      <c r="JD221">
        <v>0</v>
      </c>
      <c r="JE221">
        <v>1</v>
      </c>
      <c r="JF221">
        <v>0</v>
      </c>
      <c r="JG221">
        <v>0</v>
      </c>
      <c r="JH221">
        <v>0</v>
      </c>
      <c r="JI221">
        <v>0</v>
      </c>
      <c r="JJ221">
        <v>0</v>
      </c>
      <c r="JL221">
        <v>2</v>
      </c>
      <c r="JM221" cm="1">
        <f t="array" ref="JM221">IF(OR(JN221:JQ221 &lt;&gt; ""), 1, 0)</f>
        <v>0</v>
      </c>
    </row>
    <row r="222" spans="1:277" x14ac:dyDescent="0.35">
      <c r="A222">
        <v>405198</v>
      </c>
      <c r="C222">
        <v>1</v>
      </c>
      <c r="D222" t="s">
        <v>1135</v>
      </c>
      <c r="E222" t="str">
        <f>_xlfn.XLOOKUP(I222, [1]SchoolDistrictStudyWODuplicates!$K:$K, [1]SchoolDistrictStudyWODuplicates!$E:$E, "")</f>
        <v/>
      </c>
      <c r="G222" t="s">
        <v>1136</v>
      </c>
      <c r="H222" s="7">
        <v>4846260</v>
      </c>
      <c r="I222" s="7">
        <v>4846260</v>
      </c>
      <c r="J222" s="5" t="e">
        <f>_xlfn.XLOOKUP(I222,#REF!,#REF!,"Not Determined")</f>
        <v>#REF!</v>
      </c>
      <c r="K222" s="5" t="s">
        <v>1149</v>
      </c>
      <c r="L222" t="s">
        <v>1090</v>
      </c>
      <c r="M222" s="13" t="e">
        <f>_xlfn.XLOOKUP(I222,#REF!,#REF!, "No")</f>
        <v>#REF!</v>
      </c>
      <c r="N222" s="5" t="str">
        <f t="shared" si="44"/>
        <v>No</v>
      </c>
      <c r="O222" s="5" t="str">
        <f t="shared" si="45"/>
        <v>Yes</v>
      </c>
      <c r="P222" s="5" t="str">
        <f t="shared" si="46"/>
        <v>Yes</v>
      </c>
      <c r="Q222" s="5" t="str">
        <f t="shared" si="47"/>
        <v>Yes</v>
      </c>
      <c r="R222" s="5" t="str">
        <f t="shared" si="48"/>
        <v>Yes</v>
      </c>
      <c r="S222" s="5" t="str">
        <f t="shared" si="49"/>
        <v>Yes</v>
      </c>
      <c r="T222" s="5" t="str">
        <f t="shared" si="50"/>
        <v>No</v>
      </c>
      <c r="U222" s="5" t="str">
        <f t="shared" si="51"/>
        <v>No</v>
      </c>
      <c r="V222" s="5" t="str" cm="1">
        <f t="array" ref="V222">IF(OR(DB222:DG222 =1), "Yes", "No")</f>
        <v>No</v>
      </c>
      <c r="W222" s="5" t="str">
        <f t="shared" si="52"/>
        <v>No</v>
      </c>
      <c r="X222" s="5" t="str">
        <f t="shared" si="53"/>
        <v>No</v>
      </c>
      <c r="Y222" s="5" t="str">
        <f t="shared" si="54"/>
        <v>No</v>
      </c>
      <c r="Z222">
        <v>3</v>
      </c>
      <c r="AB222">
        <v>1</v>
      </c>
      <c r="AC222">
        <v>0</v>
      </c>
      <c r="AD222">
        <v>1</v>
      </c>
      <c r="AE222">
        <v>0</v>
      </c>
      <c r="AF222">
        <v>0</v>
      </c>
      <c r="AG222">
        <v>0</v>
      </c>
      <c r="AH222">
        <v>0</v>
      </c>
      <c r="AI222">
        <v>1</v>
      </c>
      <c r="AJ222">
        <v>0</v>
      </c>
      <c r="AK222">
        <v>1</v>
      </c>
      <c r="AM222">
        <v>1</v>
      </c>
      <c r="AN222">
        <v>1</v>
      </c>
      <c r="AO222">
        <v>0</v>
      </c>
      <c r="AP222">
        <v>2</v>
      </c>
      <c r="AQ222">
        <v>7</v>
      </c>
      <c r="AS222">
        <v>2</v>
      </c>
      <c r="AT222">
        <v>7</v>
      </c>
      <c r="AV222">
        <v>1</v>
      </c>
      <c r="AW222">
        <v>1</v>
      </c>
      <c r="AX222">
        <v>0</v>
      </c>
      <c r="AY222">
        <v>0</v>
      </c>
      <c r="AZ222">
        <v>0</v>
      </c>
      <c r="BA222">
        <v>0</v>
      </c>
      <c r="BC222">
        <v>1</v>
      </c>
      <c r="BE222">
        <v>1</v>
      </c>
      <c r="BG222">
        <v>1</v>
      </c>
      <c r="BH222">
        <v>1</v>
      </c>
      <c r="BI222">
        <v>5</v>
      </c>
      <c r="BJ222">
        <v>1</v>
      </c>
      <c r="BK222">
        <v>6</v>
      </c>
      <c r="BL222">
        <v>2</v>
      </c>
      <c r="BM222">
        <v>1</v>
      </c>
      <c r="BN222">
        <v>1</v>
      </c>
      <c r="BO222">
        <v>1</v>
      </c>
      <c r="BP222">
        <v>0</v>
      </c>
      <c r="BQ222">
        <v>1</v>
      </c>
      <c r="BR222">
        <v>0</v>
      </c>
      <c r="BS222">
        <v>0</v>
      </c>
      <c r="BT222">
        <v>1</v>
      </c>
      <c r="BU222" t="s">
        <v>1137</v>
      </c>
      <c r="BV222">
        <v>1</v>
      </c>
      <c r="BW222">
        <v>1</v>
      </c>
      <c r="BX222">
        <v>1</v>
      </c>
      <c r="BY222">
        <v>1</v>
      </c>
      <c r="BZ222">
        <v>1</v>
      </c>
      <c r="CA222">
        <v>1</v>
      </c>
      <c r="CB222">
        <v>0</v>
      </c>
      <c r="CC222">
        <v>1</v>
      </c>
      <c r="CD222">
        <v>1</v>
      </c>
      <c r="CE222">
        <v>0</v>
      </c>
      <c r="CF222">
        <v>1</v>
      </c>
      <c r="CG222">
        <v>1</v>
      </c>
      <c r="CH222">
        <v>0</v>
      </c>
      <c r="CI222">
        <v>1</v>
      </c>
      <c r="CJ222">
        <v>0</v>
      </c>
      <c r="CK222">
        <v>1</v>
      </c>
      <c r="CL222">
        <v>0</v>
      </c>
      <c r="CN222">
        <v>2</v>
      </c>
      <c r="CO222">
        <v>4</v>
      </c>
      <c r="CQ222">
        <v>1</v>
      </c>
      <c r="CR222">
        <v>1</v>
      </c>
      <c r="EB222">
        <v>0</v>
      </c>
      <c r="EC222">
        <v>1</v>
      </c>
      <c r="ED222">
        <v>1</v>
      </c>
      <c r="EE222">
        <v>0</v>
      </c>
      <c r="EF222">
        <v>0</v>
      </c>
      <c r="EG222">
        <v>0</v>
      </c>
      <c r="EH222">
        <v>0</v>
      </c>
      <c r="EI222">
        <v>0</v>
      </c>
      <c r="EJ222">
        <v>1</v>
      </c>
      <c r="EK222">
        <v>0</v>
      </c>
      <c r="EL222" t="s">
        <v>1138</v>
      </c>
      <c r="EM222">
        <v>0</v>
      </c>
      <c r="EN222">
        <v>1</v>
      </c>
      <c r="EO222">
        <v>0</v>
      </c>
      <c r="EP222">
        <v>1</v>
      </c>
      <c r="EQ222">
        <v>0</v>
      </c>
      <c r="ER222">
        <v>0</v>
      </c>
      <c r="ES222">
        <v>0</v>
      </c>
      <c r="ET222">
        <v>0</v>
      </c>
      <c r="EU222">
        <v>0</v>
      </c>
      <c r="EV222">
        <v>0</v>
      </c>
      <c r="EW222">
        <v>1</v>
      </c>
      <c r="EX222">
        <v>0</v>
      </c>
      <c r="EY222">
        <v>0</v>
      </c>
      <c r="FB222" t="s">
        <v>1139</v>
      </c>
      <c r="FC222">
        <v>1</v>
      </c>
      <c r="FD222">
        <v>1</v>
      </c>
      <c r="FE222">
        <v>0</v>
      </c>
      <c r="FF222">
        <v>0</v>
      </c>
      <c r="FG222">
        <v>0</v>
      </c>
      <c r="FH222">
        <v>0</v>
      </c>
      <c r="FI222">
        <v>0</v>
      </c>
      <c r="FJ222">
        <v>0</v>
      </c>
      <c r="FK222">
        <v>0</v>
      </c>
      <c r="FL222">
        <v>0</v>
      </c>
      <c r="FM222">
        <v>0</v>
      </c>
      <c r="FN222">
        <v>0</v>
      </c>
      <c r="FO222">
        <v>0</v>
      </c>
      <c r="FP222">
        <v>0</v>
      </c>
      <c r="FQ222">
        <v>0</v>
      </c>
      <c r="FR222">
        <v>0</v>
      </c>
      <c r="FS222">
        <v>0</v>
      </c>
      <c r="FT222">
        <v>0</v>
      </c>
      <c r="FU222">
        <v>0</v>
      </c>
      <c r="FV222">
        <v>0</v>
      </c>
      <c r="FW222">
        <v>0</v>
      </c>
      <c r="FX222">
        <v>0</v>
      </c>
      <c r="IZ222">
        <v>1</v>
      </c>
      <c r="JA222">
        <v>0</v>
      </c>
      <c r="JB222">
        <v>1</v>
      </c>
      <c r="JC222">
        <v>0</v>
      </c>
      <c r="JD222">
        <v>1</v>
      </c>
      <c r="JE222">
        <v>0</v>
      </c>
      <c r="JF222">
        <v>0</v>
      </c>
      <c r="JG222">
        <v>0</v>
      </c>
      <c r="JH222">
        <v>0</v>
      </c>
      <c r="JI222">
        <v>0</v>
      </c>
      <c r="JJ222">
        <v>0</v>
      </c>
      <c r="JL222">
        <v>2</v>
      </c>
      <c r="JM222" cm="1">
        <f t="array" ref="JM222">IF(OR(JN222:JQ222 &lt;&gt; ""), 1, 0)</f>
        <v>0</v>
      </c>
    </row>
    <row r="223" spans="1:277" x14ac:dyDescent="0.35">
      <c r="A223">
        <v>392885</v>
      </c>
      <c r="C223">
        <v>1</v>
      </c>
      <c r="D223" t="s">
        <v>1140</v>
      </c>
      <c r="E223" t="str">
        <f>_xlfn.XLOOKUP(I223, [1]SchoolDistrictStudyWODuplicates!$K:$K, [1]SchoolDistrictStudyWODuplicates!$E:$E, "")</f>
        <v/>
      </c>
      <c r="G223" t="s">
        <v>1141</v>
      </c>
      <c r="H223" s="7">
        <v>4701470</v>
      </c>
      <c r="I223" s="7">
        <v>4701470</v>
      </c>
      <c r="J223" s="5" t="e">
        <f>_xlfn.XLOOKUP(I223,#REF!,#REF!,"Not Determined")</f>
        <v>#REF!</v>
      </c>
      <c r="K223" s="5" t="s">
        <v>1142</v>
      </c>
      <c r="L223" t="s">
        <v>1142</v>
      </c>
      <c r="M223" s="13" t="e">
        <f>_xlfn.XLOOKUP(I223,#REF!,#REF!, "No")</f>
        <v>#REF!</v>
      </c>
      <c r="N223" s="5" t="str">
        <f t="shared" si="44"/>
        <v>No</v>
      </c>
      <c r="O223" s="5" t="str">
        <f t="shared" si="45"/>
        <v>No</v>
      </c>
      <c r="P223" s="5" t="str">
        <f t="shared" si="46"/>
        <v>No</v>
      </c>
      <c r="Q223" s="5" t="str">
        <f t="shared" si="47"/>
        <v>No</v>
      </c>
      <c r="R223" s="5" t="str">
        <f t="shared" si="48"/>
        <v>No</v>
      </c>
      <c r="S223" s="5" t="str">
        <f t="shared" si="49"/>
        <v>No</v>
      </c>
      <c r="T223" s="5" t="str">
        <f t="shared" si="50"/>
        <v>No</v>
      </c>
      <c r="U223" s="5" t="str">
        <f t="shared" si="51"/>
        <v>No</v>
      </c>
      <c r="V223" s="5" t="str" cm="1">
        <f t="array" ref="V223">IF(OR(DB223:DG223 =1), "Yes", "No")</f>
        <v>No</v>
      </c>
      <c r="W223" s="5" t="str">
        <f t="shared" si="52"/>
        <v>No</v>
      </c>
      <c r="X223" s="5" t="str">
        <f t="shared" si="53"/>
        <v>No</v>
      </c>
      <c r="Y223" s="5" t="str">
        <f t="shared" si="54"/>
        <v>No</v>
      </c>
      <c r="Z223">
        <v>3</v>
      </c>
      <c r="AB223">
        <v>0</v>
      </c>
      <c r="AC223">
        <v>0</v>
      </c>
      <c r="AD223">
        <v>1</v>
      </c>
      <c r="AE223">
        <v>0</v>
      </c>
      <c r="AF223">
        <v>0</v>
      </c>
      <c r="AG223">
        <v>0</v>
      </c>
      <c r="AH223">
        <v>0</v>
      </c>
      <c r="AI223">
        <v>0</v>
      </c>
      <c r="AJ223">
        <v>0</v>
      </c>
      <c r="AK223">
        <v>1</v>
      </c>
      <c r="JM223" cm="1">
        <f t="array" ref="JM223">IF(OR(JN223:JQ223 &lt;&gt; ""), 1, 0)</f>
        <v>0</v>
      </c>
    </row>
    <row r="224" spans="1:277" x14ac:dyDescent="0.35">
      <c r="A224">
        <v>405203</v>
      </c>
      <c r="C224">
        <v>1</v>
      </c>
      <c r="D224" t="s">
        <v>1143</v>
      </c>
      <c r="E224" t="str">
        <f>_xlfn.XLOOKUP(I224, [1]SchoolDistrictStudyWODuplicates!$K:$K, [1]SchoolDistrictStudyWODuplicates!$E:$E, "")</f>
        <v/>
      </c>
      <c r="G224" t="s">
        <v>1144</v>
      </c>
      <c r="H224" s="7">
        <v>4703090</v>
      </c>
      <c r="I224" s="7">
        <v>4703090</v>
      </c>
      <c r="J224" s="5" t="e">
        <f>_xlfn.XLOOKUP(I224,#REF!,#REF!,"Not Determined")</f>
        <v>#REF!</v>
      </c>
      <c r="K224" s="5" t="s">
        <v>1142</v>
      </c>
      <c r="L224" t="s">
        <v>1142</v>
      </c>
      <c r="M224" s="13" t="e">
        <f>_xlfn.XLOOKUP(I224,#REF!,#REF!, "No")</f>
        <v>#REF!</v>
      </c>
      <c r="N224" s="5" t="str">
        <f t="shared" si="44"/>
        <v>No</v>
      </c>
      <c r="O224" s="5" t="str">
        <f t="shared" si="45"/>
        <v>Yes</v>
      </c>
      <c r="P224" s="5" t="str">
        <f t="shared" si="46"/>
        <v>Yes</v>
      </c>
      <c r="Q224" s="5" t="str">
        <f t="shared" si="47"/>
        <v>Yes</v>
      </c>
      <c r="R224" s="5" t="str">
        <f t="shared" si="48"/>
        <v>Yes</v>
      </c>
      <c r="S224" s="5" t="str">
        <f t="shared" si="49"/>
        <v>Yes</v>
      </c>
      <c r="T224" s="5" t="str">
        <f t="shared" si="50"/>
        <v>No</v>
      </c>
      <c r="U224" s="5" t="str">
        <f t="shared" si="51"/>
        <v>No</v>
      </c>
      <c r="V224" s="5" t="str" cm="1">
        <f t="array" ref="V224">IF(OR(DB224:DG224 =1), "Yes", "No")</f>
        <v>No</v>
      </c>
      <c r="W224" s="5" t="str">
        <f t="shared" si="52"/>
        <v>No</v>
      </c>
      <c r="X224" s="5" t="str">
        <f t="shared" si="53"/>
        <v>No</v>
      </c>
      <c r="Y224" s="5" t="str">
        <f t="shared" si="54"/>
        <v>No</v>
      </c>
      <c r="Z224">
        <v>2</v>
      </c>
      <c r="AB224">
        <v>1</v>
      </c>
      <c r="AC224">
        <v>0</v>
      </c>
      <c r="AD224">
        <v>0</v>
      </c>
      <c r="AE224">
        <v>0</v>
      </c>
      <c r="AF224">
        <v>0</v>
      </c>
      <c r="AG224">
        <v>0</v>
      </c>
      <c r="AH224">
        <v>0</v>
      </c>
      <c r="AI224">
        <v>0</v>
      </c>
      <c r="AJ224">
        <v>0</v>
      </c>
      <c r="AK224">
        <v>1</v>
      </c>
      <c r="AM224">
        <v>1</v>
      </c>
      <c r="AN224">
        <v>1</v>
      </c>
      <c r="AO224">
        <v>1</v>
      </c>
      <c r="AP224">
        <v>15</v>
      </c>
      <c r="AQ224">
        <v>23</v>
      </c>
      <c r="AR224">
        <v>33</v>
      </c>
      <c r="AS224">
        <v>15</v>
      </c>
      <c r="AT224">
        <v>23</v>
      </c>
      <c r="AU224">
        <v>33</v>
      </c>
      <c r="AV224">
        <v>1</v>
      </c>
      <c r="AW224">
        <v>1</v>
      </c>
      <c r="AX224">
        <v>1</v>
      </c>
      <c r="AY224">
        <v>1</v>
      </c>
      <c r="AZ224">
        <v>0</v>
      </c>
      <c r="BA224">
        <v>0</v>
      </c>
      <c r="BC224">
        <v>1</v>
      </c>
      <c r="BE224">
        <v>1</v>
      </c>
      <c r="BG224">
        <v>1</v>
      </c>
      <c r="BH224">
        <v>3</v>
      </c>
      <c r="BI224">
        <v>5</v>
      </c>
      <c r="BJ224">
        <v>2</v>
      </c>
      <c r="BL224">
        <v>1</v>
      </c>
      <c r="BM224">
        <v>1</v>
      </c>
      <c r="BN224">
        <v>2</v>
      </c>
      <c r="BV224">
        <v>0</v>
      </c>
      <c r="BW224">
        <v>0</v>
      </c>
      <c r="BX224">
        <v>1</v>
      </c>
      <c r="BY224">
        <v>0</v>
      </c>
      <c r="BZ224">
        <v>1</v>
      </c>
      <c r="CA224">
        <v>0</v>
      </c>
      <c r="CB224">
        <v>0</v>
      </c>
      <c r="CC224">
        <v>0</v>
      </c>
      <c r="CD224">
        <v>1</v>
      </c>
      <c r="CE224">
        <v>0</v>
      </c>
      <c r="CF224">
        <v>0</v>
      </c>
      <c r="CG224">
        <v>0</v>
      </c>
      <c r="CH224">
        <v>0</v>
      </c>
      <c r="CI224">
        <v>0</v>
      </c>
      <c r="CJ224">
        <v>0</v>
      </c>
      <c r="CK224">
        <v>0</v>
      </c>
      <c r="CL224">
        <v>0</v>
      </c>
      <c r="CN224">
        <v>9</v>
      </c>
      <c r="CO224">
        <v>4</v>
      </c>
      <c r="CQ224">
        <v>1</v>
      </c>
      <c r="CR224">
        <v>1</v>
      </c>
      <c r="EB224">
        <v>0</v>
      </c>
      <c r="EC224">
        <v>0</v>
      </c>
      <c r="ED224">
        <v>0</v>
      </c>
      <c r="EE224">
        <v>0</v>
      </c>
      <c r="EF224">
        <v>1</v>
      </c>
      <c r="EG224">
        <v>1</v>
      </c>
      <c r="EH224">
        <v>0</v>
      </c>
      <c r="EI224">
        <v>0</v>
      </c>
      <c r="EJ224">
        <v>0</v>
      </c>
      <c r="EK224">
        <v>0</v>
      </c>
      <c r="EM224">
        <v>0</v>
      </c>
      <c r="EN224">
        <v>0</v>
      </c>
      <c r="EO224">
        <v>0</v>
      </c>
      <c r="EP224">
        <v>1</v>
      </c>
      <c r="EQ224">
        <v>1</v>
      </c>
      <c r="ER224">
        <v>0</v>
      </c>
      <c r="ES224">
        <v>0</v>
      </c>
      <c r="ET224">
        <v>0</v>
      </c>
      <c r="EU224">
        <v>0</v>
      </c>
      <c r="EV224">
        <v>0</v>
      </c>
      <c r="EW224">
        <v>0</v>
      </c>
      <c r="EX224">
        <v>0</v>
      </c>
      <c r="EY224">
        <v>0</v>
      </c>
      <c r="IZ224">
        <v>1</v>
      </c>
      <c r="JA224">
        <v>0</v>
      </c>
      <c r="JB224">
        <v>0</v>
      </c>
      <c r="JC224">
        <v>0</v>
      </c>
      <c r="JD224">
        <v>0</v>
      </c>
      <c r="JE224">
        <v>1</v>
      </c>
      <c r="JF224">
        <v>1</v>
      </c>
      <c r="JG224">
        <v>0</v>
      </c>
      <c r="JH224">
        <v>0</v>
      </c>
      <c r="JI224">
        <v>0</v>
      </c>
      <c r="JJ224">
        <v>0</v>
      </c>
      <c r="JL224">
        <v>2</v>
      </c>
      <c r="JM224" cm="1">
        <f t="array" ref="JM224">IF(OR(JN224:JQ224 &lt;&gt; ""), 1, 0)</f>
        <v>0</v>
      </c>
    </row>
    <row r="225" spans="1:278" x14ac:dyDescent="0.35">
      <c r="A225">
        <v>362533</v>
      </c>
      <c r="C225">
        <v>1</v>
      </c>
      <c r="D225" t="s">
        <v>1145</v>
      </c>
      <c r="E225" t="str">
        <f>_xlfn.XLOOKUP(I225, [1]SchoolDistrictStudyWODuplicates!$K:$K, [1]SchoolDistrictStudyWODuplicates!$E:$E, "")</f>
        <v/>
      </c>
      <c r="G225" t="s">
        <v>1057</v>
      </c>
      <c r="H225" s="7">
        <v>4703590</v>
      </c>
      <c r="I225" s="7">
        <v>4703590</v>
      </c>
      <c r="J225" s="5" t="e">
        <f>_xlfn.XLOOKUP(I225,#REF!,#REF!,"Not Determined")</f>
        <v>#REF!</v>
      </c>
      <c r="K225" s="5" t="s">
        <v>1142</v>
      </c>
      <c r="L225" t="s">
        <v>1142</v>
      </c>
      <c r="M225" s="13" t="e">
        <f>_xlfn.XLOOKUP(I225,#REF!,#REF!, "No")</f>
        <v>#REF!</v>
      </c>
      <c r="N225" s="5" t="str">
        <f t="shared" si="44"/>
        <v>No</v>
      </c>
      <c r="O225" s="5" t="str">
        <f t="shared" si="45"/>
        <v>Yes</v>
      </c>
      <c r="P225" s="5" t="str">
        <f t="shared" si="46"/>
        <v>Yes</v>
      </c>
      <c r="Q225" s="5" t="str">
        <f t="shared" si="47"/>
        <v>Yes</v>
      </c>
      <c r="R225" s="5" t="str">
        <f t="shared" si="48"/>
        <v>Yes</v>
      </c>
      <c r="S225" s="5" t="str">
        <f t="shared" si="49"/>
        <v>Yes</v>
      </c>
      <c r="T225" s="5" t="str">
        <f t="shared" si="50"/>
        <v>Yes</v>
      </c>
      <c r="U225" s="5" t="str">
        <f t="shared" si="51"/>
        <v>Yes</v>
      </c>
      <c r="V225" s="5" t="str" cm="1">
        <f t="array" ref="V225">IF(OR(DB225:DG225 =1), "Yes", "No")</f>
        <v>No</v>
      </c>
      <c r="W225" s="5" t="str">
        <f t="shared" si="52"/>
        <v>Yes</v>
      </c>
      <c r="X225" s="5" t="str">
        <f t="shared" si="53"/>
        <v>No</v>
      </c>
      <c r="Y225" s="5" t="str">
        <f t="shared" si="54"/>
        <v>No</v>
      </c>
      <c r="Z225">
        <v>3</v>
      </c>
      <c r="AB225">
        <v>0</v>
      </c>
      <c r="AC225">
        <v>0</v>
      </c>
      <c r="AD225">
        <v>1</v>
      </c>
      <c r="AE225">
        <v>0</v>
      </c>
      <c r="AF225">
        <v>0</v>
      </c>
      <c r="AG225">
        <v>0</v>
      </c>
      <c r="AH225">
        <v>0</v>
      </c>
      <c r="AI225">
        <v>0</v>
      </c>
      <c r="AJ225">
        <v>0</v>
      </c>
      <c r="AK225">
        <v>1</v>
      </c>
      <c r="AM225">
        <v>0</v>
      </c>
      <c r="AN225">
        <v>1</v>
      </c>
      <c r="AO225">
        <v>1</v>
      </c>
      <c r="AQ225">
        <v>20</v>
      </c>
      <c r="AR225">
        <v>55</v>
      </c>
      <c r="AT225">
        <v>20</v>
      </c>
      <c r="AU225">
        <v>55</v>
      </c>
      <c r="AV225">
        <v>1</v>
      </c>
      <c r="AW225">
        <v>1</v>
      </c>
      <c r="AX225">
        <v>0</v>
      </c>
      <c r="AY225">
        <v>0</v>
      </c>
      <c r="AZ225">
        <v>0</v>
      </c>
      <c r="BA225">
        <v>0</v>
      </c>
      <c r="BC225">
        <v>2</v>
      </c>
      <c r="BE225">
        <v>1</v>
      </c>
      <c r="BG225">
        <v>1</v>
      </c>
      <c r="BH225">
        <v>1</v>
      </c>
      <c r="BI225">
        <v>4</v>
      </c>
      <c r="BJ225">
        <v>1</v>
      </c>
      <c r="BK225">
        <v>4</v>
      </c>
      <c r="BL225">
        <v>2</v>
      </c>
      <c r="BM225">
        <v>1</v>
      </c>
      <c r="BN225">
        <v>1</v>
      </c>
      <c r="BO225">
        <v>1</v>
      </c>
      <c r="BP225">
        <v>0</v>
      </c>
      <c r="BQ225">
        <v>0</v>
      </c>
      <c r="BR225">
        <v>1</v>
      </c>
      <c r="BS225">
        <v>0</v>
      </c>
      <c r="BT225">
        <v>0</v>
      </c>
      <c r="BV225">
        <v>0</v>
      </c>
      <c r="BW225">
        <v>0</v>
      </c>
      <c r="BX225">
        <v>0</v>
      </c>
      <c r="BY225">
        <v>0</v>
      </c>
      <c r="BZ225">
        <v>0</v>
      </c>
      <c r="CA225">
        <v>0</v>
      </c>
      <c r="CB225">
        <v>0</v>
      </c>
      <c r="CC225">
        <v>0</v>
      </c>
      <c r="CD225">
        <v>0</v>
      </c>
      <c r="CE225">
        <v>0</v>
      </c>
      <c r="CF225">
        <v>0</v>
      </c>
      <c r="CG225">
        <v>0</v>
      </c>
      <c r="CH225">
        <v>0</v>
      </c>
      <c r="CI225">
        <v>0</v>
      </c>
      <c r="CJ225">
        <v>0</v>
      </c>
      <c r="CK225">
        <v>0</v>
      </c>
      <c r="CL225">
        <v>1</v>
      </c>
      <c r="CM225" t="s">
        <v>1146</v>
      </c>
      <c r="CN225">
        <v>1</v>
      </c>
      <c r="CO225">
        <v>4</v>
      </c>
      <c r="CQ225">
        <v>4</v>
      </c>
      <c r="CR225">
        <v>5</v>
      </c>
      <c r="EB225">
        <v>1</v>
      </c>
      <c r="EC225">
        <v>0</v>
      </c>
      <c r="ED225">
        <v>0</v>
      </c>
      <c r="EE225">
        <v>0</v>
      </c>
      <c r="EF225">
        <v>1</v>
      </c>
      <c r="EG225">
        <v>0</v>
      </c>
      <c r="EH225">
        <v>0</v>
      </c>
      <c r="EI225">
        <v>0</v>
      </c>
      <c r="EJ225">
        <v>0</v>
      </c>
      <c r="EK225">
        <v>0</v>
      </c>
      <c r="EM225">
        <v>0</v>
      </c>
      <c r="EN225">
        <v>1</v>
      </c>
      <c r="EO225">
        <v>0</v>
      </c>
      <c r="EP225">
        <v>1</v>
      </c>
      <c r="EQ225">
        <v>1</v>
      </c>
      <c r="ER225">
        <v>0</v>
      </c>
      <c r="ES225">
        <v>0</v>
      </c>
      <c r="ET225">
        <v>0</v>
      </c>
      <c r="EU225">
        <v>0</v>
      </c>
      <c r="EV225">
        <v>0</v>
      </c>
      <c r="EW225">
        <v>1</v>
      </c>
      <c r="EX225">
        <v>0</v>
      </c>
      <c r="EY225">
        <v>0</v>
      </c>
      <c r="FB225" t="s">
        <v>274</v>
      </c>
      <c r="FC225">
        <v>1</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v>0</v>
      </c>
      <c r="FW225">
        <v>0</v>
      </c>
      <c r="FX225">
        <v>0</v>
      </c>
      <c r="IZ225">
        <v>1</v>
      </c>
      <c r="JA225">
        <v>0</v>
      </c>
      <c r="JB225">
        <v>1</v>
      </c>
      <c r="JC225">
        <v>0</v>
      </c>
      <c r="JD225">
        <v>0</v>
      </c>
      <c r="JE225">
        <v>0</v>
      </c>
      <c r="JF225">
        <v>0</v>
      </c>
      <c r="JG225">
        <v>0</v>
      </c>
      <c r="JH225">
        <v>0</v>
      </c>
      <c r="JI225">
        <v>0</v>
      </c>
      <c r="JJ225">
        <v>0</v>
      </c>
      <c r="JL225">
        <v>1</v>
      </c>
      <c r="JM225" cm="1">
        <f t="array" ref="JM225">IF(OR(JN225:JQ225 &lt;&gt; ""), 1, 0)</f>
        <v>1</v>
      </c>
      <c r="JN225">
        <v>1</v>
      </c>
      <c r="JO225">
        <v>1</v>
      </c>
      <c r="JP225">
        <v>0</v>
      </c>
      <c r="JQ225">
        <v>0</v>
      </c>
    </row>
    <row r="226" spans="1:278" x14ac:dyDescent="0.35">
      <c r="A226">
        <v>405458</v>
      </c>
      <c r="C226">
        <v>1</v>
      </c>
      <c r="D226" t="s">
        <v>1147</v>
      </c>
      <c r="E226" t="str">
        <f>_xlfn.XLOOKUP(I226, [1]SchoolDistrictStudyWODuplicates!$K:$K, [1]SchoolDistrictStudyWODuplicates!$E:$E, "")</f>
        <v/>
      </c>
      <c r="G226" t="s">
        <v>1148</v>
      </c>
      <c r="H226" s="7">
        <v>4827030</v>
      </c>
      <c r="I226" s="7">
        <v>4827030</v>
      </c>
      <c r="J226" s="5" t="e">
        <f>_xlfn.XLOOKUP(I226,#REF!,#REF!,"Not Determined")</f>
        <v>#REF!</v>
      </c>
      <c r="K226" s="5" t="s">
        <v>1149</v>
      </c>
      <c r="L226" t="s">
        <v>1149</v>
      </c>
      <c r="M226" s="13" t="e">
        <f>_xlfn.XLOOKUP(I226,#REF!,#REF!, "No")</f>
        <v>#REF!</v>
      </c>
      <c r="N226" s="5" t="str">
        <f t="shared" si="44"/>
        <v>No</v>
      </c>
      <c r="O226" s="5" t="str">
        <f t="shared" si="45"/>
        <v>Yes</v>
      </c>
      <c r="P226" s="5" t="str">
        <f t="shared" si="46"/>
        <v>Yes</v>
      </c>
      <c r="Q226" s="5" t="str">
        <f t="shared" si="47"/>
        <v>Yes</v>
      </c>
      <c r="R226" s="5" t="str">
        <f t="shared" si="48"/>
        <v>Yes</v>
      </c>
      <c r="S226" s="5" t="str">
        <f t="shared" si="49"/>
        <v>Yes</v>
      </c>
      <c r="T226" s="5" t="str">
        <f t="shared" si="50"/>
        <v>Yes</v>
      </c>
      <c r="U226" s="5" t="str">
        <f t="shared" si="51"/>
        <v>No</v>
      </c>
      <c r="V226" s="5" t="str" cm="1">
        <f t="array" ref="V226">IF(OR(DB226:DG226 =1), "Yes", "No")</f>
        <v>No</v>
      </c>
      <c r="W226" s="5" t="str">
        <f t="shared" si="52"/>
        <v>Yes</v>
      </c>
      <c r="X226" s="5" t="str">
        <f t="shared" si="53"/>
        <v>No</v>
      </c>
      <c r="Y226" s="5" t="str">
        <f t="shared" si="54"/>
        <v>No</v>
      </c>
      <c r="Z226">
        <v>3</v>
      </c>
      <c r="AB226">
        <v>0</v>
      </c>
      <c r="AC226">
        <v>1</v>
      </c>
      <c r="AD226">
        <v>1</v>
      </c>
      <c r="AE226">
        <v>0</v>
      </c>
      <c r="AF226">
        <v>0</v>
      </c>
      <c r="AG226">
        <v>0</v>
      </c>
      <c r="AH226">
        <v>0</v>
      </c>
      <c r="AI226">
        <v>0</v>
      </c>
      <c r="AJ226">
        <v>0</v>
      </c>
      <c r="AK226">
        <v>1</v>
      </c>
      <c r="AM226">
        <v>1</v>
      </c>
      <c r="AN226">
        <v>1</v>
      </c>
      <c r="AO226">
        <v>0</v>
      </c>
      <c r="AP226">
        <v>8</v>
      </c>
      <c r="AQ226">
        <v>320</v>
      </c>
      <c r="AS226">
        <v>8</v>
      </c>
      <c r="AT226">
        <v>320</v>
      </c>
      <c r="AV226">
        <v>1</v>
      </c>
      <c r="AW226">
        <v>0</v>
      </c>
      <c r="AX226">
        <v>0</v>
      </c>
      <c r="AY226">
        <v>1</v>
      </c>
      <c r="AZ226">
        <v>0</v>
      </c>
      <c r="BA226">
        <v>0</v>
      </c>
      <c r="BC226">
        <v>4</v>
      </c>
      <c r="BE226">
        <v>1</v>
      </c>
      <c r="BG226">
        <v>1</v>
      </c>
      <c r="BH226">
        <v>1</v>
      </c>
      <c r="BI226">
        <v>2</v>
      </c>
      <c r="BJ226">
        <v>2</v>
      </c>
      <c r="BL226">
        <v>2</v>
      </c>
      <c r="BM226">
        <v>1</v>
      </c>
      <c r="BN226">
        <v>1</v>
      </c>
      <c r="BO226">
        <v>0</v>
      </c>
      <c r="BP226">
        <v>0</v>
      </c>
      <c r="BQ226">
        <v>0</v>
      </c>
      <c r="BR226">
        <v>0</v>
      </c>
      <c r="BS226">
        <v>0</v>
      </c>
      <c r="BT226">
        <v>1</v>
      </c>
      <c r="BU226" t="s">
        <v>1150</v>
      </c>
      <c r="BV226">
        <v>0</v>
      </c>
      <c r="BW226">
        <v>0</v>
      </c>
      <c r="BX226">
        <v>1</v>
      </c>
      <c r="BY226">
        <v>0</v>
      </c>
      <c r="BZ226">
        <v>1</v>
      </c>
      <c r="CA226">
        <v>0</v>
      </c>
      <c r="CB226">
        <v>0</v>
      </c>
      <c r="CC226">
        <v>0</v>
      </c>
      <c r="CD226">
        <v>0</v>
      </c>
      <c r="CE226">
        <v>0</v>
      </c>
      <c r="CF226">
        <v>0</v>
      </c>
      <c r="CG226">
        <v>0</v>
      </c>
      <c r="CH226">
        <v>1</v>
      </c>
      <c r="CI226">
        <v>0</v>
      </c>
      <c r="CJ226">
        <v>0</v>
      </c>
      <c r="CK226">
        <v>0</v>
      </c>
      <c r="CL226">
        <v>0</v>
      </c>
      <c r="CN226">
        <v>13</v>
      </c>
      <c r="CO226">
        <v>4</v>
      </c>
      <c r="CQ226">
        <v>3</v>
      </c>
      <c r="CR226">
        <v>2</v>
      </c>
      <c r="EB226">
        <v>0</v>
      </c>
      <c r="EC226">
        <v>0</v>
      </c>
      <c r="ED226">
        <v>1</v>
      </c>
      <c r="EE226">
        <v>0</v>
      </c>
      <c r="EF226">
        <v>0</v>
      </c>
      <c r="EG226">
        <v>1</v>
      </c>
      <c r="EH226">
        <v>0</v>
      </c>
      <c r="EI226">
        <v>0</v>
      </c>
      <c r="EJ226">
        <v>1</v>
      </c>
      <c r="EK226">
        <v>0</v>
      </c>
      <c r="EL226" t="s">
        <v>1087</v>
      </c>
      <c r="EM226">
        <v>0</v>
      </c>
      <c r="EN226">
        <v>1</v>
      </c>
      <c r="EO226">
        <v>0</v>
      </c>
      <c r="EP226">
        <v>1</v>
      </c>
      <c r="EQ226">
        <v>0</v>
      </c>
      <c r="ER226">
        <v>0</v>
      </c>
      <c r="ES226">
        <v>0</v>
      </c>
      <c r="ET226">
        <v>0</v>
      </c>
      <c r="EU226">
        <v>0</v>
      </c>
      <c r="EV226">
        <v>0</v>
      </c>
      <c r="EW226">
        <v>1</v>
      </c>
      <c r="EX226">
        <v>0</v>
      </c>
      <c r="EY226">
        <v>0</v>
      </c>
      <c r="FB226" t="s">
        <v>400</v>
      </c>
      <c r="FC226">
        <v>0</v>
      </c>
      <c r="FD226">
        <v>1</v>
      </c>
      <c r="FE226">
        <v>0</v>
      </c>
      <c r="FF226">
        <v>0</v>
      </c>
      <c r="FG226">
        <v>0</v>
      </c>
      <c r="FH226">
        <v>0</v>
      </c>
      <c r="FI226">
        <v>0</v>
      </c>
      <c r="FJ226">
        <v>0</v>
      </c>
      <c r="FK226">
        <v>0</v>
      </c>
      <c r="FL226">
        <v>0</v>
      </c>
      <c r="FM226">
        <v>0</v>
      </c>
      <c r="FN226">
        <v>0</v>
      </c>
      <c r="FO226">
        <v>0</v>
      </c>
      <c r="FP226">
        <v>0</v>
      </c>
      <c r="FQ226">
        <v>0</v>
      </c>
      <c r="FR226">
        <v>0</v>
      </c>
      <c r="FS226">
        <v>0</v>
      </c>
      <c r="FT226">
        <v>0</v>
      </c>
      <c r="FU226">
        <v>0</v>
      </c>
      <c r="FV226">
        <v>0</v>
      </c>
      <c r="FW226">
        <v>0</v>
      </c>
      <c r="FX226">
        <v>0</v>
      </c>
      <c r="IZ226">
        <v>1</v>
      </c>
      <c r="JA226">
        <v>0</v>
      </c>
      <c r="JB226">
        <v>1</v>
      </c>
      <c r="JC226">
        <v>0</v>
      </c>
      <c r="JD226">
        <v>0</v>
      </c>
      <c r="JE226">
        <v>0</v>
      </c>
      <c r="JF226">
        <v>1</v>
      </c>
      <c r="JG226">
        <v>0</v>
      </c>
      <c r="JH226">
        <v>0</v>
      </c>
      <c r="JI226">
        <v>0</v>
      </c>
      <c r="JJ226">
        <v>0</v>
      </c>
      <c r="JL226">
        <v>1</v>
      </c>
      <c r="JM226" cm="1">
        <f t="array" ref="JM226">IF(OR(JN226:JQ226 &lt;&gt; ""), 1, 0)</f>
        <v>1</v>
      </c>
      <c r="JN226">
        <v>1</v>
      </c>
      <c r="JO226">
        <v>1</v>
      </c>
      <c r="JP226">
        <v>0</v>
      </c>
      <c r="JQ226">
        <v>1</v>
      </c>
      <c r="JR226" t="s">
        <v>1151</v>
      </c>
    </row>
    <row r="227" spans="1:278" x14ac:dyDescent="0.35">
      <c r="A227">
        <v>396997</v>
      </c>
      <c r="C227">
        <v>1</v>
      </c>
      <c r="D227" t="s">
        <v>1152</v>
      </c>
      <c r="E227" t="str">
        <f>_xlfn.XLOOKUP(I227, [1]SchoolDistrictStudyWODuplicates!$K:$K, [1]SchoolDistrictStudyWODuplicates!$E:$E, "")</f>
        <v/>
      </c>
      <c r="G227" t="s">
        <v>1153</v>
      </c>
      <c r="H227" s="7">
        <v>4830930</v>
      </c>
      <c r="I227" s="7">
        <v>4830930</v>
      </c>
      <c r="J227" s="5" t="e">
        <f>_xlfn.XLOOKUP(I227,#REF!,#REF!,"Not Determined")</f>
        <v>#REF!</v>
      </c>
      <c r="K227" s="5" t="s">
        <v>1149</v>
      </c>
      <c r="L227" t="s">
        <v>1149</v>
      </c>
      <c r="M227" s="13" t="e">
        <f>_xlfn.XLOOKUP(I227,#REF!,#REF!, "No")</f>
        <v>#REF!</v>
      </c>
      <c r="N227" s="5" t="str">
        <f t="shared" si="44"/>
        <v>No</v>
      </c>
      <c r="O227" s="5" t="str">
        <f t="shared" si="45"/>
        <v>Yes</v>
      </c>
      <c r="P227" s="5" t="str">
        <f t="shared" si="46"/>
        <v>Yes</v>
      </c>
      <c r="Q227" s="5" t="str">
        <f t="shared" si="47"/>
        <v>Yes</v>
      </c>
      <c r="R227" s="5" t="str">
        <f t="shared" si="48"/>
        <v>Yes</v>
      </c>
      <c r="S227" s="5" t="str">
        <f t="shared" si="49"/>
        <v>Yes</v>
      </c>
      <c r="T227" s="5" t="str">
        <f t="shared" si="50"/>
        <v>Yes</v>
      </c>
      <c r="U227" s="5" t="str">
        <f t="shared" si="51"/>
        <v>Yes</v>
      </c>
      <c r="V227" s="5" t="str" cm="1">
        <f t="array" ref="V227">IF(OR(DB227:DG227 =1), "Yes", "No")</f>
        <v>No</v>
      </c>
      <c r="W227" s="5" t="str">
        <f t="shared" si="52"/>
        <v>Yes</v>
      </c>
      <c r="X227" s="5" t="str">
        <f t="shared" si="53"/>
        <v>No</v>
      </c>
      <c r="Y227" s="5" t="str">
        <f t="shared" si="54"/>
        <v>No</v>
      </c>
      <c r="Z227">
        <v>3</v>
      </c>
      <c r="AB227">
        <v>1</v>
      </c>
      <c r="AC227">
        <v>0</v>
      </c>
      <c r="AD227">
        <v>1</v>
      </c>
      <c r="AE227">
        <v>0</v>
      </c>
      <c r="AF227">
        <v>0</v>
      </c>
      <c r="AG227">
        <v>1</v>
      </c>
      <c r="AH227">
        <v>0</v>
      </c>
      <c r="AI227">
        <v>1</v>
      </c>
      <c r="AJ227">
        <v>0</v>
      </c>
      <c r="AK227">
        <v>1</v>
      </c>
      <c r="AM227">
        <v>1</v>
      </c>
      <c r="AN227">
        <v>1</v>
      </c>
      <c r="AO227">
        <v>0</v>
      </c>
      <c r="AP227">
        <v>3</v>
      </c>
      <c r="AQ227">
        <v>30</v>
      </c>
      <c r="AS227">
        <v>3</v>
      </c>
      <c r="AT227">
        <v>30</v>
      </c>
      <c r="AV227">
        <v>1</v>
      </c>
      <c r="AW227">
        <v>1</v>
      </c>
      <c r="AX227">
        <v>0</v>
      </c>
      <c r="AY227">
        <v>0</v>
      </c>
      <c r="AZ227">
        <v>0</v>
      </c>
      <c r="BA227">
        <v>0</v>
      </c>
      <c r="BC227">
        <v>1</v>
      </c>
      <c r="BE227">
        <v>1</v>
      </c>
      <c r="BG227">
        <v>1</v>
      </c>
      <c r="BH227">
        <v>1</v>
      </c>
      <c r="BI227">
        <v>4</v>
      </c>
      <c r="BJ227">
        <v>2</v>
      </c>
      <c r="BL227">
        <v>2</v>
      </c>
      <c r="BM227">
        <v>1</v>
      </c>
      <c r="BN227">
        <v>1</v>
      </c>
      <c r="BO227">
        <v>0</v>
      </c>
      <c r="BP227">
        <v>0</v>
      </c>
      <c r="BQ227">
        <v>0</v>
      </c>
      <c r="BR227">
        <v>0</v>
      </c>
      <c r="BS227">
        <v>0</v>
      </c>
      <c r="BT227">
        <v>1</v>
      </c>
      <c r="BU227" t="s">
        <v>1154</v>
      </c>
      <c r="BV227">
        <v>1</v>
      </c>
      <c r="BW227">
        <v>0</v>
      </c>
      <c r="BX227">
        <v>0</v>
      </c>
      <c r="BY227">
        <v>0</v>
      </c>
      <c r="BZ227">
        <v>0</v>
      </c>
      <c r="CA227">
        <v>0</v>
      </c>
      <c r="CB227">
        <v>0</v>
      </c>
      <c r="CC227">
        <v>0</v>
      </c>
      <c r="CD227">
        <v>1</v>
      </c>
      <c r="CE227">
        <v>0</v>
      </c>
      <c r="CF227">
        <v>0</v>
      </c>
      <c r="CG227">
        <v>0</v>
      </c>
      <c r="CH227">
        <v>0</v>
      </c>
      <c r="CI227">
        <v>1</v>
      </c>
      <c r="CJ227">
        <v>0</v>
      </c>
      <c r="CK227">
        <v>1</v>
      </c>
      <c r="CL227">
        <v>0</v>
      </c>
      <c r="CN227">
        <v>16</v>
      </c>
      <c r="CO227">
        <v>4</v>
      </c>
      <c r="CQ227">
        <v>4</v>
      </c>
      <c r="CR227">
        <v>4</v>
      </c>
      <c r="EB227">
        <v>0</v>
      </c>
      <c r="EC227">
        <v>0</v>
      </c>
      <c r="ED227">
        <v>1</v>
      </c>
      <c r="EE227">
        <v>0</v>
      </c>
      <c r="EF227">
        <v>0</v>
      </c>
      <c r="EG227">
        <v>0</v>
      </c>
      <c r="EH227">
        <v>0</v>
      </c>
      <c r="EI227">
        <v>0</v>
      </c>
      <c r="EJ227">
        <v>0</v>
      </c>
      <c r="EK227">
        <v>0</v>
      </c>
      <c r="EM227">
        <v>0</v>
      </c>
      <c r="EN227">
        <v>1</v>
      </c>
      <c r="EO227">
        <v>0</v>
      </c>
      <c r="EP227">
        <v>0</v>
      </c>
      <c r="EQ227">
        <v>0</v>
      </c>
      <c r="ER227">
        <v>0</v>
      </c>
      <c r="ES227">
        <v>0</v>
      </c>
      <c r="ET227">
        <v>0</v>
      </c>
      <c r="EU227">
        <v>0</v>
      </c>
      <c r="EV227">
        <v>0</v>
      </c>
      <c r="EW227">
        <v>0</v>
      </c>
      <c r="EX227">
        <v>0</v>
      </c>
      <c r="EY227">
        <v>0</v>
      </c>
      <c r="FB227" t="s">
        <v>1155</v>
      </c>
      <c r="FC227">
        <v>1</v>
      </c>
      <c r="FD227">
        <v>1</v>
      </c>
      <c r="FE227">
        <v>0</v>
      </c>
      <c r="FF227">
        <v>0</v>
      </c>
      <c r="FG227">
        <v>0</v>
      </c>
      <c r="FH227">
        <v>0</v>
      </c>
      <c r="FI227">
        <v>0</v>
      </c>
      <c r="FJ227">
        <v>0</v>
      </c>
      <c r="FK227">
        <v>0</v>
      </c>
      <c r="FL227">
        <v>0</v>
      </c>
      <c r="FM227">
        <v>0</v>
      </c>
      <c r="FN227">
        <v>0</v>
      </c>
      <c r="FO227">
        <v>0</v>
      </c>
      <c r="FP227">
        <v>0</v>
      </c>
      <c r="FQ227">
        <v>0</v>
      </c>
      <c r="FR227">
        <v>0</v>
      </c>
      <c r="FS227">
        <v>0</v>
      </c>
      <c r="FT227">
        <v>0</v>
      </c>
      <c r="FU227">
        <v>0</v>
      </c>
      <c r="FV227">
        <v>0</v>
      </c>
      <c r="FW227">
        <v>0</v>
      </c>
      <c r="FX227">
        <v>0</v>
      </c>
      <c r="IZ227">
        <v>1</v>
      </c>
      <c r="JA227">
        <v>0</v>
      </c>
      <c r="JB227">
        <v>1</v>
      </c>
      <c r="JC227">
        <v>1</v>
      </c>
      <c r="JD227">
        <v>0</v>
      </c>
      <c r="JE227">
        <v>0</v>
      </c>
      <c r="JF227">
        <v>0</v>
      </c>
      <c r="JG227">
        <v>0</v>
      </c>
      <c r="JH227">
        <v>0</v>
      </c>
      <c r="JI227">
        <v>0</v>
      </c>
      <c r="JJ227">
        <v>0</v>
      </c>
      <c r="JL227">
        <v>1</v>
      </c>
      <c r="JM227" cm="1">
        <f t="array" ref="JM227">IF(OR(JN227:JQ227 &lt;&gt; ""), 1, 0)</f>
        <v>1</v>
      </c>
      <c r="JN227">
        <v>1</v>
      </c>
      <c r="JO227">
        <v>0</v>
      </c>
      <c r="JP227">
        <v>0</v>
      </c>
      <c r="JQ227">
        <v>0</v>
      </c>
    </row>
    <row r="228" spans="1:278" x14ac:dyDescent="0.35">
      <c r="A228">
        <v>405507</v>
      </c>
      <c r="C228">
        <v>1</v>
      </c>
      <c r="D228" t="s">
        <v>1156</v>
      </c>
      <c r="E228" t="str">
        <f>_xlfn.XLOOKUP(I228, [1]SchoolDistrictStudyWODuplicates!$K:$K, [1]SchoolDistrictStudyWODuplicates!$E:$E, "")</f>
        <v/>
      </c>
      <c r="G228" t="s">
        <v>1157</v>
      </c>
      <c r="H228" s="7">
        <v>4838580</v>
      </c>
      <c r="I228" s="7">
        <v>4838580</v>
      </c>
      <c r="J228" s="5" t="e">
        <f>_xlfn.XLOOKUP(I228,#REF!,#REF!,"Not Determined")</f>
        <v>#REF!</v>
      </c>
      <c r="K228" s="5" t="s">
        <v>1149</v>
      </c>
      <c r="L228" t="s">
        <v>1149</v>
      </c>
      <c r="M228" s="13" t="e">
        <f>_xlfn.XLOOKUP(I228,#REF!,#REF!, "No")</f>
        <v>#REF!</v>
      </c>
      <c r="N228" s="5" t="str">
        <f t="shared" si="44"/>
        <v>No</v>
      </c>
      <c r="O228" s="5" t="str">
        <f t="shared" si="45"/>
        <v>Yes</v>
      </c>
      <c r="P228" s="5" t="str">
        <f t="shared" si="46"/>
        <v>Yes</v>
      </c>
      <c r="Q228" s="5" t="str">
        <f t="shared" si="47"/>
        <v>Yes</v>
      </c>
      <c r="R228" s="5" t="str">
        <f t="shared" si="48"/>
        <v>Yes</v>
      </c>
      <c r="S228" s="5" t="str">
        <f t="shared" si="49"/>
        <v>Yes</v>
      </c>
      <c r="T228" s="5" t="str">
        <f t="shared" si="50"/>
        <v>Yes</v>
      </c>
      <c r="U228" s="5" t="str">
        <f t="shared" si="51"/>
        <v>Yes</v>
      </c>
      <c r="V228" s="5" t="str" cm="1">
        <f t="array" ref="V228">IF(OR(DB228:DG228 =1), "Yes", "No")</f>
        <v>No</v>
      </c>
      <c r="W228" s="5" t="str">
        <f t="shared" si="52"/>
        <v>No</v>
      </c>
      <c r="X228" s="5" t="str">
        <f t="shared" si="53"/>
        <v>No</v>
      </c>
      <c r="Y228" s="5" t="str">
        <f t="shared" si="54"/>
        <v>No</v>
      </c>
      <c r="Z228">
        <v>2</v>
      </c>
      <c r="AB228">
        <v>0</v>
      </c>
      <c r="AC228">
        <v>1</v>
      </c>
      <c r="AD228">
        <v>0</v>
      </c>
      <c r="AE228">
        <v>0</v>
      </c>
      <c r="AF228">
        <v>0</v>
      </c>
      <c r="AG228">
        <v>0</v>
      </c>
      <c r="AH228">
        <v>0</v>
      </c>
      <c r="AI228">
        <v>0</v>
      </c>
      <c r="AJ228">
        <v>0</v>
      </c>
      <c r="AK228">
        <v>1</v>
      </c>
      <c r="AM228">
        <v>1</v>
      </c>
      <c r="AN228">
        <v>1</v>
      </c>
      <c r="AO228">
        <v>1</v>
      </c>
      <c r="AP228">
        <v>6</v>
      </c>
      <c r="AQ228">
        <v>27</v>
      </c>
      <c r="AR228">
        <v>2</v>
      </c>
      <c r="AS228">
        <v>6</v>
      </c>
      <c r="AT228">
        <v>27</v>
      </c>
      <c r="AU228">
        <v>2</v>
      </c>
      <c r="AV228">
        <v>1</v>
      </c>
      <c r="AW228">
        <v>0</v>
      </c>
      <c r="AX228">
        <v>0</v>
      </c>
      <c r="AY228">
        <v>0</v>
      </c>
      <c r="AZ228">
        <v>0</v>
      </c>
      <c r="BA228">
        <v>0</v>
      </c>
      <c r="BC228">
        <v>1</v>
      </c>
      <c r="BE228">
        <v>1</v>
      </c>
      <c r="BG228">
        <v>1</v>
      </c>
      <c r="BH228">
        <v>1</v>
      </c>
      <c r="BI228">
        <v>1</v>
      </c>
      <c r="BJ228">
        <v>1</v>
      </c>
      <c r="BK228">
        <v>3</v>
      </c>
      <c r="BL228">
        <v>1</v>
      </c>
      <c r="BM228">
        <v>1</v>
      </c>
      <c r="BN228">
        <v>1</v>
      </c>
      <c r="BO228">
        <v>1</v>
      </c>
      <c r="BP228">
        <v>0</v>
      </c>
      <c r="BQ228">
        <v>0</v>
      </c>
      <c r="BR228">
        <v>1</v>
      </c>
      <c r="BS228">
        <v>0</v>
      </c>
      <c r="BT228">
        <v>0</v>
      </c>
      <c r="BV228">
        <v>1</v>
      </c>
      <c r="BW228">
        <v>0</v>
      </c>
      <c r="BX228">
        <v>0</v>
      </c>
      <c r="BY228">
        <v>0</v>
      </c>
      <c r="BZ228">
        <v>1</v>
      </c>
      <c r="CA228">
        <v>0</v>
      </c>
      <c r="CB228">
        <v>0</v>
      </c>
      <c r="CC228">
        <v>0</v>
      </c>
      <c r="CD228">
        <v>0</v>
      </c>
      <c r="CE228">
        <v>0</v>
      </c>
      <c r="CF228">
        <v>0</v>
      </c>
      <c r="CG228">
        <v>0</v>
      </c>
      <c r="CH228">
        <v>0</v>
      </c>
      <c r="CI228">
        <v>0</v>
      </c>
      <c r="CJ228">
        <v>0</v>
      </c>
      <c r="CK228">
        <v>0</v>
      </c>
      <c r="CL228">
        <v>0</v>
      </c>
      <c r="CN228">
        <v>1</v>
      </c>
      <c r="CO228">
        <v>4</v>
      </c>
      <c r="CQ228">
        <v>3</v>
      </c>
      <c r="CR228">
        <v>3</v>
      </c>
      <c r="EB228">
        <v>0</v>
      </c>
      <c r="EC228">
        <v>0</v>
      </c>
      <c r="ED228">
        <v>0</v>
      </c>
      <c r="EE228">
        <v>0</v>
      </c>
      <c r="EF228">
        <v>0</v>
      </c>
      <c r="EG228">
        <v>1</v>
      </c>
      <c r="EH228">
        <v>0</v>
      </c>
      <c r="EI228">
        <v>0</v>
      </c>
      <c r="EJ228">
        <v>0</v>
      </c>
      <c r="EK228">
        <v>0</v>
      </c>
      <c r="EM228">
        <v>0</v>
      </c>
      <c r="EN228">
        <v>0</v>
      </c>
      <c r="EO228">
        <v>0</v>
      </c>
      <c r="EP228">
        <v>1</v>
      </c>
      <c r="EQ228">
        <v>0</v>
      </c>
      <c r="ER228">
        <v>0</v>
      </c>
      <c r="ES228">
        <v>0</v>
      </c>
      <c r="ET228">
        <v>0</v>
      </c>
      <c r="EU228">
        <v>0</v>
      </c>
      <c r="EV228">
        <v>0</v>
      </c>
      <c r="EW228">
        <v>0</v>
      </c>
      <c r="EX228">
        <v>0</v>
      </c>
      <c r="EY228">
        <v>0</v>
      </c>
      <c r="IZ228">
        <v>1</v>
      </c>
      <c r="JA228">
        <v>1</v>
      </c>
      <c r="JB228">
        <v>0</v>
      </c>
      <c r="JC228">
        <v>1</v>
      </c>
      <c r="JD228">
        <v>0</v>
      </c>
      <c r="JE228">
        <v>0</v>
      </c>
      <c r="JF228">
        <v>0</v>
      </c>
      <c r="JG228">
        <v>0</v>
      </c>
      <c r="JH228">
        <v>0</v>
      </c>
      <c r="JI228">
        <v>0</v>
      </c>
      <c r="JJ228">
        <v>0</v>
      </c>
      <c r="JL228">
        <v>2</v>
      </c>
      <c r="JM228" cm="1">
        <f t="array" ref="JM228">IF(OR(JN228:JQ228 &lt;&gt; ""), 1, 0)</f>
        <v>0</v>
      </c>
    </row>
    <row r="229" spans="1:278" x14ac:dyDescent="0.35">
      <c r="A229">
        <v>405339</v>
      </c>
      <c r="C229">
        <v>1</v>
      </c>
      <c r="D229" t="s">
        <v>1158</v>
      </c>
      <c r="E229" t="str">
        <f>_xlfn.XLOOKUP(I229, [1]SchoolDistrictStudyWODuplicates!$K:$K, [1]SchoolDistrictStudyWODuplicates!$E:$E, "")</f>
        <v/>
      </c>
      <c r="G229" t="s">
        <v>1159</v>
      </c>
      <c r="H229" s="7">
        <v>4901110</v>
      </c>
      <c r="I229" s="7">
        <v>4901110</v>
      </c>
      <c r="J229" s="5" t="e">
        <f>_xlfn.XLOOKUP(I229,#REF!,#REF!,"Not Determined")</f>
        <v>#REF!</v>
      </c>
      <c r="K229" s="5" t="s">
        <v>1160</v>
      </c>
      <c r="L229" t="s">
        <v>1160</v>
      </c>
      <c r="M229" s="13" t="e">
        <f>_xlfn.XLOOKUP(I229,#REF!,#REF!, "No")</f>
        <v>#REF!</v>
      </c>
      <c r="N229" s="5" t="str">
        <f t="shared" si="44"/>
        <v>No</v>
      </c>
      <c r="O229" s="5" t="str">
        <f t="shared" si="45"/>
        <v>Yes</v>
      </c>
      <c r="P229" s="5" t="str">
        <f t="shared" si="46"/>
        <v>Yes</v>
      </c>
      <c r="Q229" s="5" t="str">
        <f t="shared" si="47"/>
        <v>Yes</v>
      </c>
      <c r="R229" s="5" t="str">
        <f t="shared" si="48"/>
        <v>Yes</v>
      </c>
      <c r="S229" s="5" t="str">
        <f t="shared" si="49"/>
        <v>Yes</v>
      </c>
      <c r="T229" s="5" t="str">
        <f t="shared" si="50"/>
        <v>Yes</v>
      </c>
      <c r="U229" s="5" t="str">
        <f t="shared" si="51"/>
        <v>Yes</v>
      </c>
      <c r="V229" s="5" t="str" cm="1">
        <f t="array" ref="V229">IF(OR(DB229:DG229 =1), "Yes", "No")</f>
        <v>No</v>
      </c>
      <c r="W229" s="5" t="str">
        <f t="shared" si="52"/>
        <v>No</v>
      </c>
      <c r="X229" s="5" t="str">
        <f t="shared" si="53"/>
        <v>No</v>
      </c>
      <c r="Y229" s="5" t="str">
        <f t="shared" si="54"/>
        <v>No</v>
      </c>
      <c r="Z229">
        <v>3</v>
      </c>
      <c r="AB229">
        <v>0</v>
      </c>
      <c r="AC229">
        <v>0</v>
      </c>
      <c r="AD229">
        <v>1</v>
      </c>
      <c r="AE229">
        <v>0</v>
      </c>
      <c r="AF229">
        <v>0</v>
      </c>
      <c r="AG229">
        <v>0</v>
      </c>
      <c r="AH229">
        <v>0</v>
      </c>
      <c r="AI229">
        <v>0</v>
      </c>
      <c r="AJ229">
        <v>0</v>
      </c>
      <c r="AK229">
        <v>1</v>
      </c>
      <c r="AM229">
        <v>0</v>
      </c>
      <c r="AN229">
        <v>0</v>
      </c>
      <c r="AO229">
        <v>1</v>
      </c>
      <c r="AR229">
        <v>67</v>
      </c>
      <c r="AU229">
        <v>67</v>
      </c>
      <c r="AV229">
        <v>1</v>
      </c>
      <c r="AW229">
        <v>0</v>
      </c>
      <c r="AX229">
        <v>0</v>
      </c>
      <c r="AY229">
        <v>0</v>
      </c>
      <c r="AZ229">
        <v>0</v>
      </c>
      <c r="BA229">
        <v>0</v>
      </c>
      <c r="BC229">
        <v>1</v>
      </c>
      <c r="BE229">
        <v>1</v>
      </c>
      <c r="BG229">
        <v>1</v>
      </c>
      <c r="BH229">
        <v>1</v>
      </c>
      <c r="BI229">
        <v>4</v>
      </c>
      <c r="BJ229">
        <v>1</v>
      </c>
      <c r="BK229">
        <v>4</v>
      </c>
      <c r="BL229">
        <v>2</v>
      </c>
      <c r="BM229">
        <v>1</v>
      </c>
      <c r="BN229">
        <v>1</v>
      </c>
      <c r="BO229">
        <v>0</v>
      </c>
      <c r="BP229">
        <v>0</v>
      </c>
      <c r="BQ229">
        <v>1</v>
      </c>
      <c r="BR229">
        <v>0</v>
      </c>
      <c r="BS229">
        <v>0</v>
      </c>
      <c r="BT229">
        <v>0</v>
      </c>
      <c r="BV229">
        <v>0</v>
      </c>
      <c r="BW229">
        <v>0</v>
      </c>
      <c r="BX229">
        <v>1</v>
      </c>
      <c r="BY229">
        <v>1</v>
      </c>
      <c r="BZ229">
        <v>1</v>
      </c>
      <c r="CA229">
        <v>0</v>
      </c>
      <c r="CB229">
        <v>0</v>
      </c>
      <c r="CC229">
        <v>0</v>
      </c>
      <c r="CD229">
        <v>0</v>
      </c>
      <c r="CE229">
        <v>0</v>
      </c>
      <c r="CF229">
        <v>0</v>
      </c>
      <c r="CG229">
        <v>0</v>
      </c>
      <c r="CH229">
        <v>0</v>
      </c>
      <c r="CI229">
        <v>0</v>
      </c>
      <c r="CJ229">
        <v>0</v>
      </c>
      <c r="CK229">
        <v>0</v>
      </c>
      <c r="CL229">
        <v>0</v>
      </c>
      <c r="CN229">
        <v>5</v>
      </c>
      <c r="CO229">
        <v>2</v>
      </c>
      <c r="CP229" t="s">
        <v>1161</v>
      </c>
      <c r="CQ229">
        <v>3</v>
      </c>
      <c r="CR229">
        <v>3</v>
      </c>
      <c r="EB229">
        <v>0</v>
      </c>
      <c r="EC229">
        <v>0</v>
      </c>
      <c r="ED229">
        <v>1</v>
      </c>
      <c r="EE229">
        <v>0</v>
      </c>
      <c r="EF229">
        <v>0</v>
      </c>
      <c r="EG229">
        <v>0</v>
      </c>
      <c r="EH229">
        <v>0</v>
      </c>
      <c r="EI229">
        <v>0</v>
      </c>
      <c r="EJ229">
        <v>0</v>
      </c>
      <c r="EK229">
        <v>0</v>
      </c>
      <c r="EM229">
        <v>0</v>
      </c>
      <c r="EN229">
        <v>1</v>
      </c>
      <c r="EO229">
        <v>0</v>
      </c>
      <c r="EP229">
        <v>0</v>
      </c>
      <c r="EQ229">
        <v>0</v>
      </c>
      <c r="ER229">
        <v>0</v>
      </c>
      <c r="ES229">
        <v>0</v>
      </c>
      <c r="ET229">
        <v>0</v>
      </c>
      <c r="EU229">
        <v>0</v>
      </c>
      <c r="EV229">
        <v>0</v>
      </c>
      <c r="EW229">
        <v>0</v>
      </c>
      <c r="EX229">
        <v>0</v>
      </c>
      <c r="EY229">
        <v>0</v>
      </c>
      <c r="FB229" t="s">
        <v>274</v>
      </c>
      <c r="FC229">
        <v>1</v>
      </c>
      <c r="FD229">
        <v>0</v>
      </c>
      <c r="FE229">
        <v>0</v>
      </c>
      <c r="FF229">
        <v>0</v>
      </c>
      <c r="FG229">
        <v>0</v>
      </c>
      <c r="FH229">
        <v>0</v>
      </c>
      <c r="FI229">
        <v>0</v>
      </c>
      <c r="FJ229">
        <v>0</v>
      </c>
      <c r="FK229">
        <v>0</v>
      </c>
      <c r="FL229">
        <v>0</v>
      </c>
      <c r="FM229">
        <v>0</v>
      </c>
      <c r="FN229">
        <v>0</v>
      </c>
      <c r="FO229">
        <v>0</v>
      </c>
      <c r="FP229">
        <v>0</v>
      </c>
      <c r="FQ229">
        <v>0</v>
      </c>
      <c r="FR229">
        <v>0</v>
      </c>
      <c r="FS229">
        <v>0</v>
      </c>
      <c r="FT229">
        <v>0</v>
      </c>
      <c r="FU229">
        <v>0</v>
      </c>
      <c r="FV229">
        <v>0</v>
      </c>
      <c r="FW229">
        <v>0</v>
      </c>
      <c r="FX229">
        <v>0</v>
      </c>
      <c r="IZ229">
        <v>1</v>
      </c>
      <c r="JA229">
        <v>1</v>
      </c>
      <c r="JB229">
        <v>1</v>
      </c>
      <c r="JC229">
        <v>0</v>
      </c>
      <c r="JD229">
        <v>0</v>
      </c>
      <c r="JE229">
        <v>0</v>
      </c>
      <c r="JF229">
        <v>0</v>
      </c>
      <c r="JG229">
        <v>0</v>
      </c>
      <c r="JH229">
        <v>0</v>
      </c>
      <c r="JI229">
        <v>0</v>
      </c>
      <c r="JJ229">
        <v>0</v>
      </c>
      <c r="JL229">
        <v>2</v>
      </c>
      <c r="JM229" cm="1">
        <f t="array" ref="JM229">IF(OR(JN229:JQ229 &lt;&gt; ""), 1, 0)</f>
        <v>0</v>
      </c>
    </row>
    <row r="230" spans="1:278" x14ac:dyDescent="0.35">
      <c r="A230">
        <v>358512</v>
      </c>
      <c r="C230">
        <v>1</v>
      </c>
      <c r="D230" t="s">
        <v>1162</v>
      </c>
      <c r="E230" t="str">
        <f>_xlfn.XLOOKUP(I230, [1]SchoolDistrictStudyWODuplicates!$K:$K, [1]SchoolDistrictStudyWODuplicates!$E:$E, "")</f>
        <v/>
      </c>
      <c r="G230" t="s">
        <v>1163</v>
      </c>
      <c r="H230" s="7">
        <v>4900750</v>
      </c>
      <c r="I230" s="7">
        <v>4900750</v>
      </c>
      <c r="J230" s="5" t="e">
        <f>_xlfn.XLOOKUP(I230,#REF!,#REF!,"Not Determined")</f>
        <v>#REF!</v>
      </c>
      <c r="K230" s="5" t="s">
        <v>1160</v>
      </c>
      <c r="L230" t="s">
        <v>1164</v>
      </c>
      <c r="M230" s="13" t="e">
        <f>_xlfn.XLOOKUP(I230,#REF!,#REF!, "No")</f>
        <v>#REF!</v>
      </c>
      <c r="N230" s="5" t="str">
        <f t="shared" si="44"/>
        <v>No</v>
      </c>
      <c r="O230" s="5" t="str">
        <f t="shared" si="45"/>
        <v>No</v>
      </c>
      <c r="P230" s="5" t="str">
        <f t="shared" si="46"/>
        <v>No</v>
      </c>
      <c r="Q230" s="5" t="str">
        <f t="shared" si="47"/>
        <v>No</v>
      </c>
      <c r="R230" s="5" t="str">
        <f t="shared" si="48"/>
        <v>No</v>
      </c>
      <c r="S230" s="5" t="str">
        <f t="shared" si="49"/>
        <v>No</v>
      </c>
      <c r="T230" s="5" t="str">
        <f t="shared" si="50"/>
        <v>No</v>
      </c>
      <c r="U230" s="5" t="str">
        <f t="shared" si="51"/>
        <v>No</v>
      </c>
      <c r="V230" s="5" t="str" cm="1">
        <f t="array" ref="V230">IF(OR(DB230:DG230 =1), "Yes", "No")</f>
        <v>No</v>
      </c>
      <c r="W230" s="5" t="str">
        <f t="shared" si="52"/>
        <v>No</v>
      </c>
      <c r="X230" s="5" t="str">
        <f t="shared" si="53"/>
        <v>No</v>
      </c>
      <c r="Y230" s="5" t="str">
        <f t="shared" si="54"/>
        <v>No</v>
      </c>
      <c r="Z230">
        <v>3</v>
      </c>
      <c r="JM230" cm="1">
        <f t="array" ref="JM230">IF(OR(JN230:JQ230 &lt;&gt; ""), 1, 0)</f>
        <v>0</v>
      </c>
    </row>
    <row r="231" spans="1:278" x14ac:dyDescent="0.35">
      <c r="A231">
        <v>405509</v>
      </c>
      <c r="C231">
        <v>1</v>
      </c>
      <c r="D231" t="s">
        <v>1165</v>
      </c>
      <c r="E231" t="str">
        <f>_xlfn.XLOOKUP(I231, [1]SchoolDistrictStudyWODuplicates!$K:$K, [1]SchoolDistrictStudyWODuplicates!$E:$E, "")</f>
        <v/>
      </c>
      <c r="G231" t="s">
        <v>1166</v>
      </c>
      <c r="H231" s="5" t="e">
        <f>_xlfn.XLOOKUP(A231,#REF!,#REF!, "No")</f>
        <v>#REF!</v>
      </c>
      <c r="I231" s="7">
        <v>5100390</v>
      </c>
      <c r="J231" s="5" t="e">
        <f>_xlfn.XLOOKUP(I231,#REF!,#REF!,"Not Determined")</f>
        <v>#REF!</v>
      </c>
      <c r="K231" s="5" t="s">
        <v>1167</v>
      </c>
      <c r="L231" t="s">
        <v>1167</v>
      </c>
      <c r="M231" s="13" t="e">
        <f>_xlfn.XLOOKUP(I231,#REF!,#REF!, "No")</f>
        <v>#REF!</v>
      </c>
      <c r="N231" s="5" t="str">
        <f t="shared" si="44"/>
        <v>No</v>
      </c>
      <c r="O231" s="5" t="str">
        <f t="shared" si="45"/>
        <v>Yes</v>
      </c>
      <c r="P231" s="5" t="str">
        <f t="shared" si="46"/>
        <v>Yes</v>
      </c>
      <c r="Q231" s="5" t="str">
        <f t="shared" si="47"/>
        <v>Yes</v>
      </c>
      <c r="R231" s="5" t="str">
        <f t="shared" si="48"/>
        <v>Yes</v>
      </c>
      <c r="S231" s="5" t="str">
        <f t="shared" si="49"/>
        <v>Yes</v>
      </c>
      <c r="T231" s="5" t="str">
        <f t="shared" si="50"/>
        <v>Yes</v>
      </c>
      <c r="U231" s="5" t="str">
        <f t="shared" si="51"/>
        <v>Yes</v>
      </c>
      <c r="V231" s="5" t="str" cm="1">
        <f t="array" ref="V231">IF(OR(DB231:DG231 =1), "Yes", "No")</f>
        <v>No</v>
      </c>
      <c r="W231" s="5" t="str">
        <f t="shared" si="52"/>
        <v>Yes</v>
      </c>
      <c r="X231" s="5" t="str">
        <f t="shared" si="53"/>
        <v>No</v>
      </c>
      <c r="Y231" s="5" t="str">
        <f t="shared" si="54"/>
        <v>No</v>
      </c>
      <c r="Z231">
        <v>2</v>
      </c>
      <c r="AB231">
        <v>0</v>
      </c>
      <c r="AC231">
        <v>1</v>
      </c>
      <c r="AD231">
        <v>0</v>
      </c>
      <c r="AE231">
        <v>0</v>
      </c>
      <c r="AF231">
        <v>0</v>
      </c>
      <c r="AG231">
        <v>0</v>
      </c>
      <c r="AH231">
        <v>0</v>
      </c>
      <c r="AI231">
        <v>0</v>
      </c>
      <c r="AJ231">
        <v>0</v>
      </c>
      <c r="AK231">
        <v>1</v>
      </c>
      <c r="AM231">
        <v>1</v>
      </c>
      <c r="AN231">
        <v>0</v>
      </c>
      <c r="AO231">
        <v>0</v>
      </c>
      <c r="AP231">
        <v>0</v>
      </c>
      <c r="AV231">
        <v>1</v>
      </c>
      <c r="AW231">
        <v>0</v>
      </c>
      <c r="AX231">
        <v>0</v>
      </c>
      <c r="AY231">
        <v>0</v>
      </c>
      <c r="AZ231">
        <v>0</v>
      </c>
      <c r="BA231">
        <v>0</v>
      </c>
      <c r="BC231">
        <v>1</v>
      </c>
      <c r="BE231">
        <v>1</v>
      </c>
      <c r="BG231">
        <v>1</v>
      </c>
      <c r="BH231">
        <v>1</v>
      </c>
      <c r="BI231">
        <v>4</v>
      </c>
      <c r="BJ231">
        <v>1</v>
      </c>
      <c r="BK231">
        <v>4</v>
      </c>
      <c r="BL231">
        <v>2</v>
      </c>
      <c r="BM231">
        <v>1</v>
      </c>
      <c r="BN231">
        <v>1</v>
      </c>
      <c r="BO231">
        <v>0</v>
      </c>
      <c r="BP231">
        <v>0</v>
      </c>
      <c r="BQ231">
        <v>1</v>
      </c>
      <c r="BR231">
        <v>0</v>
      </c>
      <c r="BS231">
        <v>0</v>
      </c>
      <c r="BT231">
        <v>0</v>
      </c>
      <c r="BV231">
        <v>0</v>
      </c>
      <c r="BW231">
        <v>0</v>
      </c>
      <c r="BX231">
        <v>1</v>
      </c>
      <c r="BY231">
        <v>0</v>
      </c>
      <c r="BZ231">
        <v>1</v>
      </c>
      <c r="CA231">
        <v>0</v>
      </c>
      <c r="CB231">
        <v>1</v>
      </c>
      <c r="CC231">
        <v>0</v>
      </c>
      <c r="CD231">
        <v>0</v>
      </c>
      <c r="CE231">
        <v>0</v>
      </c>
      <c r="CF231">
        <v>0</v>
      </c>
      <c r="CG231">
        <v>0</v>
      </c>
      <c r="CH231">
        <v>0</v>
      </c>
      <c r="CI231">
        <v>0</v>
      </c>
      <c r="CJ231">
        <v>0</v>
      </c>
      <c r="CK231">
        <v>0</v>
      </c>
      <c r="CL231">
        <v>0</v>
      </c>
      <c r="CN231">
        <v>5</v>
      </c>
      <c r="CO231">
        <v>4</v>
      </c>
      <c r="CQ231">
        <v>3</v>
      </c>
      <c r="CR231">
        <v>4</v>
      </c>
      <c r="EB231">
        <v>0</v>
      </c>
      <c r="EC231">
        <v>0</v>
      </c>
      <c r="ED231">
        <v>1</v>
      </c>
      <c r="EE231">
        <v>0</v>
      </c>
      <c r="EF231">
        <v>0</v>
      </c>
      <c r="EG231">
        <v>0</v>
      </c>
      <c r="EH231">
        <v>0</v>
      </c>
      <c r="EI231">
        <v>0</v>
      </c>
      <c r="EJ231">
        <v>0</v>
      </c>
      <c r="EK231">
        <v>0</v>
      </c>
      <c r="EM231">
        <v>0</v>
      </c>
      <c r="EN231">
        <v>1</v>
      </c>
      <c r="EO231">
        <v>0</v>
      </c>
      <c r="EP231">
        <v>1</v>
      </c>
      <c r="EQ231">
        <v>1</v>
      </c>
      <c r="ER231">
        <v>0</v>
      </c>
      <c r="ES231">
        <v>0</v>
      </c>
      <c r="ET231">
        <v>0</v>
      </c>
      <c r="EU231">
        <v>0</v>
      </c>
      <c r="EV231">
        <v>0</v>
      </c>
      <c r="EW231">
        <v>1</v>
      </c>
      <c r="EX231">
        <v>0</v>
      </c>
      <c r="EY231">
        <v>0</v>
      </c>
      <c r="IZ231">
        <v>0</v>
      </c>
      <c r="JA231">
        <v>0</v>
      </c>
      <c r="JB231">
        <v>0</v>
      </c>
      <c r="JC231">
        <v>0</v>
      </c>
      <c r="JD231">
        <v>0</v>
      </c>
      <c r="JE231">
        <v>0</v>
      </c>
      <c r="JF231">
        <v>0</v>
      </c>
      <c r="JG231">
        <v>0</v>
      </c>
      <c r="JH231">
        <v>0</v>
      </c>
      <c r="JI231">
        <v>0</v>
      </c>
      <c r="JJ231">
        <v>1</v>
      </c>
      <c r="JL231">
        <v>1</v>
      </c>
      <c r="JM231" cm="1">
        <f t="array" ref="JM231">IF(OR(JN231:JQ231 &lt;&gt; ""), 1, 0)</f>
        <v>1</v>
      </c>
      <c r="JN231">
        <v>1</v>
      </c>
      <c r="JO231">
        <v>0</v>
      </c>
      <c r="JP231">
        <v>0</v>
      </c>
      <c r="JQ231">
        <v>0</v>
      </c>
    </row>
    <row r="232" spans="1:278" x14ac:dyDescent="0.35">
      <c r="A232">
        <v>405237</v>
      </c>
      <c r="C232">
        <v>1</v>
      </c>
      <c r="D232" t="s">
        <v>1168</v>
      </c>
      <c r="E232" t="str">
        <f>_xlfn.XLOOKUP(I232, [1]SchoolDistrictStudyWODuplicates!$K:$K, [1]SchoolDistrictStudyWODuplicates!$E:$E, "")</f>
        <v>LCPS</v>
      </c>
      <c r="G232" t="s">
        <v>1169</v>
      </c>
      <c r="H232" s="7">
        <v>5102250</v>
      </c>
      <c r="I232" s="7">
        <v>5102250</v>
      </c>
      <c r="J232" s="5" t="e">
        <f>_xlfn.XLOOKUP(I232,#REF!,#REF!,"Not Determined")</f>
        <v>#REF!</v>
      </c>
      <c r="K232" s="5" t="s">
        <v>1167</v>
      </c>
      <c r="L232" t="s">
        <v>1167</v>
      </c>
      <c r="M232" s="13" t="e">
        <f>_xlfn.XLOOKUP(I232,#REF!,#REF!, "No")</f>
        <v>#REF!</v>
      </c>
      <c r="N232" s="5" t="str">
        <f t="shared" si="44"/>
        <v>No</v>
      </c>
      <c r="O232" s="5" t="str">
        <f t="shared" si="45"/>
        <v>No</v>
      </c>
      <c r="P232" s="5" t="str">
        <f t="shared" si="46"/>
        <v>No</v>
      </c>
      <c r="Q232" s="5" t="str">
        <f t="shared" si="47"/>
        <v>No</v>
      </c>
      <c r="R232" s="5" t="str">
        <f t="shared" si="48"/>
        <v>No</v>
      </c>
      <c r="S232" s="5" t="str">
        <f t="shared" si="49"/>
        <v>No</v>
      </c>
      <c r="T232" s="5" t="str">
        <f t="shared" si="50"/>
        <v>No</v>
      </c>
      <c r="U232" s="5" t="str">
        <f t="shared" si="51"/>
        <v>No</v>
      </c>
      <c r="V232" s="5" t="str" cm="1">
        <f t="array" ref="V232">IF(OR(DB232:DG232 =1), "Yes", "No")</f>
        <v>No</v>
      </c>
      <c r="W232" s="5" t="str">
        <f t="shared" si="52"/>
        <v>No</v>
      </c>
      <c r="X232" s="5" t="str">
        <f t="shared" si="53"/>
        <v>No</v>
      </c>
      <c r="Y232" s="5" t="str">
        <f t="shared" si="54"/>
        <v>No</v>
      </c>
      <c r="Z232">
        <v>7</v>
      </c>
      <c r="AB232">
        <v>0</v>
      </c>
      <c r="AC232">
        <v>0</v>
      </c>
      <c r="AD232">
        <v>1</v>
      </c>
      <c r="AE232">
        <v>0</v>
      </c>
      <c r="AF232">
        <v>0</v>
      </c>
      <c r="AG232">
        <v>0</v>
      </c>
      <c r="AH232">
        <v>0</v>
      </c>
      <c r="AI232">
        <v>0</v>
      </c>
      <c r="AJ232">
        <v>0</v>
      </c>
      <c r="AK232">
        <v>1</v>
      </c>
      <c r="JM232" cm="1">
        <f t="array" ref="JM232">IF(OR(JN232:JQ232 &lt;&gt; ""), 1, 0)</f>
        <v>0</v>
      </c>
    </row>
    <row r="233" spans="1:278" x14ac:dyDescent="0.35">
      <c r="A233">
        <v>393115</v>
      </c>
      <c r="C233">
        <v>1</v>
      </c>
      <c r="D233" t="s">
        <v>1170</v>
      </c>
      <c r="E233" t="str">
        <f>_xlfn.XLOOKUP(I233, [1]SchoolDistrictStudyWODuplicates!$K:$K, [1]SchoolDistrictStudyWODuplicates!$E:$E, "")</f>
        <v>Hampton City Public Schools</v>
      </c>
      <c r="G233" t="s">
        <v>1171</v>
      </c>
      <c r="H233" s="5" t="e">
        <f>_xlfn.XLOOKUP(A233,#REF!,#REF!, "No")</f>
        <v>#REF!</v>
      </c>
      <c r="I233" s="7">
        <v>5101800</v>
      </c>
      <c r="J233" s="5" t="e">
        <f>_xlfn.XLOOKUP(I233,#REF!,#REF!,"Not Determined")</f>
        <v>#REF!</v>
      </c>
      <c r="K233" s="5" t="s">
        <v>1167</v>
      </c>
      <c r="L233" t="s">
        <v>1172</v>
      </c>
      <c r="M233" s="13" t="e">
        <f>_xlfn.XLOOKUP(I233,#REF!,#REF!, "No")</f>
        <v>#REF!</v>
      </c>
      <c r="N233" s="5" t="str">
        <f t="shared" si="44"/>
        <v>No</v>
      </c>
      <c r="O233" s="5" t="str">
        <f t="shared" si="45"/>
        <v>Yes</v>
      </c>
      <c r="P233" s="5" t="str">
        <f t="shared" si="46"/>
        <v>Yes</v>
      </c>
      <c r="Q233" s="5" t="str">
        <f t="shared" si="47"/>
        <v>Yes</v>
      </c>
      <c r="R233" s="5" t="str">
        <f t="shared" si="48"/>
        <v>No</v>
      </c>
      <c r="S233" s="5" t="str">
        <f t="shared" si="49"/>
        <v>No</v>
      </c>
      <c r="T233" s="5" t="str">
        <f t="shared" si="50"/>
        <v>No</v>
      </c>
      <c r="U233" s="5" t="str">
        <f t="shared" si="51"/>
        <v>No</v>
      </c>
      <c r="V233" s="5" t="str" cm="1">
        <f t="array" ref="V233">IF(OR(DB233:DG233 =1), "Yes", "No")</f>
        <v>No</v>
      </c>
      <c r="W233" s="5" t="str">
        <f t="shared" si="52"/>
        <v>No</v>
      </c>
      <c r="X233" s="5" t="str">
        <f t="shared" si="53"/>
        <v>No</v>
      </c>
      <c r="Y233" s="5" t="str">
        <f t="shared" si="54"/>
        <v>No</v>
      </c>
      <c r="Z233">
        <v>4</v>
      </c>
      <c r="AB233">
        <v>0</v>
      </c>
      <c r="AC233">
        <v>0</v>
      </c>
      <c r="AD233">
        <v>1</v>
      </c>
      <c r="AE233">
        <v>0</v>
      </c>
      <c r="AF233">
        <v>0</v>
      </c>
      <c r="AG233">
        <v>0</v>
      </c>
      <c r="AH233">
        <v>0</v>
      </c>
      <c r="AI233">
        <v>0</v>
      </c>
      <c r="AJ233">
        <v>0</v>
      </c>
      <c r="AK233">
        <v>1</v>
      </c>
      <c r="AM233">
        <v>0</v>
      </c>
      <c r="AN233">
        <v>1</v>
      </c>
      <c r="AO233">
        <v>0</v>
      </c>
      <c r="AQ233">
        <v>77</v>
      </c>
      <c r="AT233">
        <v>77</v>
      </c>
      <c r="AV233">
        <v>1</v>
      </c>
      <c r="AW233">
        <v>1</v>
      </c>
      <c r="AX233">
        <v>0</v>
      </c>
      <c r="AY233">
        <v>0</v>
      </c>
      <c r="AZ233">
        <v>0</v>
      </c>
      <c r="BA233">
        <v>0</v>
      </c>
      <c r="BC233">
        <v>1</v>
      </c>
      <c r="BE233">
        <v>1</v>
      </c>
      <c r="BG233">
        <v>1</v>
      </c>
      <c r="BH233">
        <v>1</v>
      </c>
      <c r="BI233">
        <v>5</v>
      </c>
      <c r="BJ233">
        <v>1</v>
      </c>
      <c r="BK233">
        <v>6</v>
      </c>
      <c r="BL233">
        <v>2</v>
      </c>
      <c r="BM233">
        <v>1</v>
      </c>
      <c r="BN233">
        <v>1</v>
      </c>
      <c r="BO233">
        <v>0</v>
      </c>
      <c r="BP233">
        <v>0</v>
      </c>
      <c r="BQ233">
        <v>0</v>
      </c>
      <c r="BR233">
        <v>0</v>
      </c>
      <c r="BS233">
        <v>0</v>
      </c>
      <c r="BT233">
        <v>1</v>
      </c>
      <c r="BU233" t="s">
        <v>1173</v>
      </c>
      <c r="BV233">
        <v>0</v>
      </c>
      <c r="BW233">
        <v>0</v>
      </c>
      <c r="BX233">
        <v>0</v>
      </c>
      <c r="BY233">
        <v>0</v>
      </c>
      <c r="BZ233">
        <v>0</v>
      </c>
      <c r="CA233">
        <v>0</v>
      </c>
      <c r="CB233">
        <v>0</v>
      </c>
      <c r="CC233">
        <v>0</v>
      </c>
      <c r="CD233">
        <v>0</v>
      </c>
      <c r="CE233">
        <v>0</v>
      </c>
      <c r="CF233">
        <v>0</v>
      </c>
      <c r="CG233">
        <v>0</v>
      </c>
      <c r="CH233">
        <v>0</v>
      </c>
      <c r="CI233">
        <v>1</v>
      </c>
      <c r="CJ233">
        <v>0</v>
      </c>
      <c r="CK233">
        <v>0</v>
      </c>
      <c r="CL233">
        <v>1</v>
      </c>
      <c r="CM233" t="s">
        <v>1174</v>
      </c>
      <c r="CN233">
        <v>9</v>
      </c>
      <c r="JM233" cm="1">
        <f t="array" ref="JM233">IF(OR(JN233:JQ233 &lt;&gt; ""), 1, 0)</f>
        <v>0</v>
      </c>
    </row>
    <row r="234" spans="1:278" x14ac:dyDescent="0.35">
      <c r="A234">
        <v>363451</v>
      </c>
      <c r="C234">
        <v>1</v>
      </c>
      <c r="D234" t="s">
        <v>1175</v>
      </c>
      <c r="E234" t="str">
        <f>_xlfn.XLOOKUP(I234, [1]SchoolDistrictStudyWODuplicates!$K:$K, [1]SchoolDistrictStudyWODuplicates!$E:$E, "")</f>
        <v/>
      </c>
      <c r="G234" t="s">
        <v>1176</v>
      </c>
      <c r="H234" s="5" t="e">
        <f>_xlfn.XLOOKUP(A234,#REF!,#REF!, "No")</f>
        <v>#REF!</v>
      </c>
      <c r="I234" s="7">
        <v>5000397</v>
      </c>
      <c r="J234" s="5" t="e">
        <f>_xlfn.XLOOKUP(I234,#REF!,#REF!,"Not Determined")</f>
        <v>#REF!</v>
      </c>
      <c r="K234" s="5" t="s">
        <v>1360</v>
      </c>
      <c r="L234" t="s">
        <v>1177</v>
      </c>
      <c r="M234" s="13" t="e">
        <f>_xlfn.XLOOKUP(I234,#REF!,#REF!, "No")</f>
        <v>#REF!</v>
      </c>
      <c r="N234" s="5" t="str">
        <f t="shared" si="44"/>
        <v>No</v>
      </c>
      <c r="O234" s="5" t="str">
        <f t="shared" si="45"/>
        <v>Yes</v>
      </c>
      <c r="P234" s="5" t="str">
        <f t="shared" si="46"/>
        <v>No</v>
      </c>
      <c r="Q234" s="5" t="str">
        <f t="shared" si="47"/>
        <v>No</v>
      </c>
      <c r="R234" s="5" t="str">
        <f t="shared" si="48"/>
        <v>Yes</v>
      </c>
      <c r="S234" s="5" t="str">
        <f t="shared" si="49"/>
        <v>Yes</v>
      </c>
      <c r="T234" s="5" t="str">
        <f t="shared" si="50"/>
        <v>Yes</v>
      </c>
      <c r="U234" s="5" t="str">
        <f t="shared" si="51"/>
        <v>Yes</v>
      </c>
      <c r="V234" s="5" t="str" cm="1">
        <f t="array" ref="V234">IF(OR(DB234:DG234 =1), "Yes", "No")</f>
        <v>No</v>
      </c>
      <c r="W234" s="5" t="str">
        <f t="shared" si="52"/>
        <v>No</v>
      </c>
      <c r="X234" s="5" t="str">
        <f t="shared" si="53"/>
        <v>No</v>
      </c>
      <c r="Y234" s="5" t="str">
        <f t="shared" si="54"/>
        <v>No</v>
      </c>
      <c r="Z234">
        <v>15</v>
      </c>
      <c r="AA234" t="s">
        <v>1178</v>
      </c>
      <c r="AB234">
        <v>0</v>
      </c>
      <c r="AC234">
        <v>0</v>
      </c>
      <c r="AD234">
        <v>0</v>
      </c>
      <c r="AE234">
        <v>1</v>
      </c>
      <c r="AF234">
        <v>0</v>
      </c>
      <c r="AG234">
        <v>0</v>
      </c>
      <c r="AH234">
        <v>0</v>
      </c>
      <c r="AI234">
        <v>0</v>
      </c>
      <c r="AJ234">
        <v>0</v>
      </c>
      <c r="AK234">
        <v>1</v>
      </c>
      <c r="AM234">
        <v>0</v>
      </c>
      <c r="AN234">
        <v>1</v>
      </c>
      <c r="AO234">
        <v>0</v>
      </c>
      <c r="AQ234">
        <v>2</v>
      </c>
      <c r="AT234">
        <v>2</v>
      </c>
      <c r="AV234">
        <v>1</v>
      </c>
      <c r="AW234">
        <v>0</v>
      </c>
      <c r="AX234">
        <v>0</v>
      </c>
      <c r="AY234">
        <v>0</v>
      </c>
      <c r="AZ234">
        <v>0</v>
      </c>
      <c r="BA234">
        <v>0</v>
      </c>
      <c r="BC234">
        <v>1</v>
      </c>
      <c r="BE234">
        <v>3</v>
      </c>
      <c r="BG234">
        <v>1</v>
      </c>
      <c r="BH234">
        <v>2</v>
      </c>
      <c r="BI234">
        <v>3</v>
      </c>
      <c r="BJ234">
        <v>2</v>
      </c>
      <c r="BL234">
        <v>2</v>
      </c>
      <c r="BM234">
        <v>2</v>
      </c>
      <c r="BN234">
        <v>2</v>
      </c>
      <c r="BV234">
        <v>0</v>
      </c>
      <c r="BW234">
        <v>0</v>
      </c>
      <c r="BX234">
        <v>0</v>
      </c>
      <c r="BY234">
        <v>1</v>
      </c>
      <c r="BZ234">
        <v>1</v>
      </c>
      <c r="CA234">
        <v>0</v>
      </c>
      <c r="CB234">
        <v>0</v>
      </c>
      <c r="CC234">
        <v>0</v>
      </c>
      <c r="CD234">
        <v>0</v>
      </c>
      <c r="CE234">
        <v>1</v>
      </c>
      <c r="CF234">
        <v>0</v>
      </c>
      <c r="CG234">
        <v>0</v>
      </c>
      <c r="CH234">
        <v>0</v>
      </c>
      <c r="CI234">
        <v>0</v>
      </c>
      <c r="CJ234">
        <v>0</v>
      </c>
      <c r="CK234">
        <v>0</v>
      </c>
      <c r="CL234">
        <v>0</v>
      </c>
      <c r="CN234">
        <v>4</v>
      </c>
      <c r="CO234">
        <v>4</v>
      </c>
      <c r="CQ234">
        <v>3</v>
      </c>
      <c r="CR234">
        <v>3</v>
      </c>
      <c r="EB234">
        <v>0</v>
      </c>
      <c r="EC234">
        <v>0</v>
      </c>
      <c r="ED234">
        <v>0</v>
      </c>
      <c r="EE234">
        <v>0</v>
      </c>
      <c r="EF234">
        <v>1</v>
      </c>
      <c r="EG234">
        <v>0</v>
      </c>
      <c r="EH234">
        <v>0</v>
      </c>
      <c r="EI234">
        <v>0</v>
      </c>
      <c r="EJ234">
        <v>0</v>
      </c>
      <c r="EK234">
        <v>0</v>
      </c>
      <c r="JM234" cm="1">
        <f t="array" ref="JM234">IF(OR(JN234:JQ234 &lt;&gt; ""), 1, 0)</f>
        <v>0</v>
      </c>
    </row>
    <row r="235" spans="1:278" x14ac:dyDescent="0.35">
      <c r="A235">
        <v>374922</v>
      </c>
      <c r="C235">
        <v>1</v>
      </c>
      <c r="D235" t="s">
        <v>1179</v>
      </c>
      <c r="E235" t="str">
        <f>_xlfn.XLOOKUP(I235, [1]SchoolDistrictStudyWODuplicates!$K:$K, [1]SchoolDistrictStudyWODuplicates!$E:$E, "")</f>
        <v/>
      </c>
      <c r="F235" s="5" t="s">
        <v>1357</v>
      </c>
      <c r="G235" t="s">
        <v>1180</v>
      </c>
      <c r="H235" s="5" t="e">
        <f>_xlfn.XLOOKUP(A235,#REF!,#REF!, "No")</f>
        <v>#REF!</v>
      </c>
      <c r="I235" s="7">
        <v>5000443</v>
      </c>
      <c r="J235" s="5" t="e">
        <f>_xlfn.XLOOKUP(I235,#REF!,#REF!,"Not Determined")</f>
        <v>#REF!</v>
      </c>
      <c r="K235" s="5" t="s">
        <v>1360</v>
      </c>
      <c r="L235" t="s">
        <v>1177</v>
      </c>
      <c r="M235" s="13" t="e">
        <f>_xlfn.XLOOKUP(I235,#REF!,#REF!, "No")</f>
        <v>#REF!</v>
      </c>
      <c r="N235" s="5" t="str">
        <f t="shared" si="44"/>
        <v>No</v>
      </c>
      <c r="O235" s="5" t="str">
        <f t="shared" si="45"/>
        <v>Yes</v>
      </c>
      <c r="P235" s="5" t="str">
        <f t="shared" si="46"/>
        <v>Yes</v>
      </c>
      <c r="Q235" s="5" t="str">
        <f t="shared" si="47"/>
        <v>Yes</v>
      </c>
      <c r="R235" s="5" t="str">
        <f t="shared" si="48"/>
        <v>Yes</v>
      </c>
      <c r="S235" s="5" t="str">
        <f t="shared" si="49"/>
        <v>Yes</v>
      </c>
      <c r="T235" s="5" t="str">
        <f t="shared" si="50"/>
        <v>Yes</v>
      </c>
      <c r="U235" s="5" t="str">
        <f t="shared" si="51"/>
        <v>Yes</v>
      </c>
      <c r="V235" s="5" t="str" cm="1">
        <f t="array" ref="V235">IF(OR(DB235:DG235 =1), "Yes", "No")</f>
        <v>No</v>
      </c>
      <c r="W235" s="5" t="str">
        <f t="shared" si="52"/>
        <v>Yes</v>
      </c>
      <c r="X235" s="5" t="str">
        <f t="shared" si="53"/>
        <v>No</v>
      </c>
      <c r="Y235" s="5" t="str">
        <f t="shared" si="54"/>
        <v>No</v>
      </c>
      <c r="Z235">
        <v>4</v>
      </c>
      <c r="AB235">
        <v>0</v>
      </c>
      <c r="AC235">
        <v>0</v>
      </c>
      <c r="AD235">
        <v>0</v>
      </c>
      <c r="AE235">
        <v>1</v>
      </c>
      <c r="AF235">
        <v>0</v>
      </c>
      <c r="AG235">
        <v>0</v>
      </c>
      <c r="AH235">
        <v>0</v>
      </c>
      <c r="AI235">
        <v>0</v>
      </c>
      <c r="AJ235">
        <v>0</v>
      </c>
      <c r="AK235">
        <v>1</v>
      </c>
      <c r="AM235">
        <v>1</v>
      </c>
      <c r="AN235">
        <v>1</v>
      </c>
      <c r="AO235">
        <v>0</v>
      </c>
      <c r="AP235">
        <v>1</v>
      </c>
      <c r="AQ235">
        <v>31</v>
      </c>
      <c r="AS235">
        <v>1</v>
      </c>
      <c r="AT235">
        <v>31</v>
      </c>
      <c r="AV235">
        <v>1</v>
      </c>
      <c r="AW235">
        <v>0</v>
      </c>
      <c r="AX235">
        <v>0</v>
      </c>
      <c r="AY235">
        <v>0</v>
      </c>
      <c r="AZ235">
        <v>0</v>
      </c>
      <c r="BA235">
        <v>0</v>
      </c>
      <c r="BC235">
        <v>1</v>
      </c>
      <c r="BE235">
        <v>1</v>
      </c>
      <c r="BG235">
        <v>1</v>
      </c>
      <c r="BH235">
        <v>1</v>
      </c>
      <c r="BI235">
        <v>1</v>
      </c>
      <c r="BJ235">
        <v>1</v>
      </c>
      <c r="BK235">
        <v>4</v>
      </c>
      <c r="BL235">
        <v>1</v>
      </c>
      <c r="BM235">
        <v>1</v>
      </c>
      <c r="BN235">
        <v>1</v>
      </c>
      <c r="BO235">
        <v>1</v>
      </c>
      <c r="BP235">
        <v>0</v>
      </c>
      <c r="BQ235">
        <v>0</v>
      </c>
      <c r="BR235">
        <v>0</v>
      </c>
      <c r="BS235">
        <v>1</v>
      </c>
      <c r="BT235">
        <v>0</v>
      </c>
      <c r="BV235">
        <v>1</v>
      </c>
      <c r="BW235">
        <v>0</v>
      </c>
      <c r="BX235">
        <v>0</v>
      </c>
      <c r="BY235">
        <v>0</v>
      </c>
      <c r="BZ235">
        <v>1</v>
      </c>
      <c r="CA235">
        <v>0</v>
      </c>
      <c r="CB235">
        <v>0</v>
      </c>
      <c r="CC235">
        <v>0</v>
      </c>
      <c r="CD235">
        <v>1</v>
      </c>
      <c r="CE235">
        <v>0</v>
      </c>
      <c r="CF235">
        <v>0</v>
      </c>
      <c r="CG235">
        <v>0</v>
      </c>
      <c r="CH235">
        <v>0</v>
      </c>
      <c r="CI235">
        <v>0</v>
      </c>
      <c r="CJ235">
        <v>0</v>
      </c>
      <c r="CK235">
        <v>0</v>
      </c>
      <c r="CL235">
        <v>0</v>
      </c>
      <c r="CN235">
        <v>15</v>
      </c>
      <c r="CO235">
        <v>1</v>
      </c>
      <c r="CP235" t="s">
        <v>1181</v>
      </c>
      <c r="CQ235">
        <v>5</v>
      </c>
      <c r="CR235">
        <v>5</v>
      </c>
      <c r="EB235">
        <v>1</v>
      </c>
      <c r="EC235">
        <v>0</v>
      </c>
      <c r="ED235">
        <v>0</v>
      </c>
      <c r="EE235">
        <v>0</v>
      </c>
      <c r="EF235">
        <v>0</v>
      </c>
      <c r="EG235">
        <v>0</v>
      </c>
      <c r="EH235">
        <v>0</v>
      </c>
      <c r="EI235">
        <v>0</v>
      </c>
      <c r="EJ235">
        <v>0</v>
      </c>
      <c r="EK235">
        <v>0</v>
      </c>
      <c r="EM235">
        <v>0</v>
      </c>
      <c r="EN235">
        <v>1</v>
      </c>
      <c r="EO235">
        <v>0</v>
      </c>
      <c r="EP235">
        <v>0</v>
      </c>
      <c r="EQ235">
        <v>0</v>
      </c>
      <c r="ER235">
        <v>0</v>
      </c>
      <c r="ES235">
        <v>0</v>
      </c>
      <c r="ET235">
        <v>0</v>
      </c>
      <c r="EU235">
        <v>0</v>
      </c>
      <c r="EV235">
        <v>0</v>
      </c>
      <c r="EW235">
        <v>0</v>
      </c>
      <c r="EX235">
        <v>0</v>
      </c>
      <c r="EY235">
        <v>0</v>
      </c>
      <c r="FB235" t="s">
        <v>274</v>
      </c>
      <c r="FC235">
        <v>1</v>
      </c>
      <c r="FD235">
        <v>0</v>
      </c>
      <c r="FE235">
        <v>0</v>
      </c>
      <c r="FF235">
        <v>0</v>
      </c>
      <c r="FG235">
        <v>0</v>
      </c>
      <c r="FH235">
        <v>0</v>
      </c>
      <c r="FI235">
        <v>0</v>
      </c>
      <c r="FJ235">
        <v>0</v>
      </c>
      <c r="FK235">
        <v>0</v>
      </c>
      <c r="FL235">
        <v>0</v>
      </c>
      <c r="FM235">
        <v>0</v>
      </c>
      <c r="FN235">
        <v>0</v>
      </c>
      <c r="FO235">
        <v>0</v>
      </c>
      <c r="FP235">
        <v>0</v>
      </c>
      <c r="FQ235">
        <v>0</v>
      </c>
      <c r="FR235">
        <v>0</v>
      </c>
      <c r="FS235">
        <v>0</v>
      </c>
      <c r="FT235">
        <v>0</v>
      </c>
      <c r="FU235">
        <v>0</v>
      </c>
      <c r="FV235">
        <v>0</v>
      </c>
      <c r="FW235">
        <v>0</v>
      </c>
      <c r="FX235">
        <v>0</v>
      </c>
      <c r="IZ235">
        <v>1</v>
      </c>
      <c r="JA235">
        <v>0</v>
      </c>
      <c r="JB235">
        <v>1</v>
      </c>
      <c r="JC235">
        <v>0</v>
      </c>
      <c r="JD235">
        <v>0</v>
      </c>
      <c r="JE235">
        <v>0</v>
      </c>
      <c r="JF235">
        <v>0</v>
      </c>
      <c r="JG235">
        <v>0</v>
      </c>
      <c r="JH235">
        <v>1</v>
      </c>
      <c r="JI235">
        <v>0</v>
      </c>
      <c r="JJ235">
        <v>0</v>
      </c>
      <c r="JL235">
        <v>1</v>
      </c>
      <c r="JM235" cm="1">
        <f t="array" ref="JM235">IF(OR(JN235:JQ235 &lt;&gt; ""), 1, 0)</f>
        <v>1</v>
      </c>
      <c r="JN235">
        <v>1</v>
      </c>
      <c r="JO235">
        <v>0</v>
      </c>
      <c r="JP235">
        <v>0</v>
      </c>
      <c r="JQ235">
        <v>0</v>
      </c>
    </row>
    <row r="236" spans="1:278" x14ac:dyDescent="0.35">
      <c r="A236">
        <v>405226</v>
      </c>
      <c r="C236">
        <v>1</v>
      </c>
      <c r="D236" t="s">
        <v>1240</v>
      </c>
      <c r="E236" t="str">
        <f>_xlfn.XLOOKUP(I236, [1]SchoolDistrictStudyWODuplicates!$K:$K, [1]SchoolDistrictStudyWODuplicates!$E:$E, "")</f>
        <v/>
      </c>
      <c r="G236" t="s">
        <v>1241</v>
      </c>
      <c r="H236" s="5" t="e">
        <f>_xlfn.XLOOKUP(A236,#REF!,#REF!, "No")</f>
        <v>#REF!</v>
      </c>
      <c r="I236" s="7">
        <v>5304980</v>
      </c>
      <c r="J236" s="5" t="e">
        <f>_xlfn.XLOOKUP(I236,#REF!,#REF!,"Not Determined")</f>
        <v>#REF!</v>
      </c>
      <c r="K236" s="5" t="s">
        <v>1233</v>
      </c>
      <c r="L236" t="s">
        <v>1233</v>
      </c>
      <c r="M236" s="13" t="e">
        <f>_xlfn.XLOOKUP(I236,#REF!,#REF!, "No")</f>
        <v>#REF!</v>
      </c>
      <c r="N236" s="5" t="str">
        <f t="shared" si="44"/>
        <v>Yes</v>
      </c>
      <c r="O236" s="5" t="str">
        <f t="shared" si="45"/>
        <v>Yes</v>
      </c>
      <c r="P236" s="5" t="str">
        <f t="shared" si="46"/>
        <v>Yes</v>
      </c>
      <c r="Q236" s="5" t="str">
        <f t="shared" si="47"/>
        <v>Yes</v>
      </c>
      <c r="R236" s="5" t="str">
        <f t="shared" si="48"/>
        <v>Yes</v>
      </c>
      <c r="S236" s="5" t="str">
        <f t="shared" si="49"/>
        <v>Yes</v>
      </c>
      <c r="T236" s="5" t="str">
        <f t="shared" si="50"/>
        <v>No</v>
      </c>
      <c r="U236" s="5" t="str">
        <f t="shared" si="51"/>
        <v>Yes</v>
      </c>
      <c r="V236" s="5" t="str" cm="1">
        <f t="array" ref="V236">IF(OR(DB236:DG236 =1), "Yes", "No")</f>
        <v>No</v>
      </c>
      <c r="W236" s="5" t="str">
        <f t="shared" si="52"/>
        <v>No</v>
      </c>
      <c r="X236" s="5" t="str">
        <f t="shared" si="53"/>
        <v>Yes</v>
      </c>
      <c r="Y236" s="5" t="str">
        <f t="shared" si="54"/>
        <v>Yes</v>
      </c>
      <c r="Z236">
        <v>3</v>
      </c>
      <c r="AB236">
        <v>0</v>
      </c>
      <c r="AC236">
        <v>0</v>
      </c>
      <c r="AD236">
        <v>1</v>
      </c>
      <c r="AE236">
        <v>0</v>
      </c>
      <c r="AF236">
        <v>0</v>
      </c>
      <c r="AG236">
        <v>1</v>
      </c>
      <c r="AH236">
        <v>0</v>
      </c>
      <c r="AI236">
        <v>0</v>
      </c>
      <c r="AJ236">
        <v>0</v>
      </c>
      <c r="AK236">
        <v>1</v>
      </c>
      <c r="AM236">
        <v>1</v>
      </c>
      <c r="AN236">
        <v>0</v>
      </c>
      <c r="AO236">
        <v>1</v>
      </c>
      <c r="AP236">
        <v>15</v>
      </c>
      <c r="AR236">
        <v>26</v>
      </c>
      <c r="AS236">
        <v>15</v>
      </c>
      <c r="AU236">
        <v>26</v>
      </c>
      <c r="AV236">
        <v>1</v>
      </c>
      <c r="AW236">
        <v>1</v>
      </c>
      <c r="AX236">
        <v>0</v>
      </c>
      <c r="AY236">
        <v>0</v>
      </c>
      <c r="AZ236">
        <v>1</v>
      </c>
      <c r="BA236">
        <v>0</v>
      </c>
      <c r="BC236">
        <v>5</v>
      </c>
      <c r="BE236">
        <v>1</v>
      </c>
      <c r="BG236">
        <v>1</v>
      </c>
      <c r="BH236">
        <v>1</v>
      </c>
      <c r="BI236">
        <v>1</v>
      </c>
      <c r="BJ236">
        <v>1</v>
      </c>
      <c r="BK236">
        <v>2</v>
      </c>
      <c r="BL236">
        <v>2</v>
      </c>
      <c r="BM236">
        <v>1</v>
      </c>
      <c r="CQ236">
        <v>2</v>
      </c>
      <c r="CR236">
        <v>4</v>
      </c>
      <c r="CS236">
        <v>0</v>
      </c>
      <c r="CT236">
        <v>0</v>
      </c>
      <c r="CU236">
        <v>0</v>
      </c>
      <c r="CV236">
        <v>0</v>
      </c>
      <c r="CW236">
        <v>0</v>
      </c>
      <c r="CX236">
        <v>0</v>
      </c>
      <c r="CY236">
        <v>0</v>
      </c>
      <c r="CZ236">
        <v>0</v>
      </c>
      <c r="DA236">
        <v>1</v>
      </c>
      <c r="DB236">
        <v>0</v>
      </c>
      <c r="DC236">
        <v>0</v>
      </c>
      <c r="DD236">
        <v>0</v>
      </c>
      <c r="DE236">
        <v>0</v>
      </c>
      <c r="DF236">
        <v>0</v>
      </c>
      <c r="DG236">
        <v>0</v>
      </c>
      <c r="DH236">
        <v>1</v>
      </c>
      <c r="DL236">
        <v>1</v>
      </c>
      <c r="DN236">
        <v>1</v>
      </c>
      <c r="DP236">
        <v>2</v>
      </c>
      <c r="DS236">
        <v>2</v>
      </c>
      <c r="DW236" t="s">
        <v>1242</v>
      </c>
      <c r="DX236">
        <v>3</v>
      </c>
      <c r="DY236" t="s">
        <v>1243</v>
      </c>
      <c r="DZ236">
        <v>4</v>
      </c>
      <c r="EB236">
        <v>1</v>
      </c>
      <c r="EC236">
        <v>1</v>
      </c>
      <c r="ED236">
        <v>0</v>
      </c>
      <c r="EE236">
        <v>0</v>
      </c>
      <c r="EF236">
        <v>1</v>
      </c>
      <c r="EG236">
        <v>0</v>
      </c>
      <c r="EH236">
        <v>0</v>
      </c>
      <c r="EI236">
        <v>0</v>
      </c>
      <c r="EJ236">
        <v>0</v>
      </c>
      <c r="EK236">
        <v>0</v>
      </c>
      <c r="EM236">
        <v>0</v>
      </c>
      <c r="EN236">
        <v>1</v>
      </c>
      <c r="EO236">
        <v>0</v>
      </c>
      <c r="EP236">
        <v>0</v>
      </c>
      <c r="EQ236">
        <v>1</v>
      </c>
      <c r="ER236">
        <v>0</v>
      </c>
      <c r="ES236">
        <v>0</v>
      </c>
      <c r="ET236">
        <v>0</v>
      </c>
      <c r="EU236">
        <v>0</v>
      </c>
      <c r="EV236">
        <v>0</v>
      </c>
      <c r="EW236">
        <v>1</v>
      </c>
      <c r="EX236">
        <v>0</v>
      </c>
      <c r="EY236">
        <v>0</v>
      </c>
      <c r="FB236" t="s">
        <v>274</v>
      </c>
      <c r="FC236">
        <v>1</v>
      </c>
      <c r="FD236">
        <v>0</v>
      </c>
      <c r="FE236">
        <v>0</v>
      </c>
      <c r="FF236">
        <v>0</v>
      </c>
      <c r="FG236">
        <v>0</v>
      </c>
      <c r="FH236">
        <v>0</v>
      </c>
      <c r="FI236">
        <v>0</v>
      </c>
      <c r="FJ236">
        <v>0</v>
      </c>
      <c r="FK236">
        <v>0</v>
      </c>
      <c r="FL236">
        <v>0</v>
      </c>
      <c r="FM236">
        <v>0</v>
      </c>
      <c r="FN236">
        <v>0</v>
      </c>
      <c r="FO236">
        <v>0</v>
      </c>
      <c r="FP236">
        <v>0</v>
      </c>
      <c r="FQ236">
        <v>0</v>
      </c>
      <c r="FR236">
        <v>0</v>
      </c>
      <c r="FS236">
        <v>0</v>
      </c>
      <c r="FT236">
        <v>0</v>
      </c>
      <c r="FU236">
        <v>0</v>
      </c>
      <c r="FV236">
        <v>0</v>
      </c>
      <c r="FW236">
        <v>0</v>
      </c>
      <c r="FX236">
        <v>0</v>
      </c>
      <c r="IZ236">
        <v>0</v>
      </c>
      <c r="JA236">
        <v>0</v>
      </c>
      <c r="JB236">
        <v>0</v>
      </c>
      <c r="JC236">
        <v>0</v>
      </c>
      <c r="JD236">
        <v>0</v>
      </c>
      <c r="JE236">
        <v>0</v>
      </c>
      <c r="JF236">
        <v>0</v>
      </c>
      <c r="JG236">
        <v>0</v>
      </c>
      <c r="JH236">
        <v>0</v>
      </c>
      <c r="JI236">
        <v>0</v>
      </c>
      <c r="JJ236">
        <v>1</v>
      </c>
      <c r="JL236">
        <v>2</v>
      </c>
      <c r="JM236" cm="1">
        <f t="array" ref="JM236">IF(OR(JN236:JQ236 &lt;&gt; ""), 1, 0)</f>
        <v>0</v>
      </c>
    </row>
    <row r="237" spans="1:278" x14ac:dyDescent="0.35">
      <c r="A237">
        <v>363452</v>
      </c>
      <c r="C237">
        <v>1</v>
      </c>
      <c r="D237" t="s">
        <v>1263</v>
      </c>
      <c r="E237" t="str">
        <f>_xlfn.XLOOKUP(I237, [1]SchoolDistrictStudyWODuplicates!$K:$K, [1]SchoolDistrictStudyWODuplicates!$E:$E, "")</f>
        <v/>
      </c>
      <c r="G237" t="s">
        <v>1264</v>
      </c>
      <c r="H237" s="7">
        <v>5508220</v>
      </c>
      <c r="I237" s="7">
        <v>5508220</v>
      </c>
      <c r="J237" s="5" t="e">
        <f>_xlfn.XLOOKUP(I237,#REF!,#REF!,"Not Determined")</f>
        <v>#REF!</v>
      </c>
      <c r="K237" s="5" t="s">
        <v>1265</v>
      </c>
      <c r="L237" t="s">
        <v>1265</v>
      </c>
      <c r="M237" s="13" t="e">
        <f>_xlfn.XLOOKUP(I237,#REF!,#REF!, "No")</f>
        <v>#REF!</v>
      </c>
      <c r="N237" s="5" t="str">
        <f t="shared" si="44"/>
        <v>Yes</v>
      </c>
      <c r="O237" s="5" t="str">
        <f t="shared" si="45"/>
        <v>Yes</v>
      </c>
      <c r="P237" s="5" t="str">
        <f t="shared" si="46"/>
        <v>Yes</v>
      </c>
      <c r="Q237" s="5" t="str">
        <f t="shared" si="47"/>
        <v>Yes</v>
      </c>
      <c r="R237" s="5" t="str">
        <f t="shared" si="48"/>
        <v>Yes</v>
      </c>
      <c r="S237" s="5" t="str">
        <f t="shared" si="49"/>
        <v>Yes</v>
      </c>
      <c r="T237" s="5" t="str">
        <f t="shared" si="50"/>
        <v>Yes</v>
      </c>
      <c r="U237" s="5" t="str">
        <f t="shared" si="51"/>
        <v>Yes</v>
      </c>
      <c r="V237" s="5" t="str" cm="1">
        <f t="array" ref="V237">IF(OR(DB237:DG237 =1), "Yes", "No")</f>
        <v>Yes</v>
      </c>
      <c r="W237" s="5" t="str">
        <f t="shared" si="52"/>
        <v>No</v>
      </c>
      <c r="X237" s="5" t="str">
        <f t="shared" si="53"/>
        <v>No</v>
      </c>
      <c r="Y237" s="5" t="str">
        <f t="shared" si="54"/>
        <v>Yes</v>
      </c>
      <c r="Z237">
        <v>4</v>
      </c>
      <c r="AB237">
        <v>1</v>
      </c>
      <c r="AC237">
        <v>0</v>
      </c>
      <c r="AD237">
        <v>0</v>
      </c>
      <c r="AE237">
        <v>0</v>
      </c>
      <c r="AF237">
        <v>0</v>
      </c>
      <c r="AG237">
        <v>0</v>
      </c>
      <c r="AH237">
        <v>0</v>
      </c>
      <c r="AI237">
        <v>0</v>
      </c>
      <c r="AJ237">
        <v>0</v>
      </c>
      <c r="AK237">
        <v>1</v>
      </c>
      <c r="AM237">
        <v>1</v>
      </c>
      <c r="AN237">
        <v>1</v>
      </c>
      <c r="AO237">
        <v>0</v>
      </c>
      <c r="AP237">
        <v>1</v>
      </c>
      <c r="AQ237">
        <v>10</v>
      </c>
      <c r="AS237">
        <v>1</v>
      </c>
      <c r="AT237">
        <v>10</v>
      </c>
      <c r="AV237">
        <v>1</v>
      </c>
      <c r="AW237">
        <v>1</v>
      </c>
      <c r="AX237">
        <v>0</v>
      </c>
      <c r="AY237">
        <v>1</v>
      </c>
      <c r="AZ237">
        <v>1</v>
      </c>
      <c r="BA237">
        <v>0</v>
      </c>
      <c r="BC237">
        <v>4</v>
      </c>
      <c r="BE237">
        <v>1</v>
      </c>
      <c r="BG237">
        <v>1</v>
      </c>
      <c r="BH237">
        <v>1</v>
      </c>
      <c r="BI237">
        <v>2</v>
      </c>
      <c r="BJ237">
        <v>2</v>
      </c>
      <c r="BL237">
        <v>2</v>
      </c>
      <c r="BM237">
        <v>1</v>
      </c>
      <c r="CQ237">
        <v>3</v>
      </c>
      <c r="CR237">
        <v>3</v>
      </c>
      <c r="CS237">
        <v>0</v>
      </c>
      <c r="CT237">
        <v>1</v>
      </c>
      <c r="CU237">
        <v>0</v>
      </c>
      <c r="CV237">
        <v>0</v>
      </c>
      <c r="CW237">
        <v>0</v>
      </c>
      <c r="CX237">
        <v>0</v>
      </c>
      <c r="CY237">
        <v>0</v>
      </c>
      <c r="CZ237">
        <v>0</v>
      </c>
      <c r="DA237">
        <v>0</v>
      </c>
      <c r="DB237">
        <v>0</v>
      </c>
      <c r="DC237">
        <v>0</v>
      </c>
      <c r="DD237">
        <v>1</v>
      </c>
      <c r="DE237">
        <v>0</v>
      </c>
      <c r="DF237">
        <v>0</v>
      </c>
      <c r="DG237">
        <v>0</v>
      </c>
      <c r="DH237">
        <v>0</v>
      </c>
      <c r="DJ237" t="s">
        <v>1266</v>
      </c>
      <c r="DK237">
        <v>1</v>
      </c>
      <c r="DL237">
        <v>3</v>
      </c>
      <c r="DM237" t="s">
        <v>1267</v>
      </c>
      <c r="DN237">
        <v>1</v>
      </c>
      <c r="DP237">
        <v>3</v>
      </c>
      <c r="DQ237" t="s">
        <v>1268</v>
      </c>
      <c r="DS237">
        <v>4</v>
      </c>
      <c r="DW237" t="s">
        <v>1269</v>
      </c>
      <c r="DX237">
        <v>2</v>
      </c>
      <c r="DZ237">
        <v>4</v>
      </c>
      <c r="EB237">
        <v>0</v>
      </c>
      <c r="EC237">
        <v>0</v>
      </c>
      <c r="ED237">
        <v>0</v>
      </c>
      <c r="EE237">
        <v>1</v>
      </c>
      <c r="EF237">
        <v>0</v>
      </c>
      <c r="EG237">
        <v>1</v>
      </c>
      <c r="EH237">
        <v>0</v>
      </c>
      <c r="EI237">
        <v>0</v>
      </c>
      <c r="EJ237">
        <v>0</v>
      </c>
      <c r="EK237">
        <v>0</v>
      </c>
      <c r="EM237">
        <v>0</v>
      </c>
      <c r="EN237">
        <v>1</v>
      </c>
      <c r="EO237">
        <v>0</v>
      </c>
      <c r="EP237">
        <v>0</v>
      </c>
      <c r="EQ237">
        <v>0</v>
      </c>
      <c r="ER237">
        <v>0</v>
      </c>
      <c r="ES237">
        <v>0</v>
      </c>
      <c r="ET237">
        <v>1</v>
      </c>
      <c r="EU237">
        <v>0</v>
      </c>
      <c r="EV237">
        <v>0</v>
      </c>
      <c r="EW237">
        <v>0</v>
      </c>
      <c r="EX237">
        <v>0</v>
      </c>
      <c r="EY237">
        <v>0</v>
      </c>
      <c r="FB237" t="s">
        <v>936</v>
      </c>
      <c r="FC237">
        <v>0</v>
      </c>
      <c r="FD237">
        <v>0</v>
      </c>
      <c r="FE237">
        <v>0</v>
      </c>
      <c r="FF237">
        <v>0</v>
      </c>
      <c r="FG237">
        <v>0</v>
      </c>
      <c r="FH237">
        <v>0</v>
      </c>
      <c r="FI237">
        <v>0</v>
      </c>
      <c r="FJ237">
        <v>0</v>
      </c>
      <c r="FK237">
        <v>0</v>
      </c>
      <c r="FL237">
        <v>0</v>
      </c>
      <c r="FM237">
        <v>0</v>
      </c>
      <c r="FN237">
        <v>0</v>
      </c>
      <c r="FO237">
        <v>0</v>
      </c>
      <c r="FP237">
        <v>0</v>
      </c>
      <c r="FQ237">
        <v>0</v>
      </c>
      <c r="FR237">
        <v>1</v>
      </c>
      <c r="FS237">
        <v>0</v>
      </c>
      <c r="FT237">
        <v>0</v>
      </c>
      <c r="FU237">
        <v>0</v>
      </c>
      <c r="FV237">
        <v>0</v>
      </c>
      <c r="FW237">
        <v>0</v>
      </c>
      <c r="FX237">
        <v>0</v>
      </c>
      <c r="IZ237">
        <v>1</v>
      </c>
      <c r="JA237">
        <v>0</v>
      </c>
      <c r="JB237">
        <v>0</v>
      </c>
      <c r="JC237">
        <v>0</v>
      </c>
      <c r="JD237">
        <v>0</v>
      </c>
      <c r="JE237">
        <v>0</v>
      </c>
      <c r="JF237">
        <v>0</v>
      </c>
      <c r="JG237">
        <v>0</v>
      </c>
      <c r="JH237">
        <v>0</v>
      </c>
      <c r="JI237">
        <v>0</v>
      </c>
      <c r="JJ237">
        <v>0</v>
      </c>
      <c r="JL237">
        <v>2</v>
      </c>
      <c r="JM237" cm="1">
        <f t="array" ref="JM237">IF(OR(JN237:JQ237 &lt;&gt; ""), 1, 0)</f>
        <v>0</v>
      </c>
    </row>
    <row r="238" spans="1:278" x14ac:dyDescent="0.35">
      <c r="A238">
        <v>393110</v>
      </c>
      <c r="C238">
        <v>1</v>
      </c>
      <c r="D238" t="s">
        <v>351</v>
      </c>
      <c r="E238" t="str">
        <f>_xlfn.XLOOKUP(I238, [1]SchoolDistrictStudyWODuplicates!$K:$K, [1]SchoolDistrictStudyWODuplicates!$E:$E, "")</f>
        <v>Montebello Unified School District</v>
      </c>
      <c r="G238" t="s">
        <v>352</v>
      </c>
      <c r="H238" s="5" t="e">
        <f>_xlfn.XLOOKUP(A238,#REF!,#REF!, "No")</f>
        <v>#REF!</v>
      </c>
      <c r="I238" s="7">
        <v>625470</v>
      </c>
      <c r="J238" s="5" t="e">
        <f>_xlfn.XLOOKUP(I238,#REF!,#REF!,"Not Determined")</f>
        <v>#REF!</v>
      </c>
      <c r="K238" s="5" t="s">
        <v>305</v>
      </c>
      <c r="L238" t="s">
        <v>332</v>
      </c>
      <c r="M238" s="13" t="e">
        <f>_xlfn.XLOOKUP(I238,#REF!,#REF!, "No")</f>
        <v>#REF!</v>
      </c>
      <c r="N238" s="5" t="str">
        <f t="shared" si="44"/>
        <v>Yes</v>
      </c>
      <c r="O238" s="5" t="str">
        <f t="shared" si="45"/>
        <v>Yes</v>
      </c>
      <c r="P238" s="5" t="str">
        <f t="shared" si="46"/>
        <v>Yes</v>
      </c>
      <c r="Q238" s="5" t="str">
        <f t="shared" si="47"/>
        <v>Yes</v>
      </c>
      <c r="R238" s="5" t="str">
        <f t="shared" si="48"/>
        <v>Yes</v>
      </c>
      <c r="S238" s="5" t="str">
        <f t="shared" si="49"/>
        <v>Yes</v>
      </c>
      <c r="T238" s="5" t="str">
        <f t="shared" si="50"/>
        <v>Yes</v>
      </c>
      <c r="U238" s="5" t="str">
        <f t="shared" si="51"/>
        <v>Yes</v>
      </c>
      <c r="V238" s="5" t="str" cm="1">
        <f t="array" ref="V238">IF(OR(DB238:DG238 =1), "Yes", "No")</f>
        <v>Yes</v>
      </c>
      <c r="W238" s="5" t="str">
        <f t="shared" si="52"/>
        <v>Yes</v>
      </c>
      <c r="X238" s="5" t="str">
        <f t="shared" si="53"/>
        <v>No</v>
      </c>
      <c r="Y238" s="5" t="str">
        <f t="shared" si="54"/>
        <v>No</v>
      </c>
      <c r="Z238">
        <v>3</v>
      </c>
      <c r="AB238">
        <v>1</v>
      </c>
      <c r="AC238">
        <v>1</v>
      </c>
      <c r="AD238">
        <v>1</v>
      </c>
      <c r="AE238">
        <v>0</v>
      </c>
      <c r="AF238">
        <v>0</v>
      </c>
      <c r="AG238">
        <v>0</v>
      </c>
      <c r="AH238">
        <v>0</v>
      </c>
      <c r="AI238">
        <v>1</v>
      </c>
      <c r="AJ238">
        <v>0</v>
      </c>
      <c r="AK238">
        <v>1</v>
      </c>
      <c r="AM238">
        <v>1</v>
      </c>
      <c r="AN238">
        <v>1</v>
      </c>
      <c r="AO238">
        <v>1</v>
      </c>
      <c r="AP238">
        <v>34</v>
      </c>
      <c r="AQ238">
        <v>13</v>
      </c>
      <c r="AR238">
        <v>44</v>
      </c>
      <c r="AS238">
        <v>34</v>
      </c>
      <c r="AT238">
        <v>13</v>
      </c>
      <c r="AU238">
        <v>44</v>
      </c>
      <c r="AV238">
        <v>0</v>
      </c>
      <c r="AW238">
        <v>1</v>
      </c>
      <c r="AX238">
        <v>1</v>
      </c>
      <c r="AY238">
        <v>0</v>
      </c>
      <c r="AZ238">
        <v>1</v>
      </c>
      <c r="BA238">
        <v>0</v>
      </c>
      <c r="BC238">
        <v>2</v>
      </c>
      <c r="BE238">
        <v>1</v>
      </c>
      <c r="BG238">
        <v>1</v>
      </c>
      <c r="BH238">
        <v>1</v>
      </c>
      <c r="BI238">
        <v>2</v>
      </c>
      <c r="BJ238">
        <v>1</v>
      </c>
      <c r="BK238">
        <v>5</v>
      </c>
      <c r="BL238">
        <v>2</v>
      </c>
      <c r="BM238">
        <v>1</v>
      </c>
      <c r="CQ238">
        <v>3</v>
      </c>
      <c r="CR238">
        <v>3</v>
      </c>
      <c r="CS238">
        <v>0</v>
      </c>
      <c r="CT238">
        <v>1</v>
      </c>
      <c r="CU238">
        <v>1</v>
      </c>
      <c r="CV238">
        <v>1</v>
      </c>
      <c r="CW238">
        <v>0</v>
      </c>
      <c r="CX238">
        <v>0</v>
      </c>
      <c r="CY238">
        <v>0</v>
      </c>
      <c r="CZ238">
        <v>0</v>
      </c>
      <c r="DA238">
        <v>0</v>
      </c>
      <c r="DB238">
        <v>1</v>
      </c>
      <c r="DC238">
        <v>0</v>
      </c>
      <c r="DD238">
        <v>1</v>
      </c>
      <c r="DE238">
        <v>0</v>
      </c>
      <c r="DF238">
        <v>0</v>
      </c>
      <c r="DG238">
        <v>0</v>
      </c>
      <c r="DH238">
        <v>0</v>
      </c>
      <c r="DJ238" t="s">
        <v>353</v>
      </c>
      <c r="DK238">
        <v>1</v>
      </c>
      <c r="DL238">
        <v>2</v>
      </c>
      <c r="DN238">
        <v>2</v>
      </c>
      <c r="DP238">
        <v>2</v>
      </c>
      <c r="DS238">
        <v>3</v>
      </c>
      <c r="DT238" t="s">
        <v>354</v>
      </c>
      <c r="DU238">
        <v>3</v>
      </c>
      <c r="DW238" t="s">
        <v>355</v>
      </c>
      <c r="DX238">
        <v>1</v>
      </c>
      <c r="DY238" t="s">
        <v>356</v>
      </c>
      <c r="DZ238">
        <v>3</v>
      </c>
      <c r="EA238" t="s">
        <v>357</v>
      </c>
      <c r="EB238">
        <v>0</v>
      </c>
      <c r="EC238">
        <v>0</v>
      </c>
      <c r="ED238">
        <v>1</v>
      </c>
      <c r="EE238">
        <v>0</v>
      </c>
      <c r="EF238">
        <v>0</v>
      </c>
      <c r="EG238">
        <v>0</v>
      </c>
      <c r="EH238">
        <v>0</v>
      </c>
      <c r="EI238">
        <v>0</v>
      </c>
      <c r="EJ238">
        <v>0</v>
      </c>
      <c r="EK238">
        <v>0</v>
      </c>
      <c r="EM238">
        <v>0</v>
      </c>
      <c r="EN238">
        <v>1</v>
      </c>
      <c r="EO238">
        <v>1</v>
      </c>
      <c r="EP238">
        <v>0</v>
      </c>
      <c r="EQ238">
        <v>0</v>
      </c>
      <c r="ER238">
        <v>0</v>
      </c>
      <c r="ES238">
        <v>0</v>
      </c>
      <c r="ET238">
        <v>0</v>
      </c>
      <c r="EU238">
        <v>0</v>
      </c>
      <c r="EV238">
        <v>0</v>
      </c>
      <c r="EW238">
        <v>1</v>
      </c>
      <c r="EX238">
        <v>0</v>
      </c>
      <c r="EY238">
        <v>0</v>
      </c>
      <c r="FB238" t="s">
        <v>358</v>
      </c>
      <c r="FC238">
        <v>1</v>
      </c>
      <c r="FD238">
        <v>1</v>
      </c>
      <c r="FE238">
        <v>0</v>
      </c>
      <c r="FF238">
        <v>0</v>
      </c>
      <c r="FG238">
        <v>0</v>
      </c>
      <c r="FH238">
        <v>0</v>
      </c>
      <c r="FI238">
        <v>0</v>
      </c>
      <c r="FJ238">
        <v>0</v>
      </c>
      <c r="FK238">
        <v>0</v>
      </c>
      <c r="FL238">
        <v>0</v>
      </c>
      <c r="FM238">
        <v>0</v>
      </c>
      <c r="FN238">
        <v>0</v>
      </c>
      <c r="FO238">
        <v>0</v>
      </c>
      <c r="FP238">
        <v>0</v>
      </c>
      <c r="FQ238">
        <v>0</v>
      </c>
      <c r="FR238">
        <v>0</v>
      </c>
      <c r="FS238">
        <v>0</v>
      </c>
      <c r="FT238">
        <v>0</v>
      </c>
      <c r="FU238">
        <v>0</v>
      </c>
      <c r="FV238">
        <v>0</v>
      </c>
      <c r="FW238">
        <v>0</v>
      </c>
      <c r="FX238">
        <v>0</v>
      </c>
      <c r="FY238" t="s">
        <v>358</v>
      </c>
      <c r="FZ238">
        <v>0</v>
      </c>
      <c r="GA238">
        <v>0</v>
      </c>
      <c r="GB238">
        <v>0</v>
      </c>
      <c r="GC238">
        <v>0</v>
      </c>
      <c r="GD238">
        <v>0</v>
      </c>
      <c r="GE238">
        <v>0</v>
      </c>
      <c r="GF238">
        <v>0</v>
      </c>
      <c r="GG238">
        <v>0</v>
      </c>
      <c r="GH238">
        <v>0</v>
      </c>
      <c r="GI238">
        <v>1</v>
      </c>
      <c r="GJ238">
        <v>1</v>
      </c>
      <c r="GK238">
        <v>0</v>
      </c>
      <c r="GL238">
        <v>0</v>
      </c>
      <c r="GM238">
        <v>0</v>
      </c>
      <c r="GN238">
        <v>0</v>
      </c>
      <c r="GO238">
        <v>0</v>
      </c>
      <c r="GP238">
        <v>0</v>
      </c>
      <c r="GQ238">
        <v>0</v>
      </c>
      <c r="GR238">
        <v>0</v>
      </c>
      <c r="IZ238">
        <v>1</v>
      </c>
      <c r="JA238">
        <v>0</v>
      </c>
      <c r="JB238">
        <v>0</v>
      </c>
      <c r="JC238">
        <v>0</v>
      </c>
      <c r="JD238">
        <v>1</v>
      </c>
      <c r="JE238">
        <v>0</v>
      </c>
      <c r="JF238">
        <v>1</v>
      </c>
      <c r="JG238">
        <v>0</v>
      </c>
      <c r="JH238">
        <v>0</v>
      </c>
      <c r="JI238">
        <v>0</v>
      </c>
      <c r="JJ238">
        <v>0</v>
      </c>
      <c r="JL238">
        <v>1</v>
      </c>
      <c r="JM238" cm="1">
        <f t="array" ref="JM238">IF(OR(JN238:JQ238 &lt;&gt; ""), 1, 0)</f>
        <v>1</v>
      </c>
      <c r="JN238">
        <v>1</v>
      </c>
      <c r="JO238">
        <v>1</v>
      </c>
      <c r="JP238">
        <v>1</v>
      </c>
      <c r="JQ238">
        <v>0</v>
      </c>
    </row>
    <row r="239" spans="1:278" x14ac:dyDescent="0.35">
      <c r="A239">
        <v>371044</v>
      </c>
      <c r="C239">
        <v>1</v>
      </c>
      <c r="D239" t="s">
        <v>607</v>
      </c>
      <c r="E239" t="str">
        <f>_xlfn.XLOOKUP(I239, [1]SchoolDistrictStudyWODuplicates!$K:$K, [1]SchoolDistrictStudyWODuplicates!$E:$E, "")</f>
        <v/>
      </c>
      <c r="G239" t="s">
        <v>608</v>
      </c>
      <c r="H239" s="5" t="e">
        <f>_xlfn.XLOOKUP(A239,#REF!,#REF!, "No")</f>
        <v>#REF!</v>
      </c>
      <c r="I239" s="7">
        <v>2101150</v>
      </c>
      <c r="J239" s="5" t="e">
        <f>_xlfn.XLOOKUP(I239,#REF!,#REF!,"Not Determined")</f>
        <v>#REF!</v>
      </c>
      <c r="K239" s="5" t="s">
        <v>599</v>
      </c>
      <c r="L239" t="s">
        <v>609</v>
      </c>
      <c r="M239" s="13" t="e">
        <f>_xlfn.XLOOKUP(I239,#REF!,#REF!, "No")</f>
        <v>#REF!</v>
      </c>
      <c r="N239" s="5" t="str">
        <f t="shared" si="44"/>
        <v>Yes</v>
      </c>
      <c r="O239" s="5" t="str">
        <f t="shared" si="45"/>
        <v>Yes</v>
      </c>
      <c r="P239" s="5" t="str">
        <f t="shared" si="46"/>
        <v>Yes</v>
      </c>
      <c r="Q239" s="5" t="str">
        <f t="shared" si="47"/>
        <v>Yes</v>
      </c>
      <c r="R239" s="5" t="str">
        <f t="shared" si="48"/>
        <v>Yes</v>
      </c>
      <c r="S239" s="5" t="str">
        <f t="shared" si="49"/>
        <v>Yes</v>
      </c>
      <c r="T239" s="5" t="str">
        <f t="shared" si="50"/>
        <v>Yes</v>
      </c>
      <c r="U239" s="5" t="str">
        <f t="shared" si="51"/>
        <v>Yes</v>
      </c>
      <c r="V239" s="5" t="str" cm="1">
        <f t="array" ref="V239">IF(OR(DB239:DG239 =1), "Yes", "No")</f>
        <v>Yes</v>
      </c>
      <c r="W239" s="5" t="str">
        <f t="shared" si="52"/>
        <v>Yes</v>
      </c>
      <c r="X239" s="5" t="str">
        <f t="shared" si="53"/>
        <v>Yes</v>
      </c>
      <c r="Y239" s="5" t="str">
        <f t="shared" si="54"/>
        <v>Yes</v>
      </c>
      <c r="Z239">
        <v>3</v>
      </c>
      <c r="AB239">
        <v>1</v>
      </c>
      <c r="AC239">
        <v>0</v>
      </c>
      <c r="AD239">
        <v>1</v>
      </c>
      <c r="AE239">
        <v>0</v>
      </c>
      <c r="AF239">
        <v>0</v>
      </c>
      <c r="AG239">
        <v>0</v>
      </c>
      <c r="AH239">
        <v>0</v>
      </c>
      <c r="AI239">
        <v>0</v>
      </c>
      <c r="AJ239">
        <v>0</v>
      </c>
      <c r="AK239">
        <v>1</v>
      </c>
      <c r="AM239">
        <v>1</v>
      </c>
      <c r="AN239">
        <v>1</v>
      </c>
      <c r="AO239">
        <v>1</v>
      </c>
      <c r="AP239">
        <v>0</v>
      </c>
      <c r="AQ239">
        <v>85</v>
      </c>
      <c r="AR239">
        <v>30</v>
      </c>
      <c r="AT239">
        <v>85</v>
      </c>
      <c r="AU239">
        <v>30</v>
      </c>
      <c r="AV239">
        <v>1</v>
      </c>
      <c r="AW239">
        <v>0</v>
      </c>
      <c r="AX239">
        <v>0</v>
      </c>
      <c r="AY239">
        <v>0</v>
      </c>
      <c r="AZ239">
        <v>1</v>
      </c>
      <c r="BA239">
        <v>0</v>
      </c>
      <c r="BC239">
        <v>1</v>
      </c>
      <c r="BE239">
        <v>1</v>
      </c>
      <c r="BG239">
        <v>1</v>
      </c>
      <c r="BH239">
        <v>1</v>
      </c>
      <c r="BI239">
        <v>2</v>
      </c>
      <c r="BJ239">
        <v>2</v>
      </c>
      <c r="BL239">
        <v>1</v>
      </c>
      <c r="BM239">
        <v>1</v>
      </c>
      <c r="CQ239">
        <v>4</v>
      </c>
      <c r="CR239">
        <v>5</v>
      </c>
      <c r="CS239">
        <v>1</v>
      </c>
      <c r="CT239">
        <v>1</v>
      </c>
      <c r="CU239">
        <v>1</v>
      </c>
      <c r="CV239">
        <v>1</v>
      </c>
      <c r="CW239">
        <v>0</v>
      </c>
      <c r="CX239">
        <v>0</v>
      </c>
      <c r="CY239">
        <v>0</v>
      </c>
      <c r="CZ239">
        <v>0</v>
      </c>
      <c r="DA239">
        <v>0</v>
      </c>
      <c r="DB239">
        <v>1</v>
      </c>
      <c r="DC239">
        <v>0</v>
      </c>
      <c r="DD239">
        <v>1</v>
      </c>
      <c r="DE239">
        <v>1</v>
      </c>
      <c r="DF239">
        <v>0</v>
      </c>
      <c r="DG239">
        <v>0</v>
      </c>
      <c r="DH239">
        <v>0</v>
      </c>
      <c r="DJ239" t="s">
        <v>610</v>
      </c>
      <c r="DK239">
        <v>1</v>
      </c>
      <c r="DL239">
        <v>1</v>
      </c>
      <c r="DN239">
        <v>1</v>
      </c>
      <c r="DP239">
        <v>2</v>
      </c>
      <c r="DS239">
        <v>1</v>
      </c>
      <c r="DU239">
        <v>11</v>
      </c>
      <c r="DW239" t="s">
        <v>611</v>
      </c>
      <c r="DX239">
        <v>3</v>
      </c>
      <c r="DY239" t="s">
        <v>612</v>
      </c>
      <c r="DZ239">
        <v>4</v>
      </c>
      <c r="EB239">
        <v>1</v>
      </c>
      <c r="EC239">
        <v>0</v>
      </c>
      <c r="ED239">
        <v>1</v>
      </c>
      <c r="EE239">
        <v>1</v>
      </c>
      <c r="EF239">
        <v>1</v>
      </c>
      <c r="EG239">
        <v>1</v>
      </c>
      <c r="EH239">
        <v>1</v>
      </c>
      <c r="EI239">
        <v>0</v>
      </c>
      <c r="EJ239">
        <v>0</v>
      </c>
      <c r="EK239">
        <v>0</v>
      </c>
      <c r="EM239">
        <v>1</v>
      </c>
      <c r="EN239">
        <v>1</v>
      </c>
      <c r="EO239">
        <v>0</v>
      </c>
      <c r="EP239">
        <v>1</v>
      </c>
      <c r="EQ239">
        <v>1</v>
      </c>
      <c r="ER239">
        <v>0</v>
      </c>
      <c r="ES239">
        <v>0</v>
      </c>
      <c r="ET239">
        <v>1</v>
      </c>
      <c r="EU239">
        <v>0</v>
      </c>
      <c r="EV239">
        <v>1</v>
      </c>
      <c r="EW239">
        <v>1</v>
      </c>
      <c r="EX239">
        <v>0</v>
      </c>
      <c r="EY239">
        <v>0</v>
      </c>
      <c r="EZ239" t="s">
        <v>613</v>
      </c>
      <c r="FA239">
        <v>5</v>
      </c>
      <c r="FB239" t="s">
        <v>614</v>
      </c>
      <c r="FC239">
        <v>1</v>
      </c>
      <c r="FD239">
        <v>1</v>
      </c>
      <c r="FE239">
        <v>0</v>
      </c>
      <c r="FF239">
        <v>0</v>
      </c>
      <c r="FG239">
        <v>0</v>
      </c>
      <c r="FH239">
        <v>0</v>
      </c>
      <c r="FI239">
        <v>0</v>
      </c>
      <c r="FJ239">
        <v>0</v>
      </c>
      <c r="FK239">
        <v>0</v>
      </c>
      <c r="FL239">
        <v>0</v>
      </c>
      <c r="FM239">
        <v>0</v>
      </c>
      <c r="FN239">
        <v>0</v>
      </c>
      <c r="FO239">
        <v>0</v>
      </c>
      <c r="FP239">
        <v>0</v>
      </c>
      <c r="FQ239">
        <v>0</v>
      </c>
      <c r="FR239">
        <v>0</v>
      </c>
      <c r="FS239">
        <v>0</v>
      </c>
      <c r="FT239">
        <v>0</v>
      </c>
      <c r="FU239">
        <v>0</v>
      </c>
      <c r="FV239">
        <v>0</v>
      </c>
      <c r="FW239">
        <v>0</v>
      </c>
      <c r="FX239">
        <v>0</v>
      </c>
      <c r="HC239" t="s">
        <v>615</v>
      </c>
      <c r="HD239">
        <v>0</v>
      </c>
      <c r="HE239">
        <v>0</v>
      </c>
      <c r="HF239">
        <v>0</v>
      </c>
      <c r="HG239">
        <v>0</v>
      </c>
      <c r="HH239">
        <v>0</v>
      </c>
      <c r="HI239">
        <v>0</v>
      </c>
      <c r="HJ239">
        <v>0</v>
      </c>
      <c r="HK239">
        <v>0</v>
      </c>
      <c r="HL239">
        <v>0</v>
      </c>
      <c r="HM239">
        <v>0</v>
      </c>
      <c r="HN239">
        <v>0</v>
      </c>
      <c r="HO239">
        <v>0</v>
      </c>
      <c r="HP239">
        <v>0</v>
      </c>
      <c r="HQ239">
        <v>0</v>
      </c>
      <c r="HR239">
        <v>0</v>
      </c>
      <c r="HS239">
        <v>0</v>
      </c>
      <c r="HT239">
        <v>0</v>
      </c>
      <c r="HU239">
        <v>0</v>
      </c>
      <c r="HV239">
        <v>1</v>
      </c>
      <c r="HW239">
        <v>0</v>
      </c>
      <c r="HX239">
        <v>0</v>
      </c>
      <c r="HY239">
        <v>0</v>
      </c>
      <c r="HZ239">
        <v>0</v>
      </c>
      <c r="IA239">
        <v>0</v>
      </c>
      <c r="IB239">
        <v>0</v>
      </c>
      <c r="IC239">
        <v>0</v>
      </c>
      <c r="ID239">
        <v>0</v>
      </c>
      <c r="IE239">
        <v>0</v>
      </c>
      <c r="IF239">
        <v>0</v>
      </c>
      <c r="IG239">
        <v>0</v>
      </c>
      <c r="IH239">
        <v>0</v>
      </c>
      <c r="II239">
        <v>0</v>
      </c>
      <c r="IJ239">
        <v>0</v>
      </c>
      <c r="IK239">
        <v>0</v>
      </c>
      <c r="IL239">
        <v>1</v>
      </c>
      <c r="IM239">
        <v>0</v>
      </c>
      <c r="IN239">
        <v>1</v>
      </c>
      <c r="IO239">
        <v>0</v>
      </c>
      <c r="IP239">
        <v>0</v>
      </c>
      <c r="IQ239">
        <v>0</v>
      </c>
      <c r="IR239">
        <v>0</v>
      </c>
      <c r="IS239">
        <v>0</v>
      </c>
      <c r="IT239">
        <v>0</v>
      </c>
      <c r="IU239">
        <v>0</v>
      </c>
      <c r="IV239">
        <v>0</v>
      </c>
      <c r="IW239">
        <v>0</v>
      </c>
      <c r="IZ239">
        <v>1</v>
      </c>
      <c r="JA239">
        <v>0</v>
      </c>
      <c r="JB239">
        <v>1</v>
      </c>
      <c r="JC239">
        <v>0</v>
      </c>
      <c r="JD239">
        <v>0</v>
      </c>
      <c r="JE239">
        <v>0</v>
      </c>
      <c r="JF239">
        <v>1</v>
      </c>
      <c r="JG239">
        <v>0</v>
      </c>
      <c r="JH239">
        <v>0</v>
      </c>
      <c r="JI239">
        <v>0</v>
      </c>
      <c r="JJ239">
        <v>0</v>
      </c>
      <c r="JL239">
        <v>1</v>
      </c>
      <c r="JM239" cm="1">
        <f t="array" ref="JM239">IF(OR(JN239:JQ239 &lt;&gt; ""), 1, 0)</f>
        <v>1</v>
      </c>
      <c r="JN239">
        <v>1</v>
      </c>
      <c r="JO239">
        <v>1</v>
      </c>
      <c r="JP239">
        <v>1</v>
      </c>
      <c r="JQ239">
        <v>0</v>
      </c>
    </row>
    <row r="240" spans="1:278" x14ac:dyDescent="0.35">
      <c r="A240">
        <v>363360</v>
      </c>
      <c r="C240">
        <v>1</v>
      </c>
      <c r="D240" t="s">
        <v>987</v>
      </c>
      <c r="E240" t="str">
        <f>_xlfn.XLOOKUP(I240, [1]SchoolDistrictStudyWODuplicates!$K:$K, [1]SchoolDistrictStudyWODuplicates!$E:$E, "")</f>
        <v/>
      </c>
      <c r="G240" t="s">
        <v>988</v>
      </c>
      <c r="H240" s="7">
        <v>4101920</v>
      </c>
      <c r="I240" s="7">
        <v>4101920</v>
      </c>
      <c r="J240" s="5" t="e">
        <f>_xlfn.XLOOKUP(I240,#REF!,#REF!,"Not Determined")</f>
        <v>#REF!</v>
      </c>
      <c r="K240" s="5" t="s">
        <v>989</v>
      </c>
      <c r="L240" t="s">
        <v>989</v>
      </c>
      <c r="M240" s="13" t="e">
        <f>_xlfn.XLOOKUP(I240,#REF!,#REF!, "No")</f>
        <v>#REF!</v>
      </c>
      <c r="N240" s="5" t="str">
        <f t="shared" si="44"/>
        <v>Yes</v>
      </c>
      <c r="O240" s="5" t="str">
        <f t="shared" si="45"/>
        <v>Yes</v>
      </c>
      <c r="P240" s="5" t="str">
        <f t="shared" si="46"/>
        <v>Yes</v>
      </c>
      <c r="Q240" s="5" t="str">
        <f t="shared" si="47"/>
        <v>Yes</v>
      </c>
      <c r="R240" s="5" t="str">
        <f t="shared" si="48"/>
        <v>Yes</v>
      </c>
      <c r="S240" s="5" t="str">
        <f t="shared" si="49"/>
        <v>Yes</v>
      </c>
      <c r="T240" s="5" t="str">
        <f t="shared" si="50"/>
        <v>Yes</v>
      </c>
      <c r="U240" s="5" t="str">
        <f t="shared" si="51"/>
        <v>Yes</v>
      </c>
      <c r="V240" s="5" t="str" cm="1">
        <f t="array" ref="V240">IF(OR(DB240:DG240 =1), "Yes", "No")</f>
        <v>Yes</v>
      </c>
      <c r="W240" s="5" t="str">
        <f t="shared" si="52"/>
        <v>Yes</v>
      </c>
      <c r="X240" s="5" t="str">
        <f t="shared" si="53"/>
        <v>Yes</v>
      </c>
      <c r="Y240" s="5" t="str">
        <f t="shared" si="54"/>
        <v>Yes</v>
      </c>
      <c r="Z240">
        <v>4</v>
      </c>
      <c r="AB240">
        <v>0</v>
      </c>
      <c r="AC240">
        <v>0</v>
      </c>
      <c r="AD240">
        <v>0</v>
      </c>
      <c r="AE240">
        <v>1</v>
      </c>
      <c r="AF240">
        <v>0</v>
      </c>
      <c r="AG240">
        <v>0</v>
      </c>
      <c r="AH240">
        <v>0</v>
      </c>
      <c r="AI240">
        <v>0</v>
      </c>
      <c r="AJ240">
        <v>0</v>
      </c>
      <c r="AK240">
        <v>1</v>
      </c>
      <c r="AM240">
        <v>1</v>
      </c>
      <c r="AN240">
        <v>1</v>
      </c>
      <c r="AO240">
        <v>1</v>
      </c>
      <c r="AP240">
        <v>0</v>
      </c>
      <c r="AQ240">
        <v>110</v>
      </c>
      <c r="AR240">
        <v>215</v>
      </c>
      <c r="AT240">
        <v>110</v>
      </c>
      <c r="AU240">
        <v>215</v>
      </c>
      <c r="AV240">
        <v>0</v>
      </c>
      <c r="AW240">
        <v>0</v>
      </c>
      <c r="AX240">
        <v>0</v>
      </c>
      <c r="AY240">
        <v>1</v>
      </c>
      <c r="AZ240">
        <v>1</v>
      </c>
      <c r="BA240">
        <v>1</v>
      </c>
      <c r="BB240" t="s">
        <v>990</v>
      </c>
      <c r="BC240">
        <v>4</v>
      </c>
      <c r="BE240">
        <v>1</v>
      </c>
      <c r="BG240">
        <v>1</v>
      </c>
      <c r="BH240">
        <v>1</v>
      </c>
      <c r="BI240">
        <v>2</v>
      </c>
      <c r="BJ240">
        <v>1</v>
      </c>
      <c r="BK240">
        <v>1</v>
      </c>
      <c r="BL240">
        <v>1</v>
      </c>
      <c r="BM240">
        <v>1</v>
      </c>
      <c r="CQ240">
        <v>5</v>
      </c>
      <c r="CR240">
        <v>4</v>
      </c>
      <c r="CS240">
        <v>1</v>
      </c>
      <c r="CT240">
        <v>1</v>
      </c>
      <c r="CU240">
        <v>0</v>
      </c>
      <c r="CV240">
        <v>1</v>
      </c>
      <c r="CW240">
        <v>1</v>
      </c>
      <c r="CX240">
        <v>0</v>
      </c>
      <c r="CY240">
        <v>0</v>
      </c>
      <c r="CZ240">
        <v>0</v>
      </c>
      <c r="DA240">
        <v>0</v>
      </c>
      <c r="DB240">
        <v>1</v>
      </c>
      <c r="DC240">
        <v>1</v>
      </c>
      <c r="DD240">
        <v>1</v>
      </c>
      <c r="DE240">
        <v>1</v>
      </c>
      <c r="DF240">
        <v>0</v>
      </c>
      <c r="DG240">
        <v>0</v>
      </c>
      <c r="DH240">
        <v>0</v>
      </c>
      <c r="DJ240" t="s">
        <v>991</v>
      </c>
      <c r="DK240">
        <v>1</v>
      </c>
      <c r="DL240">
        <v>1</v>
      </c>
      <c r="DN240">
        <v>1</v>
      </c>
      <c r="DP240">
        <v>1</v>
      </c>
      <c r="DR240" t="s">
        <v>992</v>
      </c>
      <c r="DS240">
        <v>2</v>
      </c>
      <c r="DW240" t="s">
        <v>993</v>
      </c>
      <c r="DX240">
        <v>1</v>
      </c>
      <c r="DY240" t="s">
        <v>993</v>
      </c>
      <c r="DZ240">
        <v>1</v>
      </c>
      <c r="EA240" t="s">
        <v>994</v>
      </c>
      <c r="EB240">
        <v>0</v>
      </c>
      <c r="EC240">
        <v>0</v>
      </c>
      <c r="ED240">
        <v>1</v>
      </c>
      <c r="EE240">
        <v>0</v>
      </c>
      <c r="EF240">
        <v>1</v>
      </c>
      <c r="EG240">
        <v>1</v>
      </c>
      <c r="EH240">
        <v>0</v>
      </c>
      <c r="EI240">
        <v>0</v>
      </c>
      <c r="EJ240">
        <v>0</v>
      </c>
      <c r="EK240">
        <v>0</v>
      </c>
      <c r="EM240">
        <v>0</v>
      </c>
      <c r="EN240">
        <v>1</v>
      </c>
      <c r="EO240">
        <v>0</v>
      </c>
      <c r="EP240">
        <v>1</v>
      </c>
      <c r="EQ240">
        <v>1</v>
      </c>
      <c r="ER240">
        <v>0</v>
      </c>
      <c r="ES240">
        <v>0</v>
      </c>
      <c r="ET240">
        <v>1</v>
      </c>
      <c r="EU240">
        <v>1</v>
      </c>
      <c r="EV240">
        <v>1</v>
      </c>
      <c r="EW240">
        <v>1</v>
      </c>
      <c r="EX240">
        <v>0</v>
      </c>
      <c r="EY240">
        <v>0</v>
      </c>
      <c r="FB240" t="s">
        <v>661</v>
      </c>
      <c r="FC240">
        <v>1</v>
      </c>
      <c r="FD240">
        <v>1</v>
      </c>
      <c r="FE240">
        <v>0</v>
      </c>
      <c r="FF240">
        <v>0</v>
      </c>
      <c r="FG240">
        <v>0</v>
      </c>
      <c r="FH240">
        <v>0</v>
      </c>
      <c r="FI240">
        <v>0</v>
      </c>
      <c r="FJ240">
        <v>0</v>
      </c>
      <c r="FK240">
        <v>0</v>
      </c>
      <c r="FL240">
        <v>0</v>
      </c>
      <c r="FM240">
        <v>0</v>
      </c>
      <c r="FN240">
        <v>0</v>
      </c>
      <c r="FO240">
        <v>0</v>
      </c>
      <c r="FP240">
        <v>0</v>
      </c>
      <c r="FQ240">
        <v>0</v>
      </c>
      <c r="FR240">
        <v>0</v>
      </c>
      <c r="FS240">
        <v>0</v>
      </c>
      <c r="FT240">
        <v>0</v>
      </c>
      <c r="FU240">
        <v>0</v>
      </c>
      <c r="FV240">
        <v>0</v>
      </c>
      <c r="FW240">
        <v>0</v>
      </c>
      <c r="FX240">
        <v>0</v>
      </c>
      <c r="HC240" t="s">
        <v>995</v>
      </c>
      <c r="HD240">
        <v>1</v>
      </c>
      <c r="HE240">
        <v>1</v>
      </c>
      <c r="HF240">
        <v>0</v>
      </c>
      <c r="HG240">
        <v>0</v>
      </c>
      <c r="HH240">
        <v>0</v>
      </c>
      <c r="HI240">
        <v>0</v>
      </c>
      <c r="HJ240">
        <v>0</v>
      </c>
      <c r="HK240">
        <v>1</v>
      </c>
      <c r="HL240">
        <v>0</v>
      </c>
      <c r="HM240">
        <v>0</v>
      </c>
      <c r="HN240">
        <v>0</v>
      </c>
      <c r="HO240">
        <v>0</v>
      </c>
      <c r="HP240">
        <v>0</v>
      </c>
      <c r="HQ240">
        <v>0</v>
      </c>
      <c r="HR240">
        <v>0</v>
      </c>
      <c r="HS240">
        <v>0</v>
      </c>
      <c r="HT240">
        <v>0</v>
      </c>
      <c r="HU240">
        <v>0</v>
      </c>
      <c r="HV240">
        <v>0</v>
      </c>
      <c r="HW240">
        <v>0</v>
      </c>
      <c r="HX240">
        <v>0</v>
      </c>
      <c r="HY240">
        <v>0</v>
      </c>
      <c r="HZ240">
        <v>0</v>
      </c>
      <c r="IA240">
        <v>0</v>
      </c>
      <c r="IB240">
        <v>0</v>
      </c>
      <c r="IC240">
        <v>0</v>
      </c>
      <c r="ID240">
        <v>0</v>
      </c>
      <c r="IE240">
        <v>0</v>
      </c>
      <c r="IF240">
        <v>0</v>
      </c>
      <c r="IG240">
        <v>0</v>
      </c>
      <c r="IH240">
        <v>0</v>
      </c>
      <c r="II240">
        <v>0</v>
      </c>
      <c r="IJ240">
        <v>0</v>
      </c>
      <c r="IK240">
        <v>0</v>
      </c>
      <c r="IL240">
        <v>0</v>
      </c>
      <c r="IM240">
        <v>0</v>
      </c>
      <c r="IN240">
        <v>0</v>
      </c>
      <c r="IO240">
        <v>0</v>
      </c>
      <c r="IP240">
        <v>0</v>
      </c>
      <c r="IQ240">
        <v>0</v>
      </c>
      <c r="IR240">
        <v>0</v>
      </c>
      <c r="IS240">
        <v>0</v>
      </c>
      <c r="IT240">
        <v>0</v>
      </c>
      <c r="IU240">
        <v>0</v>
      </c>
      <c r="IV240">
        <v>0</v>
      </c>
      <c r="IW240">
        <v>0</v>
      </c>
      <c r="IZ240">
        <v>1</v>
      </c>
      <c r="JA240">
        <v>0</v>
      </c>
      <c r="JB240">
        <v>0</v>
      </c>
      <c r="JC240">
        <v>0</v>
      </c>
      <c r="JD240">
        <v>0</v>
      </c>
      <c r="JE240">
        <v>0</v>
      </c>
      <c r="JF240">
        <v>0</v>
      </c>
      <c r="JG240">
        <v>0</v>
      </c>
      <c r="JH240">
        <v>0</v>
      </c>
      <c r="JI240">
        <v>0</v>
      </c>
      <c r="JJ240">
        <v>0</v>
      </c>
      <c r="JL240">
        <v>1</v>
      </c>
      <c r="JM240" cm="1">
        <f t="array" ref="JM240">IF(OR(JN240:JQ240 &lt;&gt; ""), 1, 0)</f>
        <v>1</v>
      </c>
      <c r="JN240">
        <v>1</v>
      </c>
      <c r="JO240">
        <v>1</v>
      </c>
      <c r="JP240">
        <v>1</v>
      </c>
      <c r="JQ240">
        <v>1</v>
      </c>
      <c r="JR240" t="s">
        <v>996</v>
      </c>
    </row>
    <row r="241" spans="1:278" x14ac:dyDescent="0.35">
      <c r="A241">
        <v>376650</v>
      </c>
      <c r="C241">
        <v>1</v>
      </c>
      <c r="D241" t="s">
        <v>1218</v>
      </c>
      <c r="E241" t="str">
        <f>_xlfn.XLOOKUP(I241, [1]SchoolDistrictStudyWODuplicates!$K:$K, [1]SchoolDistrictStudyWODuplicates!$E:$E, "")</f>
        <v/>
      </c>
      <c r="G241" t="s">
        <v>1219</v>
      </c>
      <c r="H241" s="5" t="e">
        <f>_xlfn.XLOOKUP(A241,#REF!,#REF!, "No")</f>
        <v>#REF!</v>
      </c>
      <c r="I241" s="7">
        <v>5102610</v>
      </c>
      <c r="J241" s="5" t="e">
        <f>_xlfn.XLOOKUP(I241,#REF!,#REF!,"Not Determined")</f>
        <v>#REF!</v>
      </c>
      <c r="K241" s="5" t="s">
        <v>1167</v>
      </c>
      <c r="L241" t="s">
        <v>1220</v>
      </c>
      <c r="M241" s="13" t="e">
        <f>_xlfn.XLOOKUP(I241,#REF!,#REF!, "No")</f>
        <v>#REF!</v>
      </c>
      <c r="N241" s="5" t="str">
        <f t="shared" si="44"/>
        <v>No</v>
      </c>
      <c r="O241" s="5" t="str">
        <f t="shared" si="45"/>
        <v>Yes</v>
      </c>
      <c r="P241" s="5" t="str">
        <f t="shared" si="46"/>
        <v>Yes</v>
      </c>
      <c r="Q241" s="5" t="str">
        <f t="shared" si="47"/>
        <v>Yes</v>
      </c>
      <c r="R241" s="5" t="str">
        <f t="shared" si="48"/>
        <v>Yes</v>
      </c>
      <c r="S241" s="5" t="str">
        <f t="shared" si="49"/>
        <v>Yes</v>
      </c>
      <c r="T241" s="5" t="str">
        <f t="shared" si="50"/>
        <v>Yes</v>
      </c>
      <c r="U241" s="5" t="str">
        <f t="shared" si="51"/>
        <v>Yes</v>
      </c>
      <c r="V241" s="5" t="str" cm="1">
        <f t="array" ref="V241">IF(OR(DB241:DG241 =1), "Yes", "No")</f>
        <v>No</v>
      </c>
      <c r="W241" s="5" t="str">
        <f t="shared" si="52"/>
        <v>Yes</v>
      </c>
      <c r="X241" s="5" t="str">
        <f t="shared" si="53"/>
        <v>No</v>
      </c>
      <c r="Y241" s="5" t="str">
        <f t="shared" si="54"/>
        <v>No</v>
      </c>
      <c r="Z241">
        <v>3</v>
      </c>
      <c r="AB241">
        <v>0</v>
      </c>
      <c r="AC241">
        <v>0</v>
      </c>
      <c r="AD241">
        <v>1</v>
      </c>
      <c r="AE241">
        <v>0</v>
      </c>
      <c r="AF241">
        <v>0</v>
      </c>
      <c r="AG241">
        <v>0</v>
      </c>
      <c r="AH241">
        <v>0</v>
      </c>
      <c r="AI241">
        <v>0</v>
      </c>
      <c r="AJ241">
        <v>0</v>
      </c>
      <c r="AK241">
        <v>1</v>
      </c>
      <c r="AM241">
        <v>1</v>
      </c>
      <c r="AN241">
        <v>1</v>
      </c>
      <c r="AO241">
        <v>1</v>
      </c>
      <c r="AP241">
        <v>1</v>
      </c>
      <c r="AQ241">
        <v>69</v>
      </c>
      <c r="AR241">
        <v>0</v>
      </c>
      <c r="AS241">
        <v>1</v>
      </c>
      <c r="AT241">
        <v>69</v>
      </c>
      <c r="AV241">
        <v>1</v>
      </c>
      <c r="AW241">
        <v>1</v>
      </c>
      <c r="AX241">
        <v>0</v>
      </c>
      <c r="AY241">
        <v>0</v>
      </c>
      <c r="AZ241">
        <v>0</v>
      </c>
      <c r="BA241">
        <v>0</v>
      </c>
      <c r="BC241">
        <v>1</v>
      </c>
      <c r="BE241">
        <v>1</v>
      </c>
      <c r="BG241">
        <v>1</v>
      </c>
      <c r="BH241">
        <v>1</v>
      </c>
      <c r="BI241">
        <v>1</v>
      </c>
      <c r="BJ241">
        <v>2</v>
      </c>
      <c r="BL241">
        <v>2</v>
      </c>
      <c r="BM241">
        <v>1</v>
      </c>
      <c r="BN241">
        <v>1</v>
      </c>
      <c r="BO241">
        <v>1</v>
      </c>
      <c r="BP241">
        <v>1</v>
      </c>
      <c r="BQ241">
        <v>1</v>
      </c>
      <c r="BR241">
        <v>1</v>
      </c>
      <c r="BS241">
        <v>0</v>
      </c>
      <c r="BT241">
        <v>0</v>
      </c>
      <c r="BV241">
        <v>0</v>
      </c>
      <c r="BW241">
        <v>1</v>
      </c>
      <c r="BX241">
        <v>0</v>
      </c>
      <c r="BY241">
        <v>0</v>
      </c>
      <c r="BZ241">
        <v>0</v>
      </c>
      <c r="CA241">
        <v>0</v>
      </c>
      <c r="CB241">
        <v>0</v>
      </c>
      <c r="CC241">
        <v>0</v>
      </c>
      <c r="CD241">
        <v>0</v>
      </c>
      <c r="CE241">
        <v>0</v>
      </c>
      <c r="CF241">
        <v>0</v>
      </c>
      <c r="CG241">
        <v>0</v>
      </c>
      <c r="CH241">
        <v>0</v>
      </c>
      <c r="CI241">
        <v>0</v>
      </c>
      <c r="CJ241">
        <v>0</v>
      </c>
      <c r="CK241">
        <v>0</v>
      </c>
      <c r="CL241">
        <v>0</v>
      </c>
      <c r="CN241">
        <v>2</v>
      </c>
      <c r="CO241">
        <v>3</v>
      </c>
      <c r="CP241" t="s">
        <v>310</v>
      </c>
      <c r="CQ241">
        <v>3</v>
      </c>
      <c r="CR241">
        <v>3</v>
      </c>
      <c r="EB241">
        <v>1</v>
      </c>
      <c r="EC241">
        <v>1</v>
      </c>
      <c r="ED241">
        <v>0</v>
      </c>
      <c r="EE241">
        <v>1</v>
      </c>
      <c r="EF241">
        <v>0</v>
      </c>
      <c r="EG241">
        <v>1</v>
      </c>
      <c r="EH241">
        <v>0</v>
      </c>
      <c r="EI241">
        <v>1</v>
      </c>
      <c r="EJ241">
        <v>0</v>
      </c>
      <c r="EK241">
        <v>0</v>
      </c>
      <c r="EM241">
        <v>0</v>
      </c>
      <c r="EN241">
        <v>1</v>
      </c>
      <c r="EO241">
        <v>1</v>
      </c>
      <c r="EP241">
        <v>1</v>
      </c>
      <c r="EQ241">
        <v>0</v>
      </c>
      <c r="ER241">
        <v>0</v>
      </c>
      <c r="ES241">
        <v>0</v>
      </c>
      <c r="ET241">
        <v>0</v>
      </c>
      <c r="EU241">
        <v>0</v>
      </c>
      <c r="EV241">
        <v>0</v>
      </c>
      <c r="EW241">
        <v>0</v>
      </c>
      <c r="EX241">
        <v>0</v>
      </c>
      <c r="EY241">
        <v>0</v>
      </c>
      <c r="FB241" t="s">
        <v>274</v>
      </c>
      <c r="FC241">
        <v>1</v>
      </c>
      <c r="FD241">
        <v>0</v>
      </c>
      <c r="FE241">
        <v>0</v>
      </c>
      <c r="FF241">
        <v>0</v>
      </c>
      <c r="FG241">
        <v>0</v>
      </c>
      <c r="FH241">
        <v>0</v>
      </c>
      <c r="FI241">
        <v>0</v>
      </c>
      <c r="FJ241">
        <v>0</v>
      </c>
      <c r="FK241">
        <v>0</v>
      </c>
      <c r="FL241">
        <v>0</v>
      </c>
      <c r="FM241">
        <v>0</v>
      </c>
      <c r="FN241">
        <v>0</v>
      </c>
      <c r="FO241">
        <v>0</v>
      </c>
      <c r="FP241">
        <v>0</v>
      </c>
      <c r="FQ241">
        <v>0</v>
      </c>
      <c r="FR241">
        <v>0</v>
      </c>
      <c r="FS241">
        <v>0</v>
      </c>
      <c r="FT241">
        <v>0</v>
      </c>
      <c r="FU241">
        <v>0</v>
      </c>
      <c r="FV241">
        <v>0</v>
      </c>
      <c r="FW241">
        <v>0</v>
      </c>
      <c r="FX241">
        <v>0</v>
      </c>
      <c r="FY241" t="s">
        <v>1221</v>
      </c>
      <c r="FZ241">
        <v>0</v>
      </c>
      <c r="GA241">
        <v>0</v>
      </c>
      <c r="GB241">
        <v>0</v>
      </c>
      <c r="GC241">
        <v>0</v>
      </c>
      <c r="GD241">
        <v>0</v>
      </c>
      <c r="GE241">
        <v>0</v>
      </c>
      <c r="GF241">
        <v>0</v>
      </c>
      <c r="GG241">
        <v>0</v>
      </c>
      <c r="GH241">
        <v>0</v>
      </c>
      <c r="GI241">
        <v>0</v>
      </c>
      <c r="GJ241">
        <v>0</v>
      </c>
      <c r="GK241">
        <v>0</v>
      </c>
      <c r="GL241">
        <v>0</v>
      </c>
      <c r="GM241">
        <v>0</v>
      </c>
      <c r="GN241">
        <v>0</v>
      </c>
      <c r="GO241">
        <v>0</v>
      </c>
      <c r="GP241">
        <v>0</v>
      </c>
      <c r="GQ241">
        <v>1</v>
      </c>
      <c r="GR241">
        <v>0</v>
      </c>
      <c r="IZ241">
        <v>1</v>
      </c>
      <c r="JA241">
        <v>0</v>
      </c>
      <c r="JB241">
        <v>0</v>
      </c>
      <c r="JC241">
        <v>0</v>
      </c>
      <c r="JD241">
        <v>0</v>
      </c>
      <c r="JE241">
        <v>0</v>
      </c>
      <c r="JF241">
        <v>0</v>
      </c>
      <c r="JG241">
        <v>0</v>
      </c>
      <c r="JH241">
        <v>0</v>
      </c>
      <c r="JI241">
        <v>0</v>
      </c>
      <c r="JJ241">
        <v>0</v>
      </c>
      <c r="JL241">
        <v>1</v>
      </c>
      <c r="JM241" cm="1">
        <f t="array" ref="JM241">IF(OR(JN241:JQ241 &lt;&gt; ""), 1, 0)</f>
        <v>1</v>
      </c>
      <c r="JN241">
        <v>1</v>
      </c>
      <c r="JO241">
        <v>1</v>
      </c>
      <c r="JP241">
        <v>0</v>
      </c>
      <c r="JQ241">
        <v>0</v>
      </c>
    </row>
    <row r="242" spans="1:278" x14ac:dyDescent="0.35">
      <c r="A242">
        <v>396936</v>
      </c>
      <c r="C242">
        <v>1</v>
      </c>
      <c r="D242" t="s">
        <v>1222</v>
      </c>
      <c r="E242" t="str">
        <f>_xlfn.XLOOKUP(I242, [1]SchoolDistrictStudyWODuplicates!$K:$K, [1]SchoolDistrictStudyWODuplicates!$E:$E, "")</f>
        <v/>
      </c>
      <c r="G242" t="s">
        <v>1223</v>
      </c>
      <c r="H242" s="5" t="e">
        <f>_xlfn.XLOOKUP(A242,#REF!,#REF!, "No")</f>
        <v>#REF!</v>
      </c>
      <c r="I242" s="7">
        <v>5103130</v>
      </c>
      <c r="J242" s="5" t="e">
        <f>_xlfn.XLOOKUP(I242,#REF!,#REF!,"Not Determined")</f>
        <v>#REF!</v>
      </c>
      <c r="K242" s="5" t="s">
        <v>1167</v>
      </c>
      <c r="L242" t="s">
        <v>1192</v>
      </c>
      <c r="M242" s="13" t="e">
        <f>_xlfn.XLOOKUP(I242,#REF!,#REF!, "No")</f>
        <v>#REF!</v>
      </c>
      <c r="N242" s="5" t="str">
        <f t="shared" si="44"/>
        <v>No</v>
      </c>
      <c r="O242" s="5" t="str">
        <f t="shared" si="45"/>
        <v>Yes</v>
      </c>
      <c r="P242" s="5" t="str">
        <f t="shared" si="46"/>
        <v>No</v>
      </c>
      <c r="Q242" s="5" t="str">
        <f t="shared" si="47"/>
        <v>No</v>
      </c>
      <c r="R242" s="5" t="str">
        <f t="shared" si="48"/>
        <v>No</v>
      </c>
      <c r="S242" s="5" t="str">
        <f t="shared" si="49"/>
        <v>No</v>
      </c>
      <c r="T242" s="5" t="str">
        <f t="shared" si="50"/>
        <v>No</v>
      </c>
      <c r="U242" s="5" t="str">
        <f t="shared" si="51"/>
        <v>No</v>
      </c>
      <c r="V242" s="5" t="str" cm="1">
        <f t="array" ref="V242">IF(OR(DB242:DG242 =1), "Yes", "No")</f>
        <v>No</v>
      </c>
      <c r="W242" s="5" t="str">
        <f t="shared" si="52"/>
        <v>No</v>
      </c>
      <c r="X242" s="5" t="str">
        <f t="shared" si="53"/>
        <v>No</v>
      </c>
      <c r="Y242" s="5" t="str">
        <f t="shared" si="54"/>
        <v>No</v>
      </c>
      <c r="Z242">
        <v>10</v>
      </c>
      <c r="AB242">
        <v>1</v>
      </c>
      <c r="AC242">
        <v>0</v>
      </c>
      <c r="AD242">
        <v>1</v>
      </c>
      <c r="AE242">
        <v>0</v>
      </c>
      <c r="AF242">
        <v>0</v>
      </c>
      <c r="AG242">
        <v>0</v>
      </c>
      <c r="AH242">
        <v>0</v>
      </c>
      <c r="AI242">
        <v>1</v>
      </c>
      <c r="AJ242">
        <v>0</v>
      </c>
      <c r="AK242">
        <v>1</v>
      </c>
      <c r="AM242">
        <v>0</v>
      </c>
      <c r="AN242">
        <v>1</v>
      </c>
      <c r="AO242">
        <v>0</v>
      </c>
      <c r="AQ242">
        <v>950</v>
      </c>
      <c r="AT242">
        <v>950</v>
      </c>
      <c r="AV242">
        <v>1</v>
      </c>
      <c r="AW242">
        <v>0</v>
      </c>
      <c r="AX242">
        <v>0</v>
      </c>
      <c r="AY242">
        <v>0</v>
      </c>
      <c r="AZ242">
        <v>0</v>
      </c>
      <c r="BA242">
        <v>0</v>
      </c>
      <c r="BC242">
        <v>1</v>
      </c>
      <c r="BE242">
        <v>1</v>
      </c>
      <c r="BG242">
        <v>1</v>
      </c>
      <c r="BH242">
        <v>2</v>
      </c>
      <c r="BI242">
        <v>5</v>
      </c>
      <c r="BJ242">
        <v>2</v>
      </c>
      <c r="BL242">
        <v>2</v>
      </c>
      <c r="BM242">
        <v>3</v>
      </c>
      <c r="BN242">
        <v>1</v>
      </c>
      <c r="BO242">
        <v>0</v>
      </c>
      <c r="BP242">
        <v>1</v>
      </c>
      <c r="BQ242">
        <v>0</v>
      </c>
      <c r="BR242">
        <v>0</v>
      </c>
      <c r="BS242">
        <v>1</v>
      </c>
      <c r="BT242">
        <v>0</v>
      </c>
      <c r="BV242">
        <v>0</v>
      </c>
      <c r="BW242">
        <v>0</v>
      </c>
      <c r="BX242">
        <v>0</v>
      </c>
      <c r="BY242">
        <v>0</v>
      </c>
      <c r="BZ242">
        <v>0</v>
      </c>
      <c r="CA242">
        <v>0</v>
      </c>
      <c r="CB242">
        <v>0</v>
      </c>
      <c r="CC242">
        <v>0</v>
      </c>
      <c r="CD242">
        <v>1</v>
      </c>
      <c r="CE242">
        <v>0</v>
      </c>
      <c r="CF242">
        <v>0</v>
      </c>
      <c r="CG242">
        <v>1</v>
      </c>
      <c r="CH242">
        <v>0</v>
      </c>
      <c r="CI242">
        <v>1</v>
      </c>
      <c r="CJ242">
        <v>0</v>
      </c>
      <c r="CK242">
        <v>0</v>
      </c>
      <c r="CL242">
        <v>0</v>
      </c>
      <c r="CN242">
        <v>11</v>
      </c>
      <c r="CO242">
        <v>4</v>
      </c>
      <c r="CQ242">
        <v>6</v>
      </c>
      <c r="CR242">
        <v>6</v>
      </c>
      <c r="EB242">
        <v>0</v>
      </c>
      <c r="EC242">
        <v>0</v>
      </c>
      <c r="ED242">
        <v>1</v>
      </c>
      <c r="EE242">
        <v>0</v>
      </c>
      <c r="EF242">
        <v>0</v>
      </c>
      <c r="EG242">
        <v>0</v>
      </c>
      <c r="EH242">
        <v>0</v>
      </c>
      <c r="EI242">
        <v>0</v>
      </c>
      <c r="EJ242">
        <v>0</v>
      </c>
      <c r="EK242">
        <v>0</v>
      </c>
      <c r="EM242">
        <v>0</v>
      </c>
      <c r="EN242">
        <v>0</v>
      </c>
      <c r="EO242">
        <v>0</v>
      </c>
      <c r="EP242">
        <v>1</v>
      </c>
      <c r="EQ242">
        <v>0</v>
      </c>
      <c r="ER242">
        <v>0</v>
      </c>
      <c r="ES242">
        <v>0</v>
      </c>
      <c r="ET242">
        <v>0</v>
      </c>
      <c r="EU242">
        <v>0</v>
      </c>
      <c r="EV242">
        <v>0</v>
      </c>
      <c r="EW242">
        <v>0</v>
      </c>
      <c r="EX242">
        <v>0</v>
      </c>
      <c r="EY242">
        <v>0</v>
      </c>
      <c r="IZ242">
        <v>1</v>
      </c>
      <c r="JA242">
        <v>1</v>
      </c>
      <c r="JB242">
        <v>1</v>
      </c>
      <c r="JC242">
        <v>0</v>
      </c>
      <c r="JD242">
        <v>0</v>
      </c>
      <c r="JE242">
        <v>0</v>
      </c>
      <c r="JF242">
        <v>0</v>
      </c>
      <c r="JG242">
        <v>0</v>
      </c>
      <c r="JH242">
        <v>0</v>
      </c>
      <c r="JI242">
        <v>0</v>
      </c>
      <c r="JJ242">
        <v>0</v>
      </c>
      <c r="JL242">
        <v>2</v>
      </c>
      <c r="JM242" cm="1">
        <f t="array" ref="JM242">IF(OR(JN242:JQ242 &lt;&gt; ""), 1, 0)</f>
        <v>0</v>
      </c>
    </row>
    <row r="243" spans="1:278" x14ac:dyDescent="0.35">
      <c r="A243">
        <v>385298</v>
      </c>
      <c r="C243">
        <v>1</v>
      </c>
      <c r="D243" t="s">
        <v>1224</v>
      </c>
      <c r="E243" t="str">
        <f>_xlfn.XLOOKUP(I243, [1]SchoolDistrictStudyWODuplicates!$K:$K, [1]SchoolDistrictStudyWODuplicates!$E:$E, "")</f>
        <v/>
      </c>
      <c r="G243" t="s">
        <v>1225</v>
      </c>
      <c r="H243" s="5" t="e">
        <f>_xlfn.XLOOKUP(A243,#REF!,#REF!, "No")</f>
        <v>#REF!</v>
      </c>
      <c r="I243" s="7">
        <v>5300150</v>
      </c>
      <c r="J243" s="5" t="e">
        <f>_xlfn.XLOOKUP(I243,#REF!,#REF!,"Not Determined")</f>
        <v>#REF!</v>
      </c>
      <c r="K243" s="5" t="s">
        <v>1233</v>
      </c>
      <c r="L243" t="s">
        <v>1226</v>
      </c>
      <c r="M243" s="13" t="e">
        <f>_xlfn.XLOOKUP(I243,#REF!,#REF!, "No")</f>
        <v>#REF!</v>
      </c>
      <c r="N243" s="5" t="str">
        <f t="shared" si="44"/>
        <v>No</v>
      </c>
      <c r="O243" s="5" t="str">
        <f t="shared" si="45"/>
        <v>Yes</v>
      </c>
      <c r="P243" s="5" t="str">
        <f t="shared" si="46"/>
        <v>Yes</v>
      </c>
      <c r="Q243" s="5" t="str">
        <f t="shared" si="47"/>
        <v>Yes</v>
      </c>
      <c r="R243" s="5" t="str">
        <f t="shared" si="48"/>
        <v>Yes</v>
      </c>
      <c r="S243" s="5" t="str">
        <f t="shared" si="49"/>
        <v>Yes</v>
      </c>
      <c r="T243" s="5" t="str">
        <f t="shared" si="50"/>
        <v>Yes</v>
      </c>
      <c r="U243" s="5" t="str">
        <f t="shared" si="51"/>
        <v>Yes</v>
      </c>
      <c r="V243" s="5" t="str" cm="1">
        <f t="array" ref="V243">IF(OR(DB243:DG243 =1), "Yes", "No")</f>
        <v>No</v>
      </c>
      <c r="W243" s="5" t="str">
        <f t="shared" si="52"/>
        <v>Yes</v>
      </c>
      <c r="X243" s="5" t="str">
        <f t="shared" si="53"/>
        <v>No</v>
      </c>
      <c r="Y243" s="5" t="str">
        <f t="shared" si="54"/>
        <v>No</v>
      </c>
      <c r="Z243">
        <v>13</v>
      </c>
      <c r="AB243">
        <v>0</v>
      </c>
      <c r="AC243">
        <v>0</v>
      </c>
      <c r="AD243">
        <v>1</v>
      </c>
      <c r="AE243">
        <v>0</v>
      </c>
      <c r="AF243">
        <v>0</v>
      </c>
      <c r="AG243">
        <v>0</v>
      </c>
      <c r="AH243">
        <v>0</v>
      </c>
      <c r="AI243">
        <v>0</v>
      </c>
      <c r="AJ243">
        <v>0</v>
      </c>
      <c r="AK243">
        <v>1</v>
      </c>
      <c r="AM243">
        <v>1</v>
      </c>
      <c r="AN243">
        <v>1</v>
      </c>
      <c r="AO243">
        <v>1</v>
      </c>
      <c r="AP243">
        <v>3</v>
      </c>
      <c r="AQ243">
        <v>8</v>
      </c>
      <c r="AR243">
        <v>16</v>
      </c>
      <c r="AS243">
        <v>3</v>
      </c>
      <c r="AT243">
        <v>8</v>
      </c>
      <c r="AU243">
        <v>16</v>
      </c>
      <c r="AV243">
        <v>1</v>
      </c>
      <c r="AW243">
        <v>1</v>
      </c>
      <c r="AX243">
        <v>0</v>
      </c>
      <c r="AY243">
        <v>1</v>
      </c>
      <c r="AZ243">
        <v>0</v>
      </c>
      <c r="BA243">
        <v>0</v>
      </c>
      <c r="BC243">
        <v>1</v>
      </c>
      <c r="BE243">
        <v>1</v>
      </c>
      <c r="BG243">
        <v>1</v>
      </c>
      <c r="BH243">
        <v>1</v>
      </c>
      <c r="BI243">
        <v>2</v>
      </c>
      <c r="BJ243">
        <v>1</v>
      </c>
      <c r="BK243">
        <v>4</v>
      </c>
      <c r="BL243">
        <v>2</v>
      </c>
      <c r="BM243">
        <v>1</v>
      </c>
      <c r="BN243">
        <v>1</v>
      </c>
      <c r="BO243">
        <v>1</v>
      </c>
      <c r="BP243">
        <v>1</v>
      </c>
      <c r="BQ243">
        <v>1</v>
      </c>
      <c r="BR243">
        <v>1</v>
      </c>
      <c r="BS243">
        <v>1</v>
      </c>
      <c r="BT243">
        <v>0</v>
      </c>
      <c r="BV243">
        <v>1</v>
      </c>
      <c r="BW243">
        <v>0</v>
      </c>
      <c r="BX243">
        <v>1</v>
      </c>
      <c r="BY243">
        <v>1</v>
      </c>
      <c r="BZ243">
        <v>1</v>
      </c>
      <c r="CA243">
        <v>0</v>
      </c>
      <c r="CB243">
        <v>0</v>
      </c>
      <c r="CC243">
        <v>0</v>
      </c>
      <c r="CD243">
        <v>1</v>
      </c>
      <c r="CE243">
        <v>0</v>
      </c>
      <c r="CF243">
        <v>1</v>
      </c>
      <c r="CG243">
        <v>1</v>
      </c>
      <c r="CH243">
        <v>0</v>
      </c>
      <c r="CI243">
        <v>1</v>
      </c>
      <c r="CJ243">
        <v>0</v>
      </c>
      <c r="CK243">
        <v>0</v>
      </c>
      <c r="CL243">
        <v>0</v>
      </c>
      <c r="CN243">
        <v>9</v>
      </c>
      <c r="CO243">
        <v>3</v>
      </c>
      <c r="CP243" t="s">
        <v>1227</v>
      </c>
      <c r="CQ243">
        <v>4</v>
      </c>
      <c r="CR243">
        <v>4</v>
      </c>
      <c r="EB243">
        <v>0</v>
      </c>
      <c r="EC243">
        <v>0</v>
      </c>
      <c r="ED243">
        <v>1</v>
      </c>
      <c r="EE243">
        <v>1</v>
      </c>
      <c r="EF243">
        <v>0</v>
      </c>
      <c r="EG243">
        <v>1</v>
      </c>
      <c r="EH243">
        <v>1</v>
      </c>
      <c r="EI243">
        <v>0</v>
      </c>
      <c r="EJ243">
        <v>0</v>
      </c>
      <c r="EK243">
        <v>0</v>
      </c>
      <c r="EM243">
        <v>0</v>
      </c>
      <c r="EN243">
        <v>1</v>
      </c>
      <c r="EO243">
        <v>1</v>
      </c>
      <c r="EP243">
        <v>0</v>
      </c>
      <c r="EQ243">
        <v>0</v>
      </c>
      <c r="ER243">
        <v>0</v>
      </c>
      <c r="ES243">
        <v>0</v>
      </c>
      <c r="ET243">
        <v>1</v>
      </c>
      <c r="EU243">
        <v>1</v>
      </c>
      <c r="EV243">
        <v>1</v>
      </c>
      <c r="EW243">
        <v>1</v>
      </c>
      <c r="EX243">
        <v>0</v>
      </c>
      <c r="EY243">
        <v>0</v>
      </c>
      <c r="FB243" t="s">
        <v>1188</v>
      </c>
      <c r="FC243">
        <v>1</v>
      </c>
      <c r="FD243">
        <v>1</v>
      </c>
      <c r="FE243">
        <v>0</v>
      </c>
      <c r="FF243">
        <v>0</v>
      </c>
      <c r="FG243">
        <v>0</v>
      </c>
      <c r="FH243">
        <v>0</v>
      </c>
      <c r="FI243">
        <v>0</v>
      </c>
      <c r="FJ243">
        <v>0</v>
      </c>
      <c r="FK243">
        <v>0</v>
      </c>
      <c r="FL243">
        <v>0</v>
      </c>
      <c r="FM243">
        <v>0</v>
      </c>
      <c r="FN243">
        <v>0</v>
      </c>
      <c r="FO243">
        <v>0</v>
      </c>
      <c r="FP243">
        <v>0</v>
      </c>
      <c r="FQ243">
        <v>0</v>
      </c>
      <c r="FR243">
        <v>0</v>
      </c>
      <c r="FS243">
        <v>0</v>
      </c>
      <c r="FT243">
        <v>0</v>
      </c>
      <c r="FU243">
        <v>0</v>
      </c>
      <c r="FV243">
        <v>0</v>
      </c>
      <c r="FW243">
        <v>0</v>
      </c>
      <c r="FX243">
        <v>0</v>
      </c>
      <c r="FY243" t="s">
        <v>1228</v>
      </c>
      <c r="FZ243">
        <v>1</v>
      </c>
      <c r="GA243">
        <v>0</v>
      </c>
      <c r="GB243">
        <v>0</v>
      </c>
      <c r="GC243">
        <v>0</v>
      </c>
      <c r="GD243">
        <v>0</v>
      </c>
      <c r="GE243">
        <v>0</v>
      </c>
      <c r="GF243">
        <v>0</v>
      </c>
      <c r="GG243">
        <v>0</v>
      </c>
      <c r="GH243">
        <v>0</v>
      </c>
      <c r="GI243">
        <v>0</v>
      </c>
      <c r="GJ243">
        <v>0</v>
      </c>
      <c r="GK243">
        <v>0</v>
      </c>
      <c r="GL243">
        <v>0</v>
      </c>
      <c r="GM243">
        <v>0</v>
      </c>
      <c r="GN243">
        <v>0</v>
      </c>
      <c r="GO243">
        <v>0</v>
      </c>
      <c r="GP243">
        <v>0</v>
      </c>
      <c r="GQ243">
        <v>0</v>
      </c>
      <c r="GR243">
        <v>0</v>
      </c>
      <c r="HC243" t="s">
        <v>1229</v>
      </c>
      <c r="HD243">
        <v>0</v>
      </c>
      <c r="HE243">
        <v>0</v>
      </c>
      <c r="HF243">
        <v>0</v>
      </c>
      <c r="HG243">
        <v>0</v>
      </c>
      <c r="HH243">
        <v>0</v>
      </c>
      <c r="HI243">
        <v>0</v>
      </c>
      <c r="HJ243">
        <v>0</v>
      </c>
      <c r="HK243">
        <v>0</v>
      </c>
      <c r="HL243">
        <v>0</v>
      </c>
      <c r="HM243">
        <v>0</v>
      </c>
      <c r="HN243">
        <v>0</v>
      </c>
      <c r="HO243">
        <v>0</v>
      </c>
      <c r="HP243">
        <v>0</v>
      </c>
      <c r="HQ243">
        <v>0</v>
      </c>
      <c r="HR243">
        <v>0</v>
      </c>
      <c r="HS243">
        <v>0</v>
      </c>
      <c r="HT243">
        <v>0</v>
      </c>
      <c r="HU243">
        <v>0</v>
      </c>
      <c r="HV243">
        <v>0</v>
      </c>
      <c r="HW243">
        <v>0</v>
      </c>
      <c r="HX243">
        <v>0</v>
      </c>
      <c r="HY243">
        <v>0</v>
      </c>
      <c r="HZ243">
        <v>0</v>
      </c>
      <c r="IA243">
        <v>0</v>
      </c>
      <c r="IB243">
        <v>0</v>
      </c>
      <c r="IC243">
        <v>0</v>
      </c>
      <c r="ID243">
        <v>0</v>
      </c>
      <c r="IE243">
        <v>0</v>
      </c>
      <c r="IF243">
        <v>0</v>
      </c>
      <c r="IG243">
        <v>0</v>
      </c>
      <c r="IH243">
        <v>0</v>
      </c>
      <c r="II243">
        <v>0</v>
      </c>
      <c r="IJ243">
        <v>0</v>
      </c>
      <c r="IK243">
        <v>0</v>
      </c>
      <c r="IL243">
        <v>0</v>
      </c>
      <c r="IM243">
        <v>0</v>
      </c>
      <c r="IN243">
        <v>0</v>
      </c>
      <c r="IO243">
        <v>0</v>
      </c>
      <c r="IP243">
        <v>0</v>
      </c>
      <c r="IQ243">
        <v>0</v>
      </c>
      <c r="IR243">
        <v>0</v>
      </c>
      <c r="IS243">
        <v>0</v>
      </c>
      <c r="IT243">
        <v>0</v>
      </c>
      <c r="IU243">
        <v>0</v>
      </c>
      <c r="IV243">
        <v>1</v>
      </c>
      <c r="IW243">
        <v>0</v>
      </c>
      <c r="IZ243">
        <v>1</v>
      </c>
      <c r="JA243">
        <v>0</v>
      </c>
      <c r="JB243">
        <v>1</v>
      </c>
      <c r="JC243">
        <v>0</v>
      </c>
      <c r="JD243">
        <v>0</v>
      </c>
      <c r="JE243">
        <v>0</v>
      </c>
      <c r="JF243">
        <v>1</v>
      </c>
      <c r="JG243">
        <v>0</v>
      </c>
      <c r="JH243">
        <v>0</v>
      </c>
      <c r="JI243">
        <v>0</v>
      </c>
      <c r="JJ243">
        <v>0</v>
      </c>
      <c r="JL243">
        <v>1</v>
      </c>
      <c r="JM243" cm="1">
        <f t="array" ref="JM243">IF(OR(JN243:JQ243 &lt;&gt; ""), 1, 0)</f>
        <v>1</v>
      </c>
      <c r="JN243">
        <v>1</v>
      </c>
      <c r="JO243">
        <v>1</v>
      </c>
      <c r="JP243">
        <v>1</v>
      </c>
      <c r="JQ243">
        <v>1</v>
      </c>
      <c r="JR243" t="s">
        <v>1230</v>
      </c>
    </row>
    <row r="244" spans="1:278" x14ac:dyDescent="0.35">
      <c r="A244">
        <v>345987</v>
      </c>
      <c r="C244">
        <v>1</v>
      </c>
      <c r="D244" t="s">
        <v>1231</v>
      </c>
      <c r="E244" t="str">
        <f>_xlfn.XLOOKUP(I244, [1]SchoolDistrictStudyWODuplicates!$K:$K, [1]SchoolDistrictStudyWODuplicates!$E:$E, "")</f>
        <v>Clover Park School District</v>
      </c>
      <c r="G244" t="s">
        <v>1232</v>
      </c>
      <c r="H244" s="5" t="e">
        <f>_xlfn.XLOOKUP(A244,#REF!,#REF!, "No")</f>
        <v>#REF!</v>
      </c>
      <c r="I244" s="7">
        <v>5301410</v>
      </c>
      <c r="J244" s="5" t="e">
        <f>_xlfn.XLOOKUP(I244,#REF!,#REF!,"Not Determined")</f>
        <v>#REF!</v>
      </c>
      <c r="K244" s="5" t="s">
        <v>1233</v>
      </c>
      <c r="L244" t="s">
        <v>1233</v>
      </c>
      <c r="M244" s="13" t="e">
        <f>_xlfn.XLOOKUP(I244,#REF!,#REF!, "No")</f>
        <v>#REF!</v>
      </c>
      <c r="N244" s="5" t="str">
        <f t="shared" si="44"/>
        <v>No</v>
      </c>
      <c r="O244" s="5" t="str">
        <f t="shared" si="45"/>
        <v>Yes</v>
      </c>
      <c r="P244" s="5" t="str">
        <f t="shared" si="46"/>
        <v>Yes</v>
      </c>
      <c r="Q244" s="5" t="str">
        <f t="shared" si="47"/>
        <v>Yes</v>
      </c>
      <c r="R244" s="5" t="str">
        <f t="shared" si="48"/>
        <v>Yes</v>
      </c>
      <c r="S244" s="5" t="str">
        <f t="shared" si="49"/>
        <v>Yes</v>
      </c>
      <c r="T244" s="5" t="str">
        <f t="shared" si="50"/>
        <v>Yes</v>
      </c>
      <c r="U244" s="5" t="str">
        <f t="shared" si="51"/>
        <v>Yes</v>
      </c>
      <c r="V244" s="5" t="str" cm="1">
        <f t="array" ref="V244">IF(OR(DB244:DG244 =1), "Yes", "No")</f>
        <v>No</v>
      </c>
      <c r="W244" s="5" t="str">
        <f t="shared" si="52"/>
        <v>Yes</v>
      </c>
      <c r="X244" s="5" t="str">
        <f t="shared" si="53"/>
        <v>No</v>
      </c>
      <c r="Y244" s="5" t="str">
        <f t="shared" si="54"/>
        <v>No</v>
      </c>
      <c r="Z244">
        <v>3</v>
      </c>
      <c r="AB244">
        <v>0</v>
      </c>
      <c r="AC244">
        <v>0</v>
      </c>
      <c r="AD244">
        <v>1</v>
      </c>
      <c r="AE244">
        <v>1</v>
      </c>
      <c r="AF244">
        <v>1</v>
      </c>
      <c r="AG244">
        <v>1</v>
      </c>
      <c r="AH244">
        <v>0</v>
      </c>
      <c r="AI244">
        <v>0</v>
      </c>
      <c r="AJ244">
        <v>0</v>
      </c>
      <c r="AK244">
        <v>1</v>
      </c>
      <c r="AM244">
        <v>1</v>
      </c>
      <c r="AN244">
        <v>1</v>
      </c>
      <c r="AO244">
        <v>1</v>
      </c>
      <c r="AP244">
        <v>1</v>
      </c>
      <c r="AQ244">
        <v>18</v>
      </c>
      <c r="AR244">
        <v>90</v>
      </c>
      <c r="AS244">
        <v>1</v>
      </c>
      <c r="AT244">
        <v>18</v>
      </c>
      <c r="AU244">
        <v>90</v>
      </c>
      <c r="AV244">
        <v>1</v>
      </c>
      <c r="AW244">
        <v>1</v>
      </c>
      <c r="AX244">
        <v>0</v>
      </c>
      <c r="AY244">
        <v>0</v>
      </c>
      <c r="AZ244">
        <v>0</v>
      </c>
      <c r="BA244">
        <v>0</v>
      </c>
      <c r="BC244">
        <v>1</v>
      </c>
      <c r="BE244">
        <v>1</v>
      </c>
      <c r="BG244">
        <v>1</v>
      </c>
      <c r="BH244">
        <v>1</v>
      </c>
      <c r="BI244">
        <v>1</v>
      </c>
      <c r="BJ244">
        <v>2</v>
      </c>
      <c r="BL244">
        <v>1</v>
      </c>
      <c r="BM244">
        <v>1</v>
      </c>
      <c r="BN244">
        <v>2</v>
      </c>
      <c r="BV244">
        <v>0</v>
      </c>
      <c r="BW244">
        <v>0</v>
      </c>
      <c r="BX244">
        <v>0</v>
      </c>
      <c r="BY244">
        <v>0</v>
      </c>
      <c r="BZ244">
        <v>0</v>
      </c>
      <c r="CA244">
        <v>0</v>
      </c>
      <c r="CB244">
        <v>0</v>
      </c>
      <c r="CC244">
        <v>0</v>
      </c>
      <c r="CD244">
        <v>1</v>
      </c>
      <c r="CE244">
        <v>0</v>
      </c>
      <c r="CF244">
        <v>1</v>
      </c>
      <c r="CG244">
        <v>1</v>
      </c>
      <c r="CH244">
        <v>0</v>
      </c>
      <c r="CI244">
        <v>0</v>
      </c>
      <c r="CJ244">
        <v>0</v>
      </c>
      <c r="CK244">
        <v>0</v>
      </c>
      <c r="CL244">
        <v>0</v>
      </c>
      <c r="CN244">
        <v>9</v>
      </c>
      <c r="CO244">
        <v>3</v>
      </c>
      <c r="CP244" t="s">
        <v>1234</v>
      </c>
      <c r="CQ244">
        <v>4</v>
      </c>
      <c r="CR244">
        <v>3</v>
      </c>
      <c r="EB244">
        <v>0</v>
      </c>
      <c r="EC244">
        <v>1</v>
      </c>
      <c r="ED244">
        <v>1</v>
      </c>
      <c r="EE244">
        <v>0</v>
      </c>
      <c r="EF244">
        <v>0</v>
      </c>
      <c r="EG244">
        <v>1</v>
      </c>
      <c r="EH244">
        <v>0</v>
      </c>
      <c r="EI244">
        <v>0</v>
      </c>
      <c r="EJ244">
        <v>0</v>
      </c>
      <c r="EK244">
        <v>0</v>
      </c>
      <c r="EM244">
        <v>0</v>
      </c>
      <c r="EN244">
        <v>1</v>
      </c>
      <c r="EO244">
        <v>0</v>
      </c>
      <c r="EP244">
        <v>0</v>
      </c>
      <c r="EQ244">
        <v>0</v>
      </c>
      <c r="ER244">
        <v>0</v>
      </c>
      <c r="ES244">
        <v>0</v>
      </c>
      <c r="ET244">
        <v>0</v>
      </c>
      <c r="EU244">
        <v>0</v>
      </c>
      <c r="EV244">
        <v>0</v>
      </c>
      <c r="EW244">
        <v>1</v>
      </c>
      <c r="EX244">
        <v>0</v>
      </c>
      <c r="EY244">
        <v>0</v>
      </c>
      <c r="FB244" t="s">
        <v>1235</v>
      </c>
      <c r="FC244">
        <v>1</v>
      </c>
      <c r="FD244">
        <v>1</v>
      </c>
      <c r="FE244">
        <v>0</v>
      </c>
      <c r="FF244">
        <v>0</v>
      </c>
      <c r="FG244">
        <v>0</v>
      </c>
      <c r="FH244">
        <v>0</v>
      </c>
      <c r="FI244">
        <v>0</v>
      </c>
      <c r="FJ244">
        <v>0</v>
      </c>
      <c r="FK244">
        <v>0</v>
      </c>
      <c r="FL244">
        <v>0</v>
      </c>
      <c r="FM244">
        <v>0</v>
      </c>
      <c r="FN244">
        <v>0</v>
      </c>
      <c r="FO244">
        <v>0</v>
      </c>
      <c r="FP244">
        <v>0</v>
      </c>
      <c r="FQ244">
        <v>0</v>
      </c>
      <c r="FR244">
        <v>0</v>
      </c>
      <c r="FS244">
        <v>0</v>
      </c>
      <c r="FT244">
        <v>0</v>
      </c>
      <c r="FU244">
        <v>0</v>
      </c>
      <c r="FV244">
        <v>0</v>
      </c>
      <c r="FW244">
        <v>0</v>
      </c>
      <c r="FX244">
        <v>0</v>
      </c>
      <c r="IZ244">
        <v>1</v>
      </c>
      <c r="JA244">
        <v>0</v>
      </c>
      <c r="JB244">
        <v>1</v>
      </c>
      <c r="JC244">
        <v>0</v>
      </c>
      <c r="JD244">
        <v>0</v>
      </c>
      <c r="JE244">
        <v>0</v>
      </c>
      <c r="JF244">
        <v>0</v>
      </c>
      <c r="JG244">
        <v>0</v>
      </c>
      <c r="JH244">
        <v>0</v>
      </c>
      <c r="JI244">
        <v>0</v>
      </c>
      <c r="JJ244">
        <v>0</v>
      </c>
      <c r="JL244">
        <v>1</v>
      </c>
      <c r="JM244" cm="1">
        <f t="array" ref="JM244">IF(OR(JN244:JQ244 &lt;&gt; ""), 1, 0)</f>
        <v>1</v>
      </c>
      <c r="JN244">
        <v>1</v>
      </c>
      <c r="JO244">
        <v>1</v>
      </c>
      <c r="JP244">
        <v>0</v>
      </c>
      <c r="JQ244">
        <v>0</v>
      </c>
    </row>
    <row r="245" spans="1:278" x14ac:dyDescent="0.35">
      <c r="A245">
        <v>405354</v>
      </c>
      <c r="C245">
        <v>1</v>
      </c>
      <c r="D245" t="s">
        <v>1236</v>
      </c>
      <c r="E245" t="str">
        <f>_xlfn.XLOOKUP(I245, [1]SchoolDistrictStudyWODuplicates!$K:$K, [1]SchoolDistrictStudyWODuplicates!$E:$E, "")</f>
        <v/>
      </c>
      <c r="G245" t="s">
        <v>1237</v>
      </c>
      <c r="H245" s="5" t="e">
        <f>_xlfn.XLOOKUP(A245,#REF!,#REF!, "No")</f>
        <v>#REF!</v>
      </c>
      <c r="I245" s="7">
        <v>5304200</v>
      </c>
      <c r="J245" s="5" t="e">
        <f>_xlfn.XLOOKUP(I245,#REF!,#REF!,"Not Determined")</f>
        <v>#REF!</v>
      </c>
      <c r="K245" s="5" t="s">
        <v>1233</v>
      </c>
      <c r="L245" t="s">
        <v>1233</v>
      </c>
      <c r="M245" s="13" t="e">
        <f>_xlfn.XLOOKUP(I245,#REF!,#REF!, "No")</f>
        <v>#REF!</v>
      </c>
      <c r="N245" s="5" t="str">
        <f t="shared" si="44"/>
        <v>No</v>
      </c>
      <c r="O245" s="5" t="str">
        <f t="shared" si="45"/>
        <v>Yes</v>
      </c>
      <c r="P245" s="5" t="str">
        <f t="shared" si="46"/>
        <v>No</v>
      </c>
      <c r="Q245" s="5" t="str">
        <f t="shared" si="47"/>
        <v>No</v>
      </c>
      <c r="R245" s="5" t="str">
        <f t="shared" si="48"/>
        <v>Yes</v>
      </c>
      <c r="S245" s="5" t="str">
        <f t="shared" si="49"/>
        <v>Yes</v>
      </c>
      <c r="T245" s="5" t="str">
        <f t="shared" si="50"/>
        <v>Yes</v>
      </c>
      <c r="U245" s="5" t="str">
        <f t="shared" si="51"/>
        <v>Yes</v>
      </c>
      <c r="V245" s="5" t="str" cm="1">
        <f t="array" ref="V245">IF(OR(DB245:DG245 =1), "Yes", "No")</f>
        <v>No</v>
      </c>
      <c r="W245" s="5" t="str">
        <f t="shared" si="52"/>
        <v>No</v>
      </c>
      <c r="X245" s="5" t="str">
        <f t="shared" si="53"/>
        <v>No</v>
      </c>
      <c r="Y245" s="5" t="str">
        <f t="shared" si="54"/>
        <v>No</v>
      </c>
      <c r="Z245">
        <v>10</v>
      </c>
      <c r="AB245">
        <v>0</v>
      </c>
      <c r="AC245">
        <v>0</v>
      </c>
      <c r="AD245">
        <v>0</v>
      </c>
      <c r="AE245">
        <v>1</v>
      </c>
      <c r="AF245">
        <v>0</v>
      </c>
      <c r="AG245">
        <v>0</v>
      </c>
      <c r="AH245">
        <v>0</v>
      </c>
      <c r="AI245">
        <v>1</v>
      </c>
      <c r="AJ245">
        <v>0</v>
      </c>
      <c r="AK245">
        <v>1</v>
      </c>
      <c r="AM245">
        <v>1</v>
      </c>
      <c r="AN245">
        <v>1</v>
      </c>
      <c r="AO245">
        <v>1</v>
      </c>
      <c r="AP245">
        <v>20</v>
      </c>
      <c r="AQ245">
        <v>111</v>
      </c>
      <c r="AR245">
        <v>0</v>
      </c>
      <c r="AS245">
        <v>20</v>
      </c>
      <c r="AT245">
        <v>111</v>
      </c>
      <c r="AV245">
        <v>1</v>
      </c>
      <c r="AW245">
        <v>0</v>
      </c>
      <c r="AX245">
        <v>0</v>
      </c>
      <c r="AY245">
        <v>0</v>
      </c>
      <c r="AZ245">
        <v>0</v>
      </c>
      <c r="BA245">
        <v>0</v>
      </c>
      <c r="BC245">
        <v>5</v>
      </c>
      <c r="BE245">
        <v>1</v>
      </c>
      <c r="BG245">
        <v>1</v>
      </c>
      <c r="BH245">
        <v>2</v>
      </c>
      <c r="BI245">
        <v>5</v>
      </c>
      <c r="BJ245">
        <v>2</v>
      </c>
      <c r="BL245">
        <v>2</v>
      </c>
      <c r="BM245">
        <v>2</v>
      </c>
      <c r="BN245">
        <v>1</v>
      </c>
      <c r="BO245">
        <v>0</v>
      </c>
      <c r="BP245">
        <v>0</v>
      </c>
      <c r="BQ245">
        <v>1</v>
      </c>
      <c r="BR245">
        <v>1</v>
      </c>
      <c r="BS245">
        <v>0</v>
      </c>
      <c r="BT245">
        <v>0</v>
      </c>
      <c r="BV245">
        <v>0</v>
      </c>
      <c r="BW245">
        <v>0</v>
      </c>
      <c r="BX245">
        <v>0</v>
      </c>
      <c r="BY245">
        <v>0</v>
      </c>
      <c r="BZ245">
        <v>0</v>
      </c>
      <c r="CA245">
        <v>1</v>
      </c>
      <c r="CB245">
        <v>0</v>
      </c>
      <c r="CC245">
        <v>1</v>
      </c>
      <c r="CD245">
        <v>0</v>
      </c>
      <c r="CE245">
        <v>0</v>
      </c>
      <c r="CF245">
        <v>0</v>
      </c>
      <c r="CG245">
        <v>0</v>
      </c>
      <c r="CH245">
        <v>0</v>
      </c>
      <c r="CI245">
        <v>0</v>
      </c>
      <c r="CJ245">
        <v>0</v>
      </c>
      <c r="CK245">
        <v>0</v>
      </c>
      <c r="CL245">
        <v>0</v>
      </c>
      <c r="CN245">
        <v>6</v>
      </c>
      <c r="CO245">
        <v>3</v>
      </c>
      <c r="CP245" t="s">
        <v>1238</v>
      </c>
      <c r="CQ245">
        <v>3</v>
      </c>
      <c r="CR245">
        <v>4</v>
      </c>
      <c r="EB245">
        <v>0</v>
      </c>
      <c r="EC245">
        <v>1</v>
      </c>
      <c r="ED245">
        <v>1</v>
      </c>
      <c r="EE245">
        <v>0</v>
      </c>
      <c r="EF245">
        <v>0</v>
      </c>
      <c r="EG245">
        <v>1</v>
      </c>
      <c r="EH245">
        <v>0</v>
      </c>
      <c r="EI245">
        <v>0</v>
      </c>
      <c r="EJ245">
        <v>0</v>
      </c>
      <c r="EK245">
        <v>0</v>
      </c>
      <c r="EM245">
        <v>1</v>
      </c>
      <c r="EN245">
        <v>0</v>
      </c>
      <c r="EO245">
        <v>0</v>
      </c>
      <c r="EP245">
        <v>0</v>
      </c>
      <c r="EQ245">
        <v>0</v>
      </c>
      <c r="ER245">
        <v>0</v>
      </c>
      <c r="ES245">
        <v>0</v>
      </c>
      <c r="ET245">
        <v>0</v>
      </c>
      <c r="EU245">
        <v>0</v>
      </c>
      <c r="EV245">
        <v>0</v>
      </c>
      <c r="EW245">
        <v>0</v>
      </c>
      <c r="EX245">
        <v>0</v>
      </c>
      <c r="EY245">
        <v>0</v>
      </c>
      <c r="EZ245" t="s">
        <v>1239</v>
      </c>
      <c r="FA245">
        <v>9</v>
      </c>
      <c r="IZ245">
        <v>0</v>
      </c>
      <c r="JA245">
        <v>1</v>
      </c>
      <c r="JB245">
        <v>1</v>
      </c>
      <c r="JC245">
        <v>0</v>
      </c>
      <c r="JD245">
        <v>0</v>
      </c>
      <c r="JE245">
        <v>0</v>
      </c>
      <c r="JF245">
        <v>0</v>
      </c>
      <c r="JG245">
        <v>0</v>
      </c>
      <c r="JH245">
        <v>0</v>
      </c>
      <c r="JI245">
        <v>0</v>
      </c>
      <c r="JJ245">
        <v>0</v>
      </c>
      <c r="JL245">
        <v>2</v>
      </c>
      <c r="JM245" cm="1">
        <f t="array" ref="JM245">IF(OR(JN245:JQ245 &lt;&gt; ""), 1, 0)</f>
        <v>0</v>
      </c>
    </row>
    <row r="246" spans="1:278" x14ac:dyDescent="0.35">
      <c r="A246">
        <v>396932</v>
      </c>
      <c r="C246">
        <v>1</v>
      </c>
      <c r="D246" t="s">
        <v>1200</v>
      </c>
      <c r="E246" t="str">
        <f>_xlfn.XLOOKUP(I246, [1]SchoolDistrictStudyWODuplicates!$K:$K, [1]SchoolDistrictStudyWODuplicates!$E:$E, "")</f>
        <v/>
      </c>
      <c r="G246" t="s">
        <v>1201</v>
      </c>
      <c r="H246" s="5" t="e">
        <f>_xlfn.XLOOKUP(A246,#REF!,#REF!, "No")</f>
        <v>#REF!</v>
      </c>
      <c r="I246" s="7">
        <v>5101290</v>
      </c>
      <c r="J246" s="5" t="e">
        <f>_xlfn.XLOOKUP(I246,#REF!,#REF!,"Not Determined")</f>
        <v>#REF!</v>
      </c>
      <c r="K246" s="5" t="s">
        <v>1167</v>
      </c>
      <c r="L246" t="s">
        <v>1192</v>
      </c>
      <c r="M246" s="13" t="e">
        <f>_xlfn.XLOOKUP(I246,#REF!,#REF!, "No")</f>
        <v>#REF!</v>
      </c>
      <c r="N246" s="5" t="str">
        <f t="shared" si="44"/>
        <v>Yes</v>
      </c>
      <c r="O246" s="5" t="str">
        <f t="shared" si="45"/>
        <v>Yes</v>
      </c>
      <c r="P246" s="5" t="str">
        <f t="shared" si="46"/>
        <v>Yes</v>
      </c>
      <c r="Q246" s="5" t="str">
        <f t="shared" si="47"/>
        <v>Yes</v>
      </c>
      <c r="R246" s="5" t="str">
        <f t="shared" si="48"/>
        <v>Yes</v>
      </c>
      <c r="S246" s="5" t="str">
        <f t="shared" si="49"/>
        <v>Yes</v>
      </c>
      <c r="T246" s="5" t="str">
        <f t="shared" si="50"/>
        <v>Yes</v>
      </c>
      <c r="U246" s="5" t="str">
        <f t="shared" si="51"/>
        <v>Yes</v>
      </c>
      <c r="V246" s="5" t="str" cm="1">
        <f t="array" ref="V246">IF(OR(DB246:DG246 =1), "Yes", "No")</f>
        <v>Yes</v>
      </c>
      <c r="W246" s="5" t="str">
        <f t="shared" si="52"/>
        <v>Yes</v>
      </c>
      <c r="X246" s="5" t="str">
        <f t="shared" si="53"/>
        <v>Yes</v>
      </c>
      <c r="Y246" s="5" t="str">
        <f t="shared" si="54"/>
        <v>No</v>
      </c>
      <c r="Z246">
        <v>3</v>
      </c>
      <c r="AB246">
        <v>1</v>
      </c>
      <c r="AC246">
        <v>1</v>
      </c>
      <c r="AD246">
        <v>1</v>
      </c>
      <c r="AE246">
        <v>0</v>
      </c>
      <c r="AF246">
        <v>0</v>
      </c>
      <c r="AG246">
        <v>0</v>
      </c>
      <c r="AH246">
        <v>0</v>
      </c>
      <c r="AI246">
        <v>0</v>
      </c>
      <c r="AJ246">
        <v>0</v>
      </c>
      <c r="AK246">
        <v>1</v>
      </c>
      <c r="AM246">
        <v>0</v>
      </c>
      <c r="AN246">
        <v>1</v>
      </c>
      <c r="AO246">
        <v>0</v>
      </c>
      <c r="AQ246">
        <v>24</v>
      </c>
      <c r="AT246">
        <v>24</v>
      </c>
      <c r="AV246">
        <v>1</v>
      </c>
      <c r="AW246">
        <v>0</v>
      </c>
      <c r="AX246">
        <v>0</v>
      </c>
      <c r="AY246">
        <v>0</v>
      </c>
      <c r="AZ246">
        <v>1</v>
      </c>
      <c r="BA246">
        <v>0</v>
      </c>
      <c r="BC246">
        <v>4</v>
      </c>
      <c r="BE246">
        <v>1</v>
      </c>
      <c r="BG246">
        <v>1</v>
      </c>
      <c r="BH246">
        <v>1</v>
      </c>
      <c r="BI246">
        <v>2</v>
      </c>
      <c r="BJ246">
        <v>1</v>
      </c>
      <c r="BK246">
        <v>3</v>
      </c>
      <c r="BL246">
        <v>2</v>
      </c>
      <c r="BM246">
        <v>1</v>
      </c>
      <c r="CQ246">
        <v>5</v>
      </c>
      <c r="CR246">
        <v>5</v>
      </c>
      <c r="CS246">
        <v>0</v>
      </c>
      <c r="CT246">
        <v>1</v>
      </c>
      <c r="CU246">
        <v>0</v>
      </c>
      <c r="CV246">
        <v>0</v>
      </c>
      <c r="CW246">
        <v>0</v>
      </c>
      <c r="CX246">
        <v>0</v>
      </c>
      <c r="CY246">
        <v>0</v>
      </c>
      <c r="CZ246">
        <v>0</v>
      </c>
      <c r="DA246">
        <v>0</v>
      </c>
      <c r="DB246">
        <v>1</v>
      </c>
      <c r="DC246">
        <v>1</v>
      </c>
      <c r="DD246">
        <v>1</v>
      </c>
      <c r="DE246">
        <v>1</v>
      </c>
      <c r="DF246">
        <v>1</v>
      </c>
      <c r="DG246">
        <v>0</v>
      </c>
      <c r="DH246">
        <v>0</v>
      </c>
      <c r="DJ246" t="s">
        <v>1202</v>
      </c>
      <c r="DK246">
        <v>1</v>
      </c>
      <c r="DL246">
        <v>1</v>
      </c>
      <c r="DN246">
        <v>2</v>
      </c>
      <c r="DP246">
        <v>3</v>
      </c>
      <c r="DQ246" t="s">
        <v>1203</v>
      </c>
      <c r="DS246">
        <v>4</v>
      </c>
      <c r="DW246" t="s">
        <v>1204</v>
      </c>
      <c r="DX246">
        <v>3</v>
      </c>
      <c r="DY246" t="s">
        <v>1205</v>
      </c>
      <c r="DZ246">
        <v>1</v>
      </c>
      <c r="EA246" t="s">
        <v>1206</v>
      </c>
      <c r="EB246">
        <v>1</v>
      </c>
      <c r="EC246">
        <v>0</v>
      </c>
      <c r="ED246">
        <v>0</v>
      </c>
      <c r="EE246">
        <v>0</v>
      </c>
      <c r="EF246">
        <v>1</v>
      </c>
      <c r="EG246">
        <v>1</v>
      </c>
      <c r="EH246">
        <v>0</v>
      </c>
      <c r="EI246">
        <v>1</v>
      </c>
      <c r="EJ246">
        <v>0</v>
      </c>
      <c r="EK246">
        <v>0</v>
      </c>
      <c r="EM246">
        <v>0</v>
      </c>
      <c r="EN246">
        <v>1</v>
      </c>
      <c r="EO246">
        <v>0</v>
      </c>
      <c r="EP246">
        <v>1</v>
      </c>
      <c r="EQ246">
        <v>0</v>
      </c>
      <c r="ER246">
        <v>0</v>
      </c>
      <c r="ES246">
        <v>1</v>
      </c>
      <c r="ET246">
        <v>1</v>
      </c>
      <c r="EU246">
        <v>1</v>
      </c>
      <c r="EV246">
        <v>1</v>
      </c>
      <c r="EW246">
        <v>1</v>
      </c>
      <c r="EX246">
        <v>0</v>
      </c>
      <c r="EY246">
        <v>0</v>
      </c>
      <c r="FB246" t="s">
        <v>1207</v>
      </c>
      <c r="FC246">
        <v>0</v>
      </c>
      <c r="FD246">
        <v>0</v>
      </c>
      <c r="FE246">
        <v>0</v>
      </c>
      <c r="FF246">
        <v>0</v>
      </c>
      <c r="FG246">
        <v>0</v>
      </c>
      <c r="FH246">
        <v>0</v>
      </c>
      <c r="FI246">
        <v>0</v>
      </c>
      <c r="FJ246">
        <v>0</v>
      </c>
      <c r="FK246">
        <v>0</v>
      </c>
      <c r="FL246">
        <v>0</v>
      </c>
      <c r="FM246">
        <v>0</v>
      </c>
      <c r="FN246">
        <v>0</v>
      </c>
      <c r="FO246">
        <v>0</v>
      </c>
      <c r="FP246">
        <v>0</v>
      </c>
      <c r="FQ246">
        <v>0</v>
      </c>
      <c r="FR246">
        <v>1</v>
      </c>
      <c r="FS246">
        <v>0</v>
      </c>
      <c r="FT246">
        <v>0</v>
      </c>
      <c r="FU246">
        <v>0</v>
      </c>
      <c r="FV246">
        <v>0</v>
      </c>
      <c r="FW246">
        <v>0</v>
      </c>
      <c r="FX246">
        <v>0</v>
      </c>
      <c r="GS246" t="s">
        <v>1207</v>
      </c>
      <c r="GT246">
        <v>0</v>
      </c>
      <c r="GU246">
        <v>0</v>
      </c>
      <c r="GV246">
        <v>0</v>
      </c>
      <c r="GW246">
        <v>0</v>
      </c>
      <c r="GX246">
        <v>0</v>
      </c>
      <c r="GY246">
        <v>0</v>
      </c>
      <c r="GZ246">
        <v>0</v>
      </c>
      <c r="HA246">
        <v>1</v>
      </c>
      <c r="HB246">
        <v>0</v>
      </c>
      <c r="HC246" t="s">
        <v>1207</v>
      </c>
      <c r="HD246">
        <v>0</v>
      </c>
      <c r="HE246">
        <v>0</v>
      </c>
      <c r="HF246">
        <v>0</v>
      </c>
      <c r="HG246">
        <v>0</v>
      </c>
      <c r="HH246">
        <v>0</v>
      </c>
      <c r="HI246">
        <v>0</v>
      </c>
      <c r="HJ246">
        <v>0</v>
      </c>
      <c r="HK246">
        <v>0</v>
      </c>
      <c r="HL246">
        <v>0</v>
      </c>
      <c r="HM246">
        <v>0</v>
      </c>
      <c r="HN246">
        <v>0</v>
      </c>
      <c r="HO246">
        <v>0</v>
      </c>
      <c r="HP246">
        <v>0</v>
      </c>
      <c r="HQ246">
        <v>0</v>
      </c>
      <c r="HR246">
        <v>0</v>
      </c>
      <c r="HS246">
        <v>0</v>
      </c>
      <c r="HT246">
        <v>0</v>
      </c>
      <c r="HU246">
        <v>0</v>
      </c>
      <c r="HV246">
        <v>0</v>
      </c>
      <c r="HW246">
        <v>0</v>
      </c>
      <c r="HX246">
        <v>0</v>
      </c>
      <c r="HY246">
        <v>0</v>
      </c>
      <c r="HZ246">
        <v>0</v>
      </c>
      <c r="IA246">
        <v>0</v>
      </c>
      <c r="IB246">
        <v>0</v>
      </c>
      <c r="IC246">
        <v>0</v>
      </c>
      <c r="ID246">
        <v>0</v>
      </c>
      <c r="IE246">
        <v>0</v>
      </c>
      <c r="IF246">
        <v>0</v>
      </c>
      <c r="IG246">
        <v>0</v>
      </c>
      <c r="IH246">
        <v>0</v>
      </c>
      <c r="II246">
        <v>0</v>
      </c>
      <c r="IJ246">
        <v>0</v>
      </c>
      <c r="IK246">
        <v>0</v>
      </c>
      <c r="IL246">
        <v>0</v>
      </c>
      <c r="IM246">
        <v>0</v>
      </c>
      <c r="IN246">
        <v>0</v>
      </c>
      <c r="IO246">
        <v>0</v>
      </c>
      <c r="IP246">
        <v>0</v>
      </c>
      <c r="IQ246">
        <v>0</v>
      </c>
      <c r="IR246">
        <v>0</v>
      </c>
      <c r="IS246">
        <v>0</v>
      </c>
      <c r="IT246">
        <v>0</v>
      </c>
      <c r="IU246">
        <v>0</v>
      </c>
      <c r="IV246">
        <v>0</v>
      </c>
      <c r="IW246">
        <v>1</v>
      </c>
      <c r="IZ246">
        <v>1</v>
      </c>
      <c r="JA246">
        <v>1</v>
      </c>
      <c r="JB246">
        <v>0</v>
      </c>
      <c r="JC246">
        <v>0</v>
      </c>
      <c r="JD246">
        <v>0</v>
      </c>
      <c r="JE246">
        <v>0</v>
      </c>
      <c r="JF246">
        <v>1</v>
      </c>
      <c r="JG246">
        <v>0</v>
      </c>
      <c r="JH246">
        <v>0</v>
      </c>
      <c r="JI246">
        <v>0</v>
      </c>
      <c r="JJ246">
        <v>0</v>
      </c>
      <c r="JL246">
        <v>1</v>
      </c>
      <c r="JM246" cm="1">
        <f t="array" ref="JM246">IF(OR(JN246:JQ246 &lt;&gt; ""), 1, 0)</f>
        <v>1</v>
      </c>
      <c r="JN246">
        <v>1</v>
      </c>
      <c r="JO246">
        <v>1</v>
      </c>
      <c r="JP246">
        <v>0</v>
      </c>
      <c r="JQ246">
        <v>0</v>
      </c>
    </row>
    <row r="247" spans="1:278" x14ac:dyDescent="0.35">
      <c r="A247">
        <v>405478</v>
      </c>
      <c r="C247">
        <v>1</v>
      </c>
      <c r="D247" t="s">
        <v>1208</v>
      </c>
      <c r="E247" t="str">
        <f>_xlfn.XLOOKUP(I247, [1]SchoolDistrictStudyWODuplicates!$K:$K, [1]SchoolDistrictStudyWODuplicates!$E:$E, "")</f>
        <v/>
      </c>
      <c r="G247" t="s">
        <v>1209</v>
      </c>
      <c r="H247" s="5" t="e">
        <f>_xlfn.XLOOKUP(A247,#REF!,#REF!, "No")</f>
        <v>#REF!</v>
      </c>
      <c r="I247" s="7">
        <v>5102190</v>
      </c>
      <c r="J247" s="5" t="e">
        <f>_xlfn.XLOOKUP(I247,#REF!,#REF!,"Not Determined")</f>
        <v>#REF!</v>
      </c>
      <c r="K247" s="5" t="s">
        <v>1167</v>
      </c>
      <c r="L247" t="s">
        <v>1192</v>
      </c>
      <c r="M247" s="13" t="e">
        <f>_xlfn.XLOOKUP(I247,#REF!,#REF!, "No")</f>
        <v>#REF!</v>
      </c>
      <c r="N247" s="5" t="str">
        <f t="shared" si="44"/>
        <v>Yes</v>
      </c>
      <c r="O247" s="5" t="str">
        <f t="shared" si="45"/>
        <v>Yes</v>
      </c>
      <c r="P247" s="5" t="str">
        <f t="shared" si="46"/>
        <v>Yes</v>
      </c>
      <c r="Q247" s="5" t="str">
        <f t="shared" si="47"/>
        <v>Yes</v>
      </c>
      <c r="R247" s="5" t="str">
        <f t="shared" si="48"/>
        <v>Yes</v>
      </c>
      <c r="S247" s="5" t="str">
        <f t="shared" si="49"/>
        <v>Yes</v>
      </c>
      <c r="T247" s="5" t="str">
        <f t="shared" si="50"/>
        <v>Yes</v>
      </c>
      <c r="U247" s="5" t="str">
        <f t="shared" si="51"/>
        <v>Yes</v>
      </c>
      <c r="V247" s="5" t="str" cm="1">
        <f t="array" ref="V247">IF(OR(DB247:DG247 =1), "Yes", "No")</f>
        <v>Yes</v>
      </c>
      <c r="W247" s="5" t="str">
        <f t="shared" si="52"/>
        <v>Yes</v>
      </c>
      <c r="X247" s="5" t="str">
        <f t="shared" si="53"/>
        <v>Yes</v>
      </c>
      <c r="Y247" s="5" t="str">
        <f t="shared" si="54"/>
        <v>Yes</v>
      </c>
      <c r="Z247">
        <v>1</v>
      </c>
      <c r="AB247">
        <v>1</v>
      </c>
      <c r="AC247">
        <v>1</v>
      </c>
      <c r="AD247">
        <v>1</v>
      </c>
      <c r="AE247">
        <v>0</v>
      </c>
      <c r="AF247">
        <v>0</v>
      </c>
      <c r="AG247">
        <v>0</v>
      </c>
      <c r="AH247">
        <v>0</v>
      </c>
      <c r="AI247">
        <v>1</v>
      </c>
      <c r="AJ247">
        <v>0</v>
      </c>
      <c r="AK247">
        <v>1</v>
      </c>
      <c r="AM247">
        <v>1</v>
      </c>
      <c r="AN247">
        <v>1</v>
      </c>
      <c r="AO247">
        <v>0</v>
      </c>
      <c r="AP247">
        <v>7</v>
      </c>
      <c r="AQ247">
        <v>60</v>
      </c>
      <c r="AS247">
        <v>7</v>
      </c>
      <c r="AT247">
        <v>60</v>
      </c>
      <c r="AV247">
        <v>1</v>
      </c>
      <c r="AW247">
        <v>0</v>
      </c>
      <c r="AX247">
        <v>0</v>
      </c>
      <c r="AY247">
        <v>0</v>
      </c>
      <c r="AZ247">
        <v>1</v>
      </c>
      <c r="BA247">
        <v>0</v>
      </c>
      <c r="BC247">
        <v>1</v>
      </c>
      <c r="BE247">
        <v>1</v>
      </c>
      <c r="BG247">
        <v>1</v>
      </c>
      <c r="BH247">
        <v>1</v>
      </c>
      <c r="BI247">
        <v>2</v>
      </c>
      <c r="BJ247">
        <v>2</v>
      </c>
      <c r="BL247">
        <v>2</v>
      </c>
      <c r="BM247">
        <v>1</v>
      </c>
      <c r="CQ247">
        <v>3</v>
      </c>
      <c r="CR247">
        <v>3</v>
      </c>
      <c r="CS247">
        <v>0</v>
      </c>
      <c r="CT247">
        <v>0</v>
      </c>
      <c r="CU247">
        <v>1</v>
      </c>
      <c r="CV247">
        <v>0</v>
      </c>
      <c r="CW247">
        <v>0</v>
      </c>
      <c r="CX247">
        <v>0</v>
      </c>
      <c r="CY247">
        <v>1</v>
      </c>
      <c r="CZ247">
        <v>0</v>
      </c>
      <c r="DA247">
        <v>0</v>
      </c>
      <c r="DB247">
        <v>0</v>
      </c>
      <c r="DC247">
        <v>0</v>
      </c>
      <c r="DD247">
        <v>1</v>
      </c>
      <c r="DE247">
        <v>1</v>
      </c>
      <c r="DF247">
        <v>0</v>
      </c>
      <c r="DG247">
        <v>0</v>
      </c>
      <c r="DH247">
        <v>0</v>
      </c>
      <c r="DJ247" t="s">
        <v>1210</v>
      </c>
      <c r="DK247">
        <v>1</v>
      </c>
      <c r="DL247">
        <v>1</v>
      </c>
      <c r="DN247">
        <v>1</v>
      </c>
      <c r="DP247">
        <v>2</v>
      </c>
      <c r="DS247">
        <v>2</v>
      </c>
      <c r="DW247" t="s">
        <v>1211</v>
      </c>
      <c r="DX247">
        <v>2</v>
      </c>
      <c r="DZ247">
        <v>4</v>
      </c>
      <c r="EB247">
        <v>1</v>
      </c>
      <c r="EC247">
        <v>0</v>
      </c>
      <c r="ED247">
        <v>0</v>
      </c>
      <c r="EE247">
        <v>0</v>
      </c>
      <c r="EF247">
        <v>1</v>
      </c>
      <c r="EG247">
        <v>1</v>
      </c>
      <c r="EH247">
        <v>0</v>
      </c>
      <c r="EI247">
        <v>0</v>
      </c>
      <c r="EJ247">
        <v>0</v>
      </c>
      <c r="EK247">
        <v>0</v>
      </c>
      <c r="EM247">
        <v>0</v>
      </c>
      <c r="EN247">
        <v>0</v>
      </c>
      <c r="EO247">
        <v>0</v>
      </c>
      <c r="EP247">
        <v>1</v>
      </c>
      <c r="EQ247">
        <v>0</v>
      </c>
      <c r="ER247">
        <v>0</v>
      </c>
      <c r="ES247">
        <v>0</v>
      </c>
      <c r="ET247">
        <v>1</v>
      </c>
      <c r="EU247">
        <v>0</v>
      </c>
      <c r="EV247">
        <v>0</v>
      </c>
      <c r="EW247">
        <v>1</v>
      </c>
      <c r="EX247">
        <v>0</v>
      </c>
      <c r="EY247">
        <v>0</v>
      </c>
      <c r="IZ247">
        <v>0</v>
      </c>
      <c r="JA247">
        <v>0</v>
      </c>
      <c r="JB247">
        <v>0</v>
      </c>
      <c r="JC247">
        <v>0</v>
      </c>
      <c r="JD247">
        <v>0</v>
      </c>
      <c r="JE247">
        <v>0</v>
      </c>
      <c r="JF247">
        <v>0</v>
      </c>
      <c r="JG247">
        <v>0</v>
      </c>
      <c r="JH247">
        <v>0</v>
      </c>
      <c r="JI247">
        <v>0</v>
      </c>
      <c r="JJ247">
        <v>1</v>
      </c>
      <c r="JL247">
        <v>1</v>
      </c>
      <c r="JM247" cm="1">
        <f t="array" ref="JM247">IF(OR(JN247:JQ247 &lt;&gt; ""), 1, 0)</f>
        <v>1</v>
      </c>
      <c r="JN247">
        <v>1</v>
      </c>
      <c r="JO247">
        <v>0</v>
      </c>
      <c r="JP247">
        <v>0</v>
      </c>
      <c r="JQ247">
        <v>0</v>
      </c>
    </row>
    <row r="248" spans="1:278" x14ac:dyDescent="0.35">
      <c r="A248">
        <v>393619</v>
      </c>
      <c r="C248">
        <v>1</v>
      </c>
      <c r="D248" t="s">
        <v>1251</v>
      </c>
      <c r="E248" t="str">
        <f>_xlfn.XLOOKUP(I248, [1]SchoolDistrictStudyWODuplicates!$K:$K, [1]SchoolDistrictStudyWODuplicates!$E:$E, "")</f>
        <v/>
      </c>
      <c r="G248" t="s">
        <v>1252</v>
      </c>
      <c r="H248" s="5" t="e">
        <f>_xlfn.XLOOKUP(A248,#REF!,#REF!, "No")</f>
        <v>#REF!</v>
      </c>
      <c r="I248" s="7">
        <v>5303660</v>
      </c>
      <c r="J248" s="5" t="e">
        <f>_xlfn.XLOOKUP(I248,#REF!,#REF!,"Not Determined")</f>
        <v>#REF!</v>
      </c>
      <c r="K248" s="5" t="s">
        <v>1233</v>
      </c>
      <c r="L248" t="s">
        <v>427</v>
      </c>
      <c r="M248" s="13" t="e">
        <f>_xlfn.XLOOKUP(I248,#REF!,#REF!, "No")</f>
        <v>#REF!</v>
      </c>
      <c r="N248" s="5" t="str">
        <f t="shared" si="44"/>
        <v>No</v>
      </c>
      <c r="O248" s="5" t="str">
        <f t="shared" si="45"/>
        <v>Yes</v>
      </c>
      <c r="P248" s="5" t="str">
        <f t="shared" si="46"/>
        <v>Yes</v>
      </c>
      <c r="Q248" s="5" t="str">
        <f t="shared" si="47"/>
        <v>Yes</v>
      </c>
      <c r="R248" s="5" t="str">
        <f t="shared" si="48"/>
        <v>Yes</v>
      </c>
      <c r="S248" s="5" t="str">
        <f t="shared" si="49"/>
        <v>Yes</v>
      </c>
      <c r="T248" s="5" t="str">
        <f t="shared" si="50"/>
        <v>Yes</v>
      </c>
      <c r="U248" s="5" t="str">
        <f t="shared" si="51"/>
        <v>Yes</v>
      </c>
      <c r="V248" s="5" t="str" cm="1">
        <f t="array" ref="V248">IF(OR(DB248:DG248 =1), "Yes", "No")</f>
        <v>No</v>
      </c>
      <c r="W248" s="5" t="str">
        <f t="shared" si="52"/>
        <v>Yes</v>
      </c>
      <c r="X248" s="5" t="str">
        <f t="shared" si="53"/>
        <v>No</v>
      </c>
      <c r="Y248" s="5" t="str">
        <f t="shared" si="54"/>
        <v>No</v>
      </c>
      <c r="Z248">
        <v>3</v>
      </c>
      <c r="AB248">
        <v>1</v>
      </c>
      <c r="AC248">
        <v>0</v>
      </c>
      <c r="AD248">
        <v>1</v>
      </c>
      <c r="AE248">
        <v>0</v>
      </c>
      <c r="AF248">
        <v>0</v>
      </c>
      <c r="AG248">
        <v>1</v>
      </c>
      <c r="AH248">
        <v>0</v>
      </c>
      <c r="AI248">
        <v>1</v>
      </c>
      <c r="AJ248">
        <v>0</v>
      </c>
      <c r="AK248">
        <v>1</v>
      </c>
      <c r="AM248">
        <v>0</v>
      </c>
      <c r="AN248">
        <v>1</v>
      </c>
      <c r="AO248">
        <v>1</v>
      </c>
      <c r="AQ248">
        <v>4</v>
      </c>
      <c r="AR248">
        <v>13</v>
      </c>
      <c r="AT248">
        <v>4</v>
      </c>
      <c r="AU248">
        <v>13</v>
      </c>
      <c r="AV248">
        <v>1</v>
      </c>
      <c r="AW248">
        <v>0</v>
      </c>
      <c r="AX248">
        <v>0</v>
      </c>
      <c r="AY248">
        <v>0</v>
      </c>
      <c r="AZ248">
        <v>0</v>
      </c>
      <c r="BA248">
        <v>0</v>
      </c>
      <c r="BC248">
        <v>1</v>
      </c>
      <c r="BE248">
        <v>1</v>
      </c>
      <c r="BG248">
        <v>1</v>
      </c>
      <c r="BH248">
        <v>1</v>
      </c>
      <c r="BI248">
        <v>4</v>
      </c>
      <c r="BJ248">
        <v>1</v>
      </c>
      <c r="BK248">
        <v>4</v>
      </c>
      <c r="BL248">
        <v>1</v>
      </c>
      <c r="BM248">
        <v>1</v>
      </c>
      <c r="BN248">
        <v>1</v>
      </c>
      <c r="BO248">
        <v>1</v>
      </c>
      <c r="BP248">
        <v>0</v>
      </c>
      <c r="BQ248">
        <v>0</v>
      </c>
      <c r="BR248">
        <v>0</v>
      </c>
      <c r="BS248">
        <v>0</v>
      </c>
      <c r="BT248">
        <v>0</v>
      </c>
      <c r="BV248">
        <v>0</v>
      </c>
      <c r="BW248">
        <v>0</v>
      </c>
      <c r="BX248">
        <v>0</v>
      </c>
      <c r="BY248">
        <v>0</v>
      </c>
      <c r="BZ248">
        <v>0</v>
      </c>
      <c r="CA248">
        <v>0</v>
      </c>
      <c r="CB248">
        <v>0</v>
      </c>
      <c r="CC248">
        <v>0</v>
      </c>
      <c r="CD248">
        <v>0</v>
      </c>
      <c r="CE248">
        <v>0</v>
      </c>
      <c r="CF248">
        <v>0</v>
      </c>
      <c r="CG248">
        <v>0</v>
      </c>
      <c r="CH248">
        <v>0</v>
      </c>
      <c r="CI248">
        <v>0</v>
      </c>
      <c r="CJ248">
        <v>1</v>
      </c>
      <c r="CK248">
        <v>0</v>
      </c>
      <c r="CL248">
        <v>0</v>
      </c>
      <c r="CN248">
        <v>15</v>
      </c>
      <c r="CO248">
        <v>4</v>
      </c>
      <c r="CQ248">
        <v>5</v>
      </c>
      <c r="CR248">
        <v>5</v>
      </c>
      <c r="EB248">
        <v>0</v>
      </c>
      <c r="EC248">
        <v>1</v>
      </c>
      <c r="ED248">
        <v>0</v>
      </c>
      <c r="EE248">
        <v>0</v>
      </c>
      <c r="EF248">
        <v>0</v>
      </c>
      <c r="EG248">
        <v>1</v>
      </c>
      <c r="EH248">
        <v>0</v>
      </c>
      <c r="EI248">
        <v>0</v>
      </c>
      <c r="EJ248">
        <v>0</v>
      </c>
      <c r="EK248">
        <v>0</v>
      </c>
      <c r="EM248">
        <v>0</v>
      </c>
      <c r="EN248">
        <v>1</v>
      </c>
      <c r="EO248">
        <v>0</v>
      </c>
      <c r="EP248">
        <v>0</v>
      </c>
      <c r="EQ248">
        <v>1</v>
      </c>
      <c r="ER248">
        <v>0</v>
      </c>
      <c r="ES248">
        <v>0</v>
      </c>
      <c r="ET248">
        <v>0</v>
      </c>
      <c r="EU248">
        <v>0</v>
      </c>
      <c r="EV248">
        <v>1</v>
      </c>
      <c r="EW248">
        <v>1</v>
      </c>
      <c r="EX248">
        <v>0</v>
      </c>
      <c r="EY248">
        <v>0</v>
      </c>
      <c r="FB248" t="s">
        <v>274</v>
      </c>
      <c r="FC248">
        <v>1</v>
      </c>
      <c r="FD248">
        <v>0</v>
      </c>
      <c r="FE248">
        <v>0</v>
      </c>
      <c r="FF248">
        <v>0</v>
      </c>
      <c r="FG248">
        <v>0</v>
      </c>
      <c r="FH248">
        <v>0</v>
      </c>
      <c r="FI248">
        <v>0</v>
      </c>
      <c r="FJ248">
        <v>0</v>
      </c>
      <c r="FK248">
        <v>0</v>
      </c>
      <c r="FL248">
        <v>0</v>
      </c>
      <c r="FM248">
        <v>0</v>
      </c>
      <c r="FN248">
        <v>0</v>
      </c>
      <c r="FO248">
        <v>0</v>
      </c>
      <c r="FP248">
        <v>0</v>
      </c>
      <c r="FQ248">
        <v>0</v>
      </c>
      <c r="FR248">
        <v>0</v>
      </c>
      <c r="FS248">
        <v>0</v>
      </c>
      <c r="FT248">
        <v>0</v>
      </c>
      <c r="FU248">
        <v>0</v>
      </c>
      <c r="FV248">
        <v>0</v>
      </c>
      <c r="FW248">
        <v>0</v>
      </c>
      <c r="FX248">
        <v>0</v>
      </c>
      <c r="HC248" t="s">
        <v>1253</v>
      </c>
      <c r="HD248">
        <v>0</v>
      </c>
      <c r="HE248">
        <v>0</v>
      </c>
      <c r="HF248">
        <v>0</v>
      </c>
      <c r="HG248">
        <v>0</v>
      </c>
      <c r="HH248">
        <v>0</v>
      </c>
      <c r="HI248">
        <v>0</v>
      </c>
      <c r="HJ248">
        <v>0</v>
      </c>
      <c r="HK248">
        <v>0</v>
      </c>
      <c r="HL248">
        <v>0</v>
      </c>
      <c r="HM248">
        <v>0</v>
      </c>
      <c r="HN248">
        <v>0</v>
      </c>
      <c r="HO248">
        <v>0</v>
      </c>
      <c r="HP248">
        <v>0</v>
      </c>
      <c r="HQ248">
        <v>0</v>
      </c>
      <c r="HR248">
        <v>0</v>
      </c>
      <c r="HS248">
        <v>0</v>
      </c>
      <c r="HT248">
        <v>0</v>
      </c>
      <c r="HU248">
        <v>0</v>
      </c>
      <c r="HV248">
        <v>0</v>
      </c>
      <c r="HW248">
        <v>0</v>
      </c>
      <c r="HX248">
        <v>0</v>
      </c>
      <c r="HY248">
        <v>0</v>
      </c>
      <c r="HZ248">
        <v>0</v>
      </c>
      <c r="IA248">
        <v>0</v>
      </c>
      <c r="IB248">
        <v>0</v>
      </c>
      <c r="IC248">
        <v>0</v>
      </c>
      <c r="ID248">
        <v>0</v>
      </c>
      <c r="IE248">
        <v>0</v>
      </c>
      <c r="IF248">
        <v>0</v>
      </c>
      <c r="IG248">
        <v>0</v>
      </c>
      <c r="IH248">
        <v>0</v>
      </c>
      <c r="II248">
        <v>0</v>
      </c>
      <c r="IJ248">
        <v>0</v>
      </c>
      <c r="IK248">
        <v>0</v>
      </c>
      <c r="IL248">
        <v>0</v>
      </c>
      <c r="IM248">
        <v>0</v>
      </c>
      <c r="IN248">
        <v>0</v>
      </c>
      <c r="IO248">
        <v>0</v>
      </c>
      <c r="IP248">
        <v>0</v>
      </c>
      <c r="IQ248">
        <v>0</v>
      </c>
      <c r="IR248">
        <v>0</v>
      </c>
      <c r="IS248">
        <v>0</v>
      </c>
      <c r="IT248">
        <v>0</v>
      </c>
      <c r="IU248">
        <v>0</v>
      </c>
      <c r="IV248">
        <v>1</v>
      </c>
      <c r="IW248">
        <v>0</v>
      </c>
      <c r="IZ248">
        <v>0</v>
      </c>
      <c r="JA248">
        <v>0</v>
      </c>
      <c r="JB248">
        <v>0</v>
      </c>
      <c r="JC248">
        <v>0</v>
      </c>
      <c r="JD248">
        <v>0</v>
      </c>
      <c r="JE248">
        <v>0</v>
      </c>
      <c r="JF248">
        <v>0</v>
      </c>
      <c r="JG248">
        <v>0</v>
      </c>
      <c r="JH248">
        <v>0</v>
      </c>
      <c r="JI248">
        <v>0</v>
      </c>
      <c r="JJ248">
        <v>1</v>
      </c>
      <c r="JL248">
        <v>1</v>
      </c>
      <c r="JM248" cm="1">
        <f t="array" ref="JM248">IF(OR(JN248:JQ248 &lt;&gt; ""), 1, 0)</f>
        <v>1</v>
      </c>
      <c r="JN248">
        <v>1</v>
      </c>
      <c r="JO248">
        <v>0</v>
      </c>
      <c r="JP248">
        <v>0</v>
      </c>
      <c r="JQ248">
        <v>0</v>
      </c>
    </row>
    <row r="249" spans="1:278" x14ac:dyDescent="0.35">
      <c r="A249">
        <v>405323</v>
      </c>
      <c r="C249">
        <v>1</v>
      </c>
      <c r="D249" t="s">
        <v>1244</v>
      </c>
      <c r="E249" t="str">
        <f>_xlfn.XLOOKUP(I249, [1]SchoolDistrictStudyWODuplicates!$K:$K, [1]SchoolDistrictStudyWODuplicates!$E:$E, "")</f>
        <v/>
      </c>
      <c r="G249" t="s">
        <v>1245</v>
      </c>
      <c r="H249" s="5" t="e">
        <f>_xlfn.XLOOKUP(A249,#REF!,#REF!, "No")</f>
        <v>#REF!</v>
      </c>
      <c r="I249" s="7">
        <v>5309450</v>
      </c>
      <c r="J249" s="5" t="e">
        <f>_xlfn.XLOOKUP(I249,#REF!,#REF!,"Not Determined")</f>
        <v>#REF!</v>
      </c>
      <c r="K249" s="5" t="s">
        <v>1233</v>
      </c>
      <c r="L249" t="s">
        <v>1233</v>
      </c>
      <c r="M249" s="13" t="e">
        <f>_xlfn.XLOOKUP(I249,#REF!,#REF!, "No")</f>
        <v>#REF!</v>
      </c>
      <c r="N249" s="5" t="str">
        <f t="shared" si="44"/>
        <v>Yes</v>
      </c>
      <c r="O249" s="5" t="str">
        <f t="shared" si="45"/>
        <v>Yes</v>
      </c>
      <c r="P249" s="5" t="str">
        <f t="shared" si="46"/>
        <v>Yes</v>
      </c>
      <c r="Q249" s="5" t="str">
        <f t="shared" si="47"/>
        <v>Yes</v>
      </c>
      <c r="R249" s="5" t="str">
        <f t="shared" si="48"/>
        <v>Yes</v>
      </c>
      <c r="S249" s="5" t="str">
        <f t="shared" si="49"/>
        <v>Yes</v>
      </c>
      <c r="T249" s="5" t="str">
        <f t="shared" si="50"/>
        <v>Yes</v>
      </c>
      <c r="U249" s="5" t="str">
        <f t="shared" si="51"/>
        <v>Yes</v>
      </c>
      <c r="V249" s="5" t="str" cm="1">
        <f t="array" ref="V249">IF(OR(DB249:DG249 =1), "Yes", "No")</f>
        <v>Yes</v>
      </c>
      <c r="W249" s="5" t="str">
        <f t="shared" si="52"/>
        <v>Yes</v>
      </c>
      <c r="X249" s="5" t="str">
        <f t="shared" si="53"/>
        <v>Yes</v>
      </c>
      <c r="Y249" s="5" t="str">
        <f t="shared" si="54"/>
        <v>Yes</v>
      </c>
      <c r="Z249">
        <v>3</v>
      </c>
      <c r="AB249">
        <v>1</v>
      </c>
      <c r="AC249">
        <v>0</v>
      </c>
      <c r="AD249">
        <v>1</v>
      </c>
      <c r="AE249">
        <v>0</v>
      </c>
      <c r="AF249">
        <v>0</v>
      </c>
      <c r="AG249">
        <v>1</v>
      </c>
      <c r="AH249">
        <v>0</v>
      </c>
      <c r="AI249">
        <v>0</v>
      </c>
      <c r="AJ249">
        <v>0</v>
      </c>
      <c r="AK249">
        <v>1</v>
      </c>
      <c r="AM249">
        <v>1</v>
      </c>
      <c r="AN249">
        <v>1</v>
      </c>
      <c r="AO249">
        <v>1</v>
      </c>
      <c r="AP249">
        <v>1</v>
      </c>
      <c r="AQ249">
        <v>28</v>
      </c>
      <c r="AR249">
        <v>15</v>
      </c>
      <c r="AS249">
        <v>1</v>
      </c>
      <c r="AT249">
        <v>28</v>
      </c>
      <c r="AU249">
        <v>15</v>
      </c>
      <c r="AV249">
        <v>1</v>
      </c>
      <c r="AW249">
        <v>0</v>
      </c>
      <c r="AX249">
        <v>0</v>
      </c>
      <c r="AY249">
        <v>0</v>
      </c>
      <c r="AZ249">
        <v>1</v>
      </c>
      <c r="BA249">
        <v>0</v>
      </c>
      <c r="BC249">
        <v>5</v>
      </c>
      <c r="BE249">
        <v>1</v>
      </c>
      <c r="BG249">
        <v>1</v>
      </c>
      <c r="BH249">
        <v>1</v>
      </c>
      <c r="BI249">
        <v>2</v>
      </c>
      <c r="BJ249">
        <v>1</v>
      </c>
      <c r="BK249">
        <v>1</v>
      </c>
      <c r="BL249">
        <v>2</v>
      </c>
      <c r="BM249">
        <v>1</v>
      </c>
      <c r="CQ249">
        <v>5</v>
      </c>
      <c r="CR249">
        <v>4</v>
      </c>
      <c r="CS249">
        <v>0</v>
      </c>
      <c r="CT249">
        <v>1</v>
      </c>
      <c r="CU249">
        <v>0</v>
      </c>
      <c r="CV249">
        <v>0</v>
      </c>
      <c r="CW249">
        <v>0</v>
      </c>
      <c r="CX249">
        <v>1</v>
      </c>
      <c r="CY249">
        <v>1</v>
      </c>
      <c r="CZ249">
        <v>0</v>
      </c>
      <c r="DA249">
        <v>0</v>
      </c>
      <c r="DB249">
        <v>0</v>
      </c>
      <c r="DC249">
        <v>0</v>
      </c>
      <c r="DD249">
        <v>0</v>
      </c>
      <c r="DE249">
        <v>1</v>
      </c>
      <c r="DF249">
        <v>0</v>
      </c>
      <c r="DG249">
        <v>0</v>
      </c>
      <c r="DH249">
        <v>0</v>
      </c>
      <c r="DJ249" t="s">
        <v>1246</v>
      </c>
      <c r="DK249">
        <v>1</v>
      </c>
      <c r="DL249">
        <v>1</v>
      </c>
      <c r="DN249">
        <v>1</v>
      </c>
      <c r="DP249">
        <v>2</v>
      </c>
      <c r="DS249">
        <v>1</v>
      </c>
      <c r="DU249">
        <v>12</v>
      </c>
      <c r="DV249" t="s">
        <v>1247</v>
      </c>
      <c r="DW249" t="s">
        <v>1248</v>
      </c>
      <c r="DX249">
        <v>1</v>
      </c>
      <c r="DY249" t="s">
        <v>1249</v>
      </c>
      <c r="DZ249">
        <v>1</v>
      </c>
      <c r="EA249" t="s">
        <v>1250</v>
      </c>
      <c r="EB249">
        <v>1</v>
      </c>
      <c r="EC249">
        <v>0</v>
      </c>
      <c r="ED249">
        <v>0</v>
      </c>
      <c r="EE249">
        <v>0</v>
      </c>
      <c r="EF249">
        <v>1</v>
      </c>
      <c r="EG249">
        <v>1</v>
      </c>
      <c r="EH249">
        <v>0</v>
      </c>
      <c r="EI249">
        <v>0</v>
      </c>
      <c r="EJ249">
        <v>0</v>
      </c>
      <c r="EK249">
        <v>0</v>
      </c>
      <c r="EM249">
        <v>0</v>
      </c>
      <c r="EN249">
        <v>0</v>
      </c>
      <c r="EO249">
        <v>0</v>
      </c>
      <c r="EP249">
        <v>0</v>
      </c>
      <c r="EQ249">
        <v>0</v>
      </c>
      <c r="ER249">
        <v>0</v>
      </c>
      <c r="ES249">
        <v>0</v>
      </c>
      <c r="ET249">
        <v>0</v>
      </c>
      <c r="EU249">
        <v>0</v>
      </c>
      <c r="EV249">
        <v>0</v>
      </c>
      <c r="EW249">
        <v>0</v>
      </c>
      <c r="EX249">
        <v>0</v>
      </c>
      <c r="EY249">
        <v>1</v>
      </c>
      <c r="IZ249">
        <v>1</v>
      </c>
      <c r="JA249">
        <v>0</v>
      </c>
      <c r="JB249">
        <v>1</v>
      </c>
      <c r="JC249">
        <v>0</v>
      </c>
      <c r="JD249">
        <v>0</v>
      </c>
      <c r="JE249">
        <v>0</v>
      </c>
      <c r="JF249">
        <v>0</v>
      </c>
      <c r="JG249">
        <v>0</v>
      </c>
      <c r="JH249">
        <v>0</v>
      </c>
      <c r="JI249">
        <v>0</v>
      </c>
      <c r="JJ249">
        <v>0</v>
      </c>
      <c r="JL249">
        <v>1</v>
      </c>
      <c r="JM249" cm="1">
        <f t="array" ref="JM249">IF(OR(JN249:JQ249 &lt;&gt; ""), 1, 0)</f>
        <v>1</v>
      </c>
      <c r="JN249">
        <v>1</v>
      </c>
      <c r="JO249">
        <v>1</v>
      </c>
      <c r="JP249">
        <v>1</v>
      </c>
      <c r="JQ249">
        <v>0</v>
      </c>
    </row>
    <row r="250" spans="1:278" x14ac:dyDescent="0.35">
      <c r="A250">
        <v>405327</v>
      </c>
      <c r="C250">
        <v>1</v>
      </c>
      <c r="D250" t="s">
        <v>1254</v>
      </c>
      <c r="E250" t="str">
        <f>_xlfn.XLOOKUP(I250, [1]SchoolDistrictStudyWODuplicates!$K:$K, [1]SchoolDistrictStudyWODuplicates!$E:$E, "")</f>
        <v/>
      </c>
      <c r="G250" t="s">
        <v>1255</v>
      </c>
      <c r="H250" s="7">
        <v>5400930</v>
      </c>
      <c r="I250" s="7">
        <v>5400930</v>
      </c>
      <c r="J250" s="5" t="e">
        <f>_xlfn.XLOOKUP(I250,#REF!,#REF!,"Not Determined")</f>
        <v>#REF!</v>
      </c>
      <c r="K250" s="5" t="s">
        <v>1294</v>
      </c>
      <c r="L250" t="s">
        <v>1256</v>
      </c>
      <c r="M250" s="13" t="e">
        <f>_xlfn.XLOOKUP(I250,#REF!,#REF!, "No")</f>
        <v>#REF!</v>
      </c>
      <c r="N250" s="5" t="str">
        <f t="shared" si="44"/>
        <v>Yes</v>
      </c>
      <c r="O250" s="5" t="str">
        <f t="shared" si="45"/>
        <v>Yes</v>
      </c>
      <c r="P250" s="5" t="str">
        <f t="shared" si="46"/>
        <v>Yes</v>
      </c>
      <c r="Q250" s="5" t="str">
        <f t="shared" si="47"/>
        <v>Yes</v>
      </c>
      <c r="R250" s="5" t="str">
        <f t="shared" si="48"/>
        <v>Yes</v>
      </c>
      <c r="S250" s="5" t="str">
        <f t="shared" si="49"/>
        <v>Yes</v>
      </c>
      <c r="T250" s="5" t="str">
        <f t="shared" si="50"/>
        <v>Yes</v>
      </c>
      <c r="U250" s="5" t="str">
        <f t="shared" si="51"/>
        <v>Yes</v>
      </c>
      <c r="V250" s="5" t="str" cm="1">
        <f t="array" ref="V250">IF(OR(DB250:DG250 =1), "Yes", "No")</f>
        <v>Yes</v>
      </c>
      <c r="W250" s="5" t="str">
        <f t="shared" si="52"/>
        <v>Yes</v>
      </c>
      <c r="X250" s="5" t="str">
        <f t="shared" si="53"/>
        <v>No</v>
      </c>
      <c r="Y250" s="5" t="str">
        <f t="shared" si="54"/>
        <v>Yes</v>
      </c>
      <c r="Z250">
        <v>3</v>
      </c>
      <c r="AB250">
        <v>0</v>
      </c>
      <c r="AC250">
        <v>0</v>
      </c>
      <c r="AD250">
        <v>1</v>
      </c>
      <c r="AE250">
        <v>0</v>
      </c>
      <c r="AF250">
        <v>0</v>
      </c>
      <c r="AG250">
        <v>0</v>
      </c>
      <c r="AH250">
        <v>0</v>
      </c>
      <c r="AI250">
        <v>0</v>
      </c>
      <c r="AJ250">
        <v>0</v>
      </c>
      <c r="AK250">
        <v>1</v>
      </c>
      <c r="AM250">
        <v>1</v>
      </c>
      <c r="AN250">
        <v>1</v>
      </c>
      <c r="AO250">
        <v>1</v>
      </c>
      <c r="AP250">
        <v>4</v>
      </c>
      <c r="AQ250">
        <v>121</v>
      </c>
      <c r="AR250">
        <v>5</v>
      </c>
      <c r="AS250">
        <v>4</v>
      </c>
      <c r="AT250">
        <v>121</v>
      </c>
      <c r="AU250">
        <v>5</v>
      </c>
      <c r="AV250">
        <v>1</v>
      </c>
      <c r="AW250">
        <v>0</v>
      </c>
      <c r="AX250">
        <v>0</v>
      </c>
      <c r="AY250">
        <v>1</v>
      </c>
      <c r="AZ250">
        <v>1</v>
      </c>
      <c r="BA250">
        <v>0</v>
      </c>
      <c r="BC250">
        <v>1</v>
      </c>
      <c r="BE250">
        <v>1</v>
      </c>
      <c r="BG250">
        <v>1</v>
      </c>
      <c r="BH250">
        <v>1</v>
      </c>
      <c r="BI250">
        <v>2</v>
      </c>
      <c r="BJ250">
        <v>2</v>
      </c>
      <c r="BL250">
        <v>2</v>
      </c>
      <c r="BM250">
        <v>1</v>
      </c>
      <c r="CQ250">
        <v>4</v>
      </c>
      <c r="CR250">
        <v>4</v>
      </c>
      <c r="CS250">
        <v>0</v>
      </c>
      <c r="CT250">
        <v>1</v>
      </c>
      <c r="CU250">
        <v>1</v>
      </c>
      <c r="CV250">
        <v>1</v>
      </c>
      <c r="CW250">
        <v>0</v>
      </c>
      <c r="CX250">
        <v>0</v>
      </c>
      <c r="CY250">
        <v>0</v>
      </c>
      <c r="CZ250">
        <v>0</v>
      </c>
      <c r="DA250">
        <v>0</v>
      </c>
      <c r="DB250">
        <v>1</v>
      </c>
      <c r="DC250">
        <v>0</v>
      </c>
      <c r="DD250">
        <v>1</v>
      </c>
      <c r="DE250">
        <v>1</v>
      </c>
      <c r="DF250">
        <v>0</v>
      </c>
      <c r="DG250">
        <v>0</v>
      </c>
      <c r="DH250">
        <v>0</v>
      </c>
      <c r="DJ250" t="s">
        <v>1257</v>
      </c>
      <c r="DK250">
        <v>1</v>
      </c>
      <c r="DL250">
        <v>2</v>
      </c>
      <c r="DN250">
        <v>1</v>
      </c>
      <c r="DP250">
        <v>1</v>
      </c>
      <c r="DR250" t="s">
        <v>1258</v>
      </c>
      <c r="DS250">
        <v>1</v>
      </c>
      <c r="DU250">
        <v>12</v>
      </c>
      <c r="DV250" t="s">
        <v>1259</v>
      </c>
      <c r="DW250" t="s">
        <v>1260</v>
      </c>
      <c r="DX250">
        <v>3</v>
      </c>
      <c r="DY250" t="s">
        <v>1261</v>
      </c>
      <c r="DZ250">
        <v>4</v>
      </c>
      <c r="EB250">
        <v>0</v>
      </c>
      <c r="EC250">
        <v>0</v>
      </c>
      <c r="ED250">
        <v>1</v>
      </c>
      <c r="EE250">
        <v>0</v>
      </c>
      <c r="EF250">
        <v>0</v>
      </c>
      <c r="EG250">
        <v>1</v>
      </c>
      <c r="EH250">
        <v>0</v>
      </c>
      <c r="EI250">
        <v>0</v>
      </c>
      <c r="EJ250">
        <v>0</v>
      </c>
      <c r="EK250">
        <v>0</v>
      </c>
      <c r="EM250">
        <v>0</v>
      </c>
      <c r="EN250">
        <v>1</v>
      </c>
      <c r="EO250">
        <v>0</v>
      </c>
      <c r="EP250">
        <v>1</v>
      </c>
      <c r="EQ250">
        <v>1</v>
      </c>
      <c r="ER250">
        <v>0</v>
      </c>
      <c r="ES250">
        <v>0</v>
      </c>
      <c r="ET250">
        <v>0</v>
      </c>
      <c r="EU250">
        <v>1</v>
      </c>
      <c r="EV250">
        <v>1</v>
      </c>
      <c r="EW250">
        <v>1</v>
      </c>
      <c r="EX250">
        <v>0</v>
      </c>
      <c r="EY250">
        <v>0</v>
      </c>
      <c r="FB250" t="s">
        <v>274</v>
      </c>
      <c r="FC250">
        <v>1</v>
      </c>
      <c r="FD250">
        <v>0</v>
      </c>
      <c r="FE250">
        <v>0</v>
      </c>
      <c r="FF250">
        <v>0</v>
      </c>
      <c r="FG250">
        <v>0</v>
      </c>
      <c r="FH250">
        <v>0</v>
      </c>
      <c r="FI250">
        <v>0</v>
      </c>
      <c r="FJ250">
        <v>0</v>
      </c>
      <c r="FK250">
        <v>0</v>
      </c>
      <c r="FL250">
        <v>0</v>
      </c>
      <c r="FM250">
        <v>0</v>
      </c>
      <c r="FN250">
        <v>0</v>
      </c>
      <c r="FO250">
        <v>0</v>
      </c>
      <c r="FP250">
        <v>0</v>
      </c>
      <c r="FQ250">
        <v>0</v>
      </c>
      <c r="FR250">
        <v>0</v>
      </c>
      <c r="FS250">
        <v>0</v>
      </c>
      <c r="FT250">
        <v>0</v>
      </c>
      <c r="FU250">
        <v>0</v>
      </c>
      <c r="FV250">
        <v>0</v>
      </c>
      <c r="FW250">
        <v>0</v>
      </c>
      <c r="FX250">
        <v>0</v>
      </c>
      <c r="HC250" t="s">
        <v>1262</v>
      </c>
      <c r="HD250">
        <v>0</v>
      </c>
      <c r="HE250">
        <v>0</v>
      </c>
      <c r="HF250">
        <v>0</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0</v>
      </c>
      <c r="IC250">
        <v>0</v>
      </c>
      <c r="ID250">
        <v>0</v>
      </c>
      <c r="IE250">
        <v>0</v>
      </c>
      <c r="IF250">
        <v>1</v>
      </c>
      <c r="IG250">
        <v>0</v>
      </c>
      <c r="IH250">
        <v>0</v>
      </c>
      <c r="II250">
        <v>0</v>
      </c>
      <c r="IJ250">
        <v>0</v>
      </c>
      <c r="IK250">
        <v>0</v>
      </c>
      <c r="IL250">
        <v>0</v>
      </c>
      <c r="IM250">
        <v>0</v>
      </c>
      <c r="IN250">
        <v>0</v>
      </c>
      <c r="IO250">
        <v>0</v>
      </c>
      <c r="IP250">
        <v>0</v>
      </c>
      <c r="IQ250">
        <v>0</v>
      </c>
      <c r="IR250">
        <v>0</v>
      </c>
      <c r="IS250">
        <v>0</v>
      </c>
      <c r="IT250">
        <v>0</v>
      </c>
      <c r="IU250">
        <v>0</v>
      </c>
      <c r="IV250">
        <v>0</v>
      </c>
      <c r="IW250">
        <v>1</v>
      </c>
      <c r="IZ250">
        <v>1</v>
      </c>
      <c r="JA250">
        <v>1</v>
      </c>
      <c r="JB250">
        <v>1</v>
      </c>
      <c r="JC250">
        <v>0</v>
      </c>
      <c r="JD250">
        <v>0</v>
      </c>
      <c r="JE250">
        <v>0</v>
      </c>
      <c r="JF250">
        <v>0</v>
      </c>
      <c r="JG250">
        <v>0</v>
      </c>
      <c r="JH250">
        <v>0</v>
      </c>
      <c r="JI250">
        <v>0</v>
      </c>
      <c r="JJ250">
        <v>0</v>
      </c>
      <c r="JL250">
        <v>1</v>
      </c>
      <c r="JM250" cm="1">
        <f t="array" ref="JM250">IF(OR(JN250:JQ250 &lt;&gt; ""), 1, 0)</f>
        <v>1</v>
      </c>
      <c r="JN250">
        <v>1</v>
      </c>
      <c r="JO250">
        <v>1</v>
      </c>
      <c r="JP250">
        <v>0</v>
      </c>
      <c r="JQ250">
        <v>0</v>
      </c>
    </row>
    <row r="251" spans="1:278" x14ac:dyDescent="0.35">
      <c r="A251">
        <v>405368</v>
      </c>
      <c r="C251">
        <v>1</v>
      </c>
      <c r="D251" t="s">
        <v>1272</v>
      </c>
      <c r="E251" t="str">
        <f>_xlfn.XLOOKUP(I251, [1]SchoolDistrictStudyWODuplicates!$K:$K, [1]SchoolDistrictStudyWODuplicates!$E:$E, "")</f>
        <v/>
      </c>
      <c r="G251" t="s">
        <v>1273</v>
      </c>
      <c r="H251" s="5" t="e">
        <f>_xlfn.XLOOKUP(A251,#REF!,#REF!, "No")</f>
        <v>#REF!</v>
      </c>
      <c r="I251" s="7">
        <v>5501500</v>
      </c>
      <c r="J251" s="5" t="e">
        <f>_xlfn.XLOOKUP(I251,#REF!,#REF!,"Not Determined")</f>
        <v>#REF!</v>
      </c>
      <c r="K251" s="5" t="s">
        <v>1265</v>
      </c>
      <c r="L251" t="s">
        <v>1274</v>
      </c>
      <c r="M251" s="13" t="e">
        <f>_xlfn.XLOOKUP(I251,#REF!,#REF!, "No")</f>
        <v>#REF!</v>
      </c>
      <c r="N251" s="5" t="str">
        <f t="shared" ref="N251:N260" si="55">IF(AZ251 = 1, "Yes", "No")</f>
        <v>No</v>
      </c>
      <c r="O251" s="5" t="str">
        <f t="shared" ref="O251:O260" si="56">IF(OR(BM251&lt;&gt;"",BH251&lt;&gt;"",BJ251&lt;&gt;"",BL251&lt;&gt;""),"Yes","No")</f>
        <v>Yes</v>
      </c>
      <c r="P251" s="5" t="str">
        <f t="shared" ref="P251:P260" si="57">IF(BM251 = 1, "Yes", "No")</f>
        <v>Yes</v>
      </c>
      <c r="Q251" s="5" t="str">
        <f t="shared" ref="Q251:Q260" si="58">IF(OR(BH251 = 1, BJ251 = 1, BL251 = 1), "Yes", "No")</f>
        <v>Yes</v>
      </c>
      <c r="R251" s="5" t="str">
        <f t="shared" ref="R251:R260" si="59">IF(OR(CQ251 = 1, CQ251 = 2, CQ251 = 3, CQ251 = 4, CQ251 = 5), "Yes", "No")</f>
        <v>Yes</v>
      </c>
      <c r="S251" s="5" t="str">
        <f t="shared" ref="S251:S260" si="60">IF(OR(CR251 = 1, CR251 = 2, CR251 = 3, CR251 = 4, CR251 = 5), "Yes", "No")</f>
        <v>Yes</v>
      </c>
      <c r="T251" s="5" t="str">
        <f t="shared" ref="T251:T260" si="61">IF(OR(CQ251 = 3, CQ251 = 4, CQ251 = 5), "Yes", "No")</f>
        <v>Yes</v>
      </c>
      <c r="U251" s="5" t="str">
        <f t="shared" ref="U251:U260" si="62">IF(OR(CR251 = 3, CR251 = 4, CR251 = 5), "Yes", "No")</f>
        <v>Yes</v>
      </c>
      <c r="V251" s="5" t="str" cm="1">
        <f t="array" ref="V251">IF(OR(DB251:DG251 =1), "Yes", "No")</f>
        <v>No</v>
      </c>
      <c r="W251" s="5" t="str">
        <f t="shared" ref="W251:W260" si="63">IF(JL251 =1, "Yes", "No")</f>
        <v>Yes</v>
      </c>
      <c r="X251" s="5" t="str">
        <f t="shared" ref="X251:X260" si="64">IF(DL251 =1, "Yes", "No")</f>
        <v>No</v>
      </c>
      <c r="Y251" s="5" t="str">
        <f t="shared" ref="Y251:Y260" si="65">IF(DN251 = 1, "Yes", "No")</f>
        <v>No</v>
      </c>
      <c r="Z251">
        <v>3</v>
      </c>
      <c r="AB251">
        <v>1</v>
      </c>
      <c r="AC251">
        <v>0</v>
      </c>
      <c r="AD251">
        <v>1</v>
      </c>
      <c r="AE251">
        <v>0</v>
      </c>
      <c r="AF251">
        <v>0</v>
      </c>
      <c r="AG251">
        <v>0</v>
      </c>
      <c r="AH251">
        <v>0</v>
      </c>
      <c r="AI251">
        <v>1</v>
      </c>
      <c r="AJ251">
        <v>0</v>
      </c>
      <c r="AK251">
        <v>1</v>
      </c>
      <c r="AM251">
        <v>1</v>
      </c>
      <c r="AN251">
        <v>1</v>
      </c>
      <c r="AO251">
        <v>0</v>
      </c>
      <c r="AP251">
        <v>1</v>
      </c>
      <c r="AQ251">
        <v>11</v>
      </c>
      <c r="AS251">
        <v>1</v>
      </c>
      <c r="AT251">
        <v>11</v>
      </c>
      <c r="AV251">
        <v>1</v>
      </c>
      <c r="AW251">
        <v>1</v>
      </c>
      <c r="AX251">
        <v>0</v>
      </c>
      <c r="AY251">
        <v>1</v>
      </c>
      <c r="AZ251">
        <v>0</v>
      </c>
      <c r="BA251">
        <v>0</v>
      </c>
      <c r="BC251">
        <v>2</v>
      </c>
      <c r="BE251">
        <v>1</v>
      </c>
      <c r="BG251">
        <v>1</v>
      </c>
      <c r="BH251">
        <v>1</v>
      </c>
      <c r="BI251">
        <v>4</v>
      </c>
      <c r="BJ251">
        <v>1</v>
      </c>
      <c r="BK251">
        <v>1</v>
      </c>
      <c r="BL251">
        <v>2</v>
      </c>
      <c r="BM251">
        <v>1</v>
      </c>
      <c r="BN251">
        <v>1</v>
      </c>
      <c r="BO251">
        <v>1</v>
      </c>
      <c r="BP251">
        <v>0</v>
      </c>
      <c r="BQ251">
        <v>0</v>
      </c>
      <c r="BR251">
        <v>0</v>
      </c>
      <c r="BS251">
        <v>0</v>
      </c>
      <c r="BT251">
        <v>0</v>
      </c>
      <c r="BV251">
        <v>1</v>
      </c>
      <c r="BW251">
        <v>1</v>
      </c>
      <c r="BX251">
        <v>1</v>
      </c>
      <c r="BY251">
        <v>0</v>
      </c>
      <c r="BZ251">
        <v>1</v>
      </c>
      <c r="CA251">
        <v>0</v>
      </c>
      <c r="CB251">
        <v>0</v>
      </c>
      <c r="CC251">
        <v>0</v>
      </c>
      <c r="CD251">
        <v>1</v>
      </c>
      <c r="CE251">
        <v>0</v>
      </c>
      <c r="CF251">
        <v>0</v>
      </c>
      <c r="CG251">
        <v>0</v>
      </c>
      <c r="CH251">
        <v>0</v>
      </c>
      <c r="CI251">
        <v>0</v>
      </c>
      <c r="CJ251">
        <v>0</v>
      </c>
      <c r="CK251">
        <v>0</v>
      </c>
      <c r="CL251">
        <v>0</v>
      </c>
      <c r="CN251">
        <v>1</v>
      </c>
      <c r="CO251">
        <v>4</v>
      </c>
      <c r="CQ251">
        <v>4</v>
      </c>
      <c r="CR251">
        <v>4</v>
      </c>
      <c r="EB251">
        <v>0</v>
      </c>
      <c r="EC251">
        <v>0</v>
      </c>
      <c r="ED251">
        <v>1</v>
      </c>
      <c r="EE251">
        <v>0</v>
      </c>
      <c r="EF251">
        <v>0</v>
      </c>
      <c r="EG251">
        <v>0</v>
      </c>
      <c r="EH251">
        <v>0</v>
      </c>
      <c r="EI251">
        <v>0</v>
      </c>
      <c r="EJ251">
        <v>0</v>
      </c>
      <c r="EK251">
        <v>0</v>
      </c>
      <c r="EM251">
        <v>0</v>
      </c>
      <c r="EN251">
        <v>1</v>
      </c>
      <c r="EO251">
        <v>0</v>
      </c>
      <c r="EP251">
        <v>0</v>
      </c>
      <c r="EQ251">
        <v>0</v>
      </c>
      <c r="ER251">
        <v>0</v>
      </c>
      <c r="ES251">
        <v>0</v>
      </c>
      <c r="ET251">
        <v>0</v>
      </c>
      <c r="EU251">
        <v>0</v>
      </c>
      <c r="EV251">
        <v>0</v>
      </c>
      <c r="EW251">
        <v>0</v>
      </c>
      <c r="EX251">
        <v>0</v>
      </c>
      <c r="EY251">
        <v>0</v>
      </c>
      <c r="FB251" t="s">
        <v>1275</v>
      </c>
      <c r="FC251">
        <v>1</v>
      </c>
      <c r="FD251">
        <v>0</v>
      </c>
      <c r="FE251">
        <v>0</v>
      </c>
      <c r="FF251">
        <v>0</v>
      </c>
      <c r="FG251">
        <v>0</v>
      </c>
      <c r="FH251">
        <v>0</v>
      </c>
      <c r="FI251">
        <v>0</v>
      </c>
      <c r="FJ251">
        <v>0</v>
      </c>
      <c r="FK251">
        <v>0</v>
      </c>
      <c r="FL251">
        <v>0</v>
      </c>
      <c r="FM251">
        <v>0</v>
      </c>
      <c r="FN251">
        <v>0</v>
      </c>
      <c r="FO251">
        <v>0</v>
      </c>
      <c r="FP251">
        <v>0</v>
      </c>
      <c r="FQ251">
        <v>0</v>
      </c>
      <c r="FR251">
        <v>0</v>
      </c>
      <c r="FS251">
        <v>0</v>
      </c>
      <c r="FT251">
        <v>0</v>
      </c>
      <c r="FU251">
        <v>0</v>
      </c>
      <c r="FV251">
        <v>0</v>
      </c>
      <c r="FW251">
        <v>0</v>
      </c>
      <c r="FX251">
        <v>0</v>
      </c>
      <c r="IZ251">
        <v>1</v>
      </c>
      <c r="JA251">
        <v>0</v>
      </c>
      <c r="JB251">
        <v>1</v>
      </c>
      <c r="JC251">
        <v>0</v>
      </c>
      <c r="JD251">
        <v>0</v>
      </c>
      <c r="JE251">
        <v>0</v>
      </c>
      <c r="JF251">
        <v>0</v>
      </c>
      <c r="JG251">
        <v>1</v>
      </c>
      <c r="JH251">
        <v>0</v>
      </c>
      <c r="JI251">
        <v>0</v>
      </c>
      <c r="JJ251">
        <v>0</v>
      </c>
      <c r="JL251">
        <v>1</v>
      </c>
      <c r="JM251" cm="1">
        <f t="array" ref="JM251">IF(OR(JN251:JQ251 &lt;&gt; ""), 1, 0)</f>
        <v>1</v>
      </c>
      <c r="JN251">
        <v>0</v>
      </c>
      <c r="JO251">
        <v>1</v>
      </c>
      <c r="JP251">
        <v>0</v>
      </c>
      <c r="JQ251">
        <v>0</v>
      </c>
    </row>
    <row r="252" spans="1:278" x14ac:dyDescent="0.35">
      <c r="A252">
        <v>375096</v>
      </c>
      <c r="C252">
        <v>1</v>
      </c>
      <c r="D252" t="s">
        <v>1276</v>
      </c>
      <c r="E252" t="str">
        <f>_xlfn.XLOOKUP(I252, [1]SchoolDistrictStudyWODuplicates!$K:$K, [1]SchoolDistrictStudyWODuplicates!$E:$E, "")</f>
        <v>Cochrane Fountain City School</v>
      </c>
      <c r="G252" t="s">
        <v>1277</v>
      </c>
      <c r="H252" s="5" t="e">
        <f>_xlfn.XLOOKUP(A252,#REF!,#REF!, "No")</f>
        <v>#REF!</v>
      </c>
      <c r="I252" s="7">
        <v>5502700</v>
      </c>
      <c r="J252" s="5" t="e">
        <f>_xlfn.XLOOKUP(I252,#REF!,#REF!,"Not Determined")</f>
        <v>#REF!</v>
      </c>
      <c r="K252" s="5" t="s">
        <v>1265</v>
      </c>
      <c r="L252" t="s">
        <v>1274</v>
      </c>
      <c r="M252" s="13" t="e">
        <f>_xlfn.XLOOKUP(I252,#REF!,#REF!, "No")</f>
        <v>#REF!</v>
      </c>
      <c r="N252" s="5" t="str">
        <f t="shared" si="55"/>
        <v>No</v>
      </c>
      <c r="O252" s="5" t="str">
        <f t="shared" si="56"/>
        <v>Yes</v>
      </c>
      <c r="P252" s="5" t="str">
        <f t="shared" si="57"/>
        <v>Yes</v>
      </c>
      <c r="Q252" s="5" t="str">
        <f t="shared" si="58"/>
        <v>Yes</v>
      </c>
      <c r="R252" s="5" t="str">
        <f t="shared" si="59"/>
        <v>No</v>
      </c>
      <c r="S252" s="5" t="str">
        <f t="shared" si="60"/>
        <v>No</v>
      </c>
      <c r="T252" s="5" t="str">
        <f t="shared" si="61"/>
        <v>No</v>
      </c>
      <c r="U252" s="5" t="str">
        <f t="shared" si="62"/>
        <v>No</v>
      </c>
      <c r="V252" s="5" t="str" cm="1">
        <f t="array" ref="V252">IF(OR(DB252:DG252 =1), "Yes", "No")</f>
        <v>No</v>
      </c>
      <c r="W252" s="5" t="str">
        <f t="shared" si="63"/>
        <v>No</v>
      </c>
      <c r="X252" s="5" t="str">
        <f t="shared" si="64"/>
        <v>No</v>
      </c>
      <c r="Y252" s="5" t="str">
        <f t="shared" si="65"/>
        <v>No</v>
      </c>
      <c r="Z252">
        <v>4</v>
      </c>
      <c r="AB252">
        <v>0</v>
      </c>
      <c r="AC252">
        <v>0</v>
      </c>
      <c r="AD252">
        <v>0</v>
      </c>
      <c r="AE252">
        <v>1</v>
      </c>
      <c r="AF252">
        <v>0</v>
      </c>
      <c r="AG252">
        <v>0</v>
      </c>
      <c r="AH252">
        <v>0</v>
      </c>
      <c r="AI252">
        <v>0</v>
      </c>
      <c r="AJ252">
        <v>0</v>
      </c>
      <c r="AK252">
        <v>1</v>
      </c>
      <c r="AM252">
        <v>0</v>
      </c>
      <c r="AN252">
        <v>1</v>
      </c>
      <c r="AO252">
        <v>0</v>
      </c>
      <c r="AQ252">
        <v>14</v>
      </c>
      <c r="AT252">
        <v>14</v>
      </c>
      <c r="AV252">
        <v>1</v>
      </c>
      <c r="AW252">
        <v>0</v>
      </c>
      <c r="AX252">
        <v>0</v>
      </c>
      <c r="AY252">
        <v>0</v>
      </c>
      <c r="AZ252">
        <v>0</v>
      </c>
      <c r="BA252">
        <v>0</v>
      </c>
      <c r="BC252">
        <v>1</v>
      </c>
      <c r="BE252">
        <v>1</v>
      </c>
      <c r="BG252">
        <v>1</v>
      </c>
      <c r="BH252">
        <v>1</v>
      </c>
      <c r="BI252">
        <v>5</v>
      </c>
      <c r="BJ252">
        <v>1</v>
      </c>
      <c r="BK252">
        <v>5</v>
      </c>
      <c r="BL252">
        <v>1</v>
      </c>
      <c r="BM252">
        <v>1</v>
      </c>
      <c r="BN252">
        <v>2</v>
      </c>
      <c r="BV252">
        <v>1</v>
      </c>
      <c r="BW252">
        <v>0</v>
      </c>
      <c r="BX252">
        <v>1</v>
      </c>
      <c r="BY252">
        <v>0</v>
      </c>
      <c r="BZ252">
        <v>1</v>
      </c>
      <c r="CA252">
        <v>0</v>
      </c>
      <c r="CB252">
        <v>0</v>
      </c>
      <c r="CC252">
        <v>0</v>
      </c>
      <c r="CD252">
        <v>0</v>
      </c>
      <c r="CE252">
        <v>0</v>
      </c>
      <c r="CF252">
        <v>0</v>
      </c>
      <c r="CG252">
        <v>0</v>
      </c>
      <c r="CH252">
        <v>0</v>
      </c>
      <c r="CI252">
        <v>1</v>
      </c>
      <c r="CJ252">
        <v>0</v>
      </c>
      <c r="CK252">
        <v>0</v>
      </c>
      <c r="CL252">
        <v>0</v>
      </c>
      <c r="CN252">
        <v>5</v>
      </c>
      <c r="CO252">
        <v>4</v>
      </c>
      <c r="CQ252">
        <v>6</v>
      </c>
      <c r="CR252">
        <v>6</v>
      </c>
      <c r="EB252">
        <v>0</v>
      </c>
      <c r="EC252">
        <v>1</v>
      </c>
      <c r="ED252">
        <v>1</v>
      </c>
      <c r="EE252">
        <v>0</v>
      </c>
      <c r="EF252">
        <v>0</v>
      </c>
      <c r="EG252">
        <v>1</v>
      </c>
      <c r="EH252">
        <v>0</v>
      </c>
      <c r="EI252">
        <v>0</v>
      </c>
      <c r="EJ252">
        <v>0</v>
      </c>
      <c r="EK252">
        <v>0</v>
      </c>
      <c r="EM252">
        <v>0</v>
      </c>
      <c r="EN252">
        <v>0</v>
      </c>
      <c r="EO252">
        <v>0</v>
      </c>
      <c r="EP252">
        <v>1</v>
      </c>
      <c r="EQ252">
        <v>0</v>
      </c>
      <c r="ER252">
        <v>0</v>
      </c>
      <c r="ES252">
        <v>0</v>
      </c>
      <c r="ET252">
        <v>0</v>
      </c>
      <c r="EU252">
        <v>1</v>
      </c>
      <c r="EV252">
        <v>0</v>
      </c>
      <c r="EW252">
        <v>1</v>
      </c>
      <c r="EX252">
        <v>0</v>
      </c>
      <c r="EY252">
        <v>0</v>
      </c>
      <c r="IZ252">
        <v>0</v>
      </c>
      <c r="JA252">
        <v>0</v>
      </c>
      <c r="JB252">
        <v>0</v>
      </c>
      <c r="JC252">
        <v>0</v>
      </c>
      <c r="JD252">
        <v>0</v>
      </c>
      <c r="JE252">
        <v>0</v>
      </c>
      <c r="JF252">
        <v>0</v>
      </c>
      <c r="JG252">
        <v>0</v>
      </c>
      <c r="JH252">
        <v>0</v>
      </c>
      <c r="JI252">
        <v>0</v>
      </c>
      <c r="JJ252">
        <v>1</v>
      </c>
      <c r="JL252">
        <v>2</v>
      </c>
      <c r="JM252" cm="1">
        <f t="array" ref="JM252">IF(OR(JN252:JQ252 &lt;&gt; ""), 1, 0)</f>
        <v>0</v>
      </c>
    </row>
    <row r="253" spans="1:278" x14ac:dyDescent="0.35">
      <c r="A253">
        <v>405321</v>
      </c>
      <c r="C253">
        <v>1</v>
      </c>
      <c r="D253" t="s">
        <v>1278</v>
      </c>
      <c r="E253" t="str">
        <f>_xlfn.XLOOKUP(I253, [1]SchoolDistrictStudyWODuplicates!$K:$K, [1]SchoolDistrictStudyWODuplicates!$E:$E, "")</f>
        <v/>
      </c>
      <c r="G253" t="s">
        <v>1279</v>
      </c>
      <c r="H253" s="5" t="e">
        <f>_xlfn.XLOOKUP(A253,#REF!,#REF!, "No")</f>
        <v>#REF!</v>
      </c>
      <c r="I253" s="7">
        <v>5504320</v>
      </c>
      <c r="J253" s="5" t="e">
        <f>_xlfn.XLOOKUP(I253,#REF!,#REF!,"Not Determined")</f>
        <v>#REF!</v>
      </c>
      <c r="K253" s="5" t="s">
        <v>1265</v>
      </c>
      <c r="L253" t="s">
        <v>1274</v>
      </c>
      <c r="M253" s="13" t="e">
        <f>_xlfn.XLOOKUP(I253,#REF!,#REF!, "No")</f>
        <v>#REF!</v>
      </c>
      <c r="N253" s="5" t="str">
        <f t="shared" si="55"/>
        <v>No</v>
      </c>
      <c r="O253" s="5" t="str">
        <f t="shared" si="56"/>
        <v>Yes</v>
      </c>
      <c r="P253" s="5" t="str">
        <f t="shared" si="57"/>
        <v>Yes</v>
      </c>
      <c r="Q253" s="5" t="str">
        <f t="shared" si="58"/>
        <v>Yes</v>
      </c>
      <c r="R253" s="5" t="str">
        <f t="shared" si="59"/>
        <v>Yes</v>
      </c>
      <c r="S253" s="5" t="str">
        <f t="shared" si="60"/>
        <v>Yes</v>
      </c>
      <c r="T253" s="5" t="str">
        <f t="shared" si="61"/>
        <v>Yes</v>
      </c>
      <c r="U253" s="5" t="str">
        <f t="shared" si="62"/>
        <v>Yes</v>
      </c>
      <c r="V253" s="5" t="str" cm="1">
        <f t="array" ref="V253">IF(OR(DB253:DG253 =1), "Yes", "No")</f>
        <v>No</v>
      </c>
      <c r="W253" s="5" t="str">
        <f t="shared" si="63"/>
        <v>Yes</v>
      </c>
      <c r="X253" s="5" t="str">
        <f t="shared" si="64"/>
        <v>No</v>
      </c>
      <c r="Y253" s="5" t="str">
        <f t="shared" si="65"/>
        <v>No</v>
      </c>
      <c r="Z253">
        <v>3</v>
      </c>
      <c r="AB253">
        <v>1</v>
      </c>
      <c r="AC253">
        <v>0</v>
      </c>
      <c r="AD253">
        <v>1</v>
      </c>
      <c r="AE253">
        <v>0</v>
      </c>
      <c r="AF253">
        <v>0</v>
      </c>
      <c r="AG253">
        <v>0</v>
      </c>
      <c r="AH253">
        <v>0</v>
      </c>
      <c r="AI253">
        <v>1</v>
      </c>
      <c r="AJ253">
        <v>0</v>
      </c>
      <c r="AK253">
        <v>1</v>
      </c>
      <c r="AM253">
        <v>1</v>
      </c>
      <c r="AN253">
        <v>1</v>
      </c>
      <c r="AO253">
        <v>0</v>
      </c>
      <c r="AP253">
        <v>2</v>
      </c>
      <c r="AQ253">
        <v>30</v>
      </c>
      <c r="AS253">
        <v>2</v>
      </c>
      <c r="AT253">
        <v>30</v>
      </c>
      <c r="AV253">
        <v>1</v>
      </c>
      <c r="AW253">
        <v>0</v>
      </c>
      <c r="AX253">
        <v>0</v>
      </c>
      <c r="AY253">
        <v>0</v>
      </c>
      <c r="AZ253">
        <v>0</v>
      </c>
      <c r="BA253">
        <v>0</v>
      </c>
      <c r="BC253">
        <v>1</v>
      </c>
      <c r="BE253">
        <v>1</v>
      </c>
      <c r="BG253">
        <v>1</v>
      </c>
      <c r="BH253">
        <v>1</v>
      </c>
      <c r="BI253">
        <v>5</v>
      </c>
      <c r="BJ253">
        <v>1</v>
      </c>
      <c r="BK253">
        <v>4</v>
      </c>
      <c r="BL253">
        <v>1</v>
      </c>
      <c r="BM253">
        <v>1</v>
      </c>
      <c r="BN253">
        <v>2</v>
      </c>
      <c r="BV253">
        <v>0</v>
      </c>
      <c r="BW253">
        <v>0</v>
      </c>
      <c r="BX253">
        <v>1</v>
      </c>
      <c r="BY253">
        <v>1</v>
      </c>
      <c r="BZ253">
        <v>1</v>
      </c>
      <c r="CA253">
        <v>0</v>
      </c>
      <c r="CB253">
        <v>0</v>
      </c>
      <c r="CC253">
        <v>0</v>
      </c>
      <c r="CD253">
        <v>1</v>
      </c>
      <c r="CE253">
        <v>0</v>
      </c>
      <c r="CF253">
        <v>0</v>
      </c>
      <c r="CG253">
        <v>1</v>
      </c>
      <c r="CH253">
        <v>0</v>
      </c>
      <c r="CI253">
        <v>1</v>
      </c>
      <c r="CJ253">
        <v>0</v>
      </c>
      <c r="CK253">
        <v>1</v>
      </c>
      <c r="CL253">
        <v>0</v>
      </c>
      <c r="CN253">
        <v>5</v>
      </c>
      <c r="CO253">
        <v>4</v>
      </c>
      <c r="CQ253">
        <v>3</v>
      </c>
      <c r="CR253">
        <v>3</v>
      </c>
      <c r="EB253">
        <v>1</v>
      </c>
      <c r="EC253">
        <v>1</v>
      </c>
      <c r="ED253">
        <v>0</v>
      </c>
      <c r="EE253">
        <v>1</v>
      </c>
      <c r="EF253">
        <v>0</v>
      </c>
      <c r="EG253">
        <v>1</v>
      </c>
      <c r="EH253">
        <v>0</v>
      </c>
      <c r="EI253">
        <v>0</v>
      </c>
      <c r="EJ253">
        <v>0</v>
      </c>
      <c r="EK253">
        <v>0</v>
      </c>
      <c r="EM253">
        <v>0</v>
      </c>
      <c r="EN253">
        <v>1</v>
      </c>
      <c r="EO253">
        <v>0</v>
      </c>
      <c r="EP253">
        <v>1</v>
      </c>
      <c r="EQ253">
        <v>1</v>
      </c>
      <c r="ER253">
        <v>0</v>
      </c>
      <c r="ES253">
        <v>0</v>
      </c>
      <c r="ET253">
        <v>0</v>
      </c>
      <c r="EU253">
        <v>0</v>
      </c>
      <c r="EV253">
        <v>0</v>
      </c>
      <c r="EW253">
        <v>1</v>
      </c>
      <c r="EX253">
        <v>0</v>
      </c>
      <c r="EY253">
        <v>0</v>
      </c>
      <c r="FB253" t="s">
        <v>274</v>
      </c>
      <c r="FC253">
        <v>1</v>
      </c>
      <c r="FD253">
        <v>0</v>
      </c>
      <c r="FE253">
        <v>0</v>
      </c>
      <c r="FF253">
        <v>0</v>
      </c>
      <c r="FG253">
        <v>0</v>
      </c>
      <c r="FH253">
        <v>0</v>
      </c>
      <c r="FI253">
        <v>0</v>
      </c>
      <c r="FJ253">
        <v>0</v>
      </c>
      <c r="FK253">
        <v>0</v>
      </c>
      <c r="FL253">
        <v>0</v>
      </c>
      <c r="FM253">
        <v>0</v>
      </c>
      <c r="FN253">
        <v>0</v>
      </c>
      <c r="FO253">
        <v>0</v>
      </c>
      <c r="FP253">
        <v>0</v>
      </c>
      <c r="FQ253">
        <v>0</v>
      </c>
      <c r="FR253">
        <v>0</v>
      </c>
      <c r="FS253">
        <v>0</v>
      </c>
      <c r="FT253">
        <v>0</v>
      </c>
      <c r="FU253">
        <v>0</v>
      </c>
      <c r="FV253">
        <v>0</v>
      </c>
      <c r="FW253">
        <v>0</v>
      </c>
      <c r="FX253">
        <v>0</v>
      </c>
      <c r="IZ253">
        <v>1</v>
      </c>
      <c r="JA253">
        <v>0</v>
      </c>
      <c r="JB253">
        <v>1</v>
      </c>
      <c r="JC253">
        <v>0</v>
      </c>
      <c r="JD253">
        <v>0</v>
      </c>
      <c r="JE253">
        <v>0</v>
      </c>
      <c r="JF253">
        <v>0</v>
      </c>
      <c r="JG253">
        <v>1</v>
      </c>
      <c r="JH253">
        <v>0</v>
      </c>
      <c r="JI253">
        <v>0</v>
      </c>
      <c r="JJ253">
        <v>0</v>
      </c>
      <c r="JL253">
        <v>1</v>
      </c>
      <c r="JM253" cm="1">
        <f t="array" ref="JM253">IF(OR(JN253:JQ253 &lt;&gt; ""), 1, 0)</f>
        <v>1</v>
      </c>
      <c r="JN253">
        <v>1</v>
      </c>
      <c r="JO253">
        <v>0</v>
      </c>
      <c r="JP253">
        <v>0</v>
      </c>
      <c r="JQ253">
        <v>0</v>
      </c>
    </row>
    <row r="254" spans="1:278" x14ac:dyDescent="0.35">
      <c r="A254">
        <v>405349</v>
      </c>
      <c r="C254">
        <v>1</v>
      </c>
      <c r="D254" t="s">
        <v>1280</v>
      </c>
      <c r="E254" t="str">
        <f>_xlfn.XLOOKUP(I254, [1]SchoolDistrictStudyWODuplicates!$K:$K, [1]SchoolDistrictStudyWODuplicates!$E:$E, "")</f>
        <v>Niagara public schools</v>
      </c>
      <c r="G254" t="s">
        <v>1281</v>
      </c>
      <c r="H254" s="5" t="e">
        <f>_xlfn.XLOOKUP(A254,#REF!,#REF!, "No")</f>
        <v>#REF!</v>
      </c>
      <c r="I254" s="7">
        <v>5510680</v>
      </c>
      <c r="J254" s="5" t="e">
        <f>_xlfn.XLOOKUP(I254,#REF!,#REF!,"Not Determined")</f>
        <v>#REF!</v>
      </c>
      <c r="K254" s="5" t="s">
        <v>1265</v>
      </c>
      <c r="L254" t="s">
        <v>1274</v>
      </c>
      <c r="M254" s="13" t="e">
        <f>_xlfn.XLOOKUP(I254,#REF!,#REF!, "No")</f>
        <v>#REF!</v>
      </c>
      <c r="N254" s="5" t="str">
        <f t="shared" si="55"/>
        <v>No</v>
      </c>
      <c r="O254" s="5" t="str">
        <f t="shared" si="56"/>
        <v>Yes</v>
      </c>
      <c r="P254" s="5" t="str">
        <f t="shared" si="57"/>
        <v>Yes</v>
      </c>
      <c r="Q254" s="5" t="str">
        <f t="shared" si="58"/>
        <v>Yes</v>
      </c>
      <c r="R254" s="5" t="str">
        <f t="shared" si="59"/>
        <v>Yes</v>
      </c>
      <c r="S254" s="5" t="str">
        <f t="shared" si="60"/>
        <v>Yes</v>
      </c>
      <c r="T254" s="5" t="str">
        <f t="shared" si="61"/>
        <v>Yes</v>
      </c>
      <c r="U254" s="5" t="str">
        <f t="shared" si="62"/>
        <v>Yes</v>
      </c>
      <c r="V254" s="5" t="str" cm="1">
        <f t="array" ref="V254">IF(OR(DB254:DG254 =1), "Yes", "No")</f>
        <v>No</v>
      </c>
      <c r="W254" s="5" t="str">
        <f t="shared" si="63"/>
        <v>No</v>
      </c>
      <c r="X254" s="5" t="str">
        <f t="shared" si="64"/>
        <v>No</v>
      </c>
      <c r="Y254" s="5" t="str">
        <f t="shared" si="65"/>
        <v>No</v>
      </c>
      <c r="Z254">
        <v>3</v>
      </c>
      <c r="AB254">
        <v>1</v>
      </c>
      <c r="AC254">
        <v>0</v>
      </c>
      <c r="AD254">
        <v>0</v>
      </c>
      <c r="AE254">
        <v>0</v>
      </c>
      <c r="AF254">
        <v>0</v>
      </c>
      <c r="AG254">
        <v>0</v>
      </c>
      <c r="AH254">
        <v>0</v>
      </c>
      <c r="AI254">
        <v>0</v>
      </c>
      <c r="AJ254">
        <v>0</v>
      </c>
      <c r="AK254">
        <v>1</v>
      </c>
      <c r="AM254">
        <v>1</v>
      </c>
      <c r="AN254">
        <v>1</v>
      </c>
      <c r="AO254">
        <v>1</v>
      </c>
      <c r="AP254">
        <v>0</v>
      </c>
      <c r="AQ254">
        <v>5</v>
      </c>
      <c r="AR254">
        <v>0</v>
      </c>
      <c r="AT254">
        <v>5</v>
      </c>
      <c r="AV254">
        <v>1</v>
      </c>
      <c r="AW254">
        <v>0</v>
      </c>
      <c r="AX254">
        <v>0</v>
      </c>
      <c r="AY254">
        <v>0</v>
      </c>
      <c r="AZ254">
        <v>0</v>
      </c>
      <c r="BA254">
        <v>0</v>
      </c>
      <c r="BC254">
        <v>1</v>
      </c>
      <c r="BE254">
        <v>1</v>
      </c>
      <c r="BG254">
        <v>1</v>
      </c>
      <c r="BH254">
        <v>1</v>
      </c>
      <c r="BI254">
        <v>4</v>
      </c>
      <c r="BJ254">
        <v>1</v>
      </c>
      <c r="BK254">
        <v>4</v>
      </c>
      <c r="BL254">
        <v>1</v>
      </c>
      <c r="BM254">
        <v>1</v>
      </c>
      <c r="BN254">
        <v>2</v>
      </c>
      <c r="BV254">
        <v>0</v>
      </c>
      <c r="BW254">
        <v>0</v>
      </c>
      <c r="BX254">
        <v>0</v>
      </c>
      <c r="BY254">
        <v>1</v>
      </c>
      <c r="BZ254">
        <v>0</v>
      </c>
      <c r="CA254">
        <v>0</v>
      </c>
      <c r="CB254">
        <v>0</v>
      </c>
      <c r="CC254">
        <v>0</v>
      </c>
      <c r="CD254">
        <v>0</v>
      </c>
      <c r="CE254">
        <v>1</v>
      </c>
      <c r="CF254">
        <v>0</v>
      </c>
      <c r="CG254">
        <v>1</v>
      </c>
      <c r="CH254">
        <v>0</v>
      </c>
      <c r="CI254">
        <v>0</v>
      </c>
      <c r="CJ254">
        <v>0</v>
      </c>
      <c r="CK254">
        <v>1</v>
      </c>
      <c r="CL254">
        <v>0</v>
      </c>
      <c r="CN254">
        <v>16</v>
      </c>
      <c r="CO254">
        <v>4</v>
      </c>
      <c r="CQ254">
        <v>5</v>
      </c>
      <c r="CR254">
        <v>4</v>
      </c>
      <c r="EB254">
        <v>0</v>
      </c>
      <c r="EC254">
        <v>0</v>
      </c>
      <c r="ED254">
        <v>0</v>
      </c>
      <c r="EE254">
        <v>0</v>
      </c>
      <c r="EF254">
        <v>1</v>
      </c>
      <c r="EG254">
        <v>0</v>
      </c>
      <c r="EH254">
        <v>0</v>
      </c>
      <c r="EI254">
        <v>1</v>
      </c>
      <c r="EJ254">
        <v>0</v>
      </c>
      <c r="EK254">
        <v>0</v>
      </c>
      <c r="EM254">
        <v>1</v>
      </c>
      <c r="EN254">
        <v>0</v>
      </c>
      <c r="EO254">
        <v>0</v>
      </c>
      <c r="EP254">
        <v>0</v>
      </c>
      <c r="EQ254">
        <v>0</v>
      </c>
      <c r="ER254">
        <v>0</v>
      </c>
      <c r="ES254">
        <v>0</v>
      </c>
      <c r="ET254">
        <v>0</v>
      </c>
      <c r="EU254">
        <v>0</v>
      </c>
      <c r="EV254">
        <v>0</v>
      </c>
      <c r="EW254">
        <v>1</v>
      </c>
      <c r="EX254">
        <v>0</v>
      </c>
      <c r="EY254">
        <v>0</v>
      </c>
      <c r="EZ254" t="s">
        <v>421</v>
      </c>
      <c r="FA254">
        <v>9</v>
      </c>
      <c r="IZ254">
        <v>1</v>
      </c>
      <c r="JA254">
        <v>0</v>
      </c>
      <c r="JB254">
        <v>1</v>
      </c>
      <c r="JC254">
        <v>0</v>
      </c>
      <c r="JD254">
        <v>0</v>
      </c>
      <c r="JE254">
        <v>0</v>
      </c>
      <c r="JF254">
        <v>0</v>
      </c>
      <c r="JG254">
        <v>0</v>
      </c>
      <c r="JH254">
        <v>1</v>
      </c>
      <c r="JI254">
        <v>0</v>
      </c>
      <c r="JJ254">
        <v>0</v>
      </c>
      <c r="JL254">
        <v>2</v>
      </c>
      <c r="JM254" cm="1">
        <f t="array" ref="JM254">IF(OR(JN254:JQ254 &lt;&gt; ""), 1, 0)</f>
        <v>0</v>
      </c>
    </row>
    <row r="255" spans="1:278" x14ac:dyDescent="0.35">
      <c r="A255">
        <v>363742</v>
      </c>
      <c r="C255">
        <v>1</v>
      </c>
      <c r="D255" t="s">
        <v>1282</v>
      </c>
      <c r="E255" t="str">
        <f>_xlfn.XLOOKUP(I255, [1]SchoolDistrictStudyWODuplicates!$K:$K, [1]SchoolDistrictStudyWODuplicates!$E:$E, "")</f>
        <v/>
      </c>
      <c r="G255" t="s">
        <v>1283</v>
      </c>
      <c r="H255" s="5" t="e">
        <f>_xlfn.XLOOKUP(A255,#REF!,#REF!, "No")</f>
        <v>#REF!</v>
      </c>
      <c r="I255" s="7">
        <v>510950</v>
      </c>
      <c r="J255" s="5" t="e">
        <f>_xlfn.XLOOKUP(I255,#REF!,#REF!,"Not Determined")</f>
        <v>#REF!</v>
      </c>
      <c r="K255" s="5" t="s">
        <v>1265</v>
      </c>
      <c r="L255" t="s">
        <v>1274</v>
      </c>
      <c r="M255" s="13" t="e">
        <f>_xlfn.XLOOKUP(I255,#REF!,#REF!, "No")</f>
        <v>#REF!</v>
      </c>
      <c r="N255" s="5" t="str">
        <f t="shared" si="55"/>
        <v>No</v>
      </c>
      <c r="O255" s="5" t="str">
        <f t="shared" si="56"/>
        <v>Yes</v>
      </c>
      <c r="P255" s="5" t="str">
        <f t="shared" si="57"/>
        <v>Yes</v>
      </c>
      <c r="Q255" s="5" t="str">
        <f t="shared" si="58"/>
        <v>Yes</v>
      </c>
      <c r="R255" s="5" t="str">
        <f t="shared" si="59"/>
        <v>Yes</v>
      </c>
      <c r="S255" s="5" t="str">
        <f t="shared" si="60"/>
        <v>Yes</v>
      </c>
      <c r="T255" s="5" t="str">
        <f t="shared" si="61"/>
        <v>Yes</v>
      </c>
      <c r="U255" s="5" t="str">
        <f t="shared" si="62"/>
        <v>Yes</v>
      </c>
      <c r="V255" s="5" t="str" cm="1">
        <f t="array" ref="V255">IF(OR(DB255:DG255 =1), "Yes", "No")</f>
        <v>No</v>
      </c>
      <c r="W255" s="5" t="str">
        <f t="shared" si="63"/>
        <v>Yes</v>
      </c>
      <c r="X255" s="5" t="str">
        <f t="shared" si="64"/>
        <v>No</v>
      </c>
      <c r="Y255" s="5" t="str">
        <f t="shared" si="65"/>
        <v>No</v>
      </c>
      <c r="Z255">
        <v>3</v>
      </c>
      <c r="AB255">
        <v>0</v>
      </c>
      <c r="AC255">
        <v>0</v>
      </c>
      <c r="AD255">
        <v>1</v>
      </c>
      <c r="AE255">
        <v>0</v>
      </c>
      <c r="AF255">
        <v>0</v>
      </c>
      <c r="AG255">
        <v>1</v>
      </c>
      <c r="AH255">
        <v>0</v>
      </c>
      <c r="AI255">
        <v>1</v>
      </c>
      <c r="AJ255">
        <v>0</v>
      </c>
      <c r="AK255">
        <v>1</v>
      </c>
      <c r="AM255">
        <v>1</v>
      </c>
      <c r="AN255">
        <v>1</v>
      </c>
      <c r="AO255">
        <v>0</v>
      </c>
      <c r="AP255">
        <v>2</v>
      </c>
      <c r="AQ255">
        <v>24</v>
      </c>
      <c r="AS255">
        <v>2</v>
      </c>
      <c r="AT255">
        <v>24</v>
      </c>
      <c r="AV255">
        <v>1</v>
      </c>
      <c r="AW255">
        <v>1</v>
      </c>
      <c r="AX255">
        <v>0</v>
      </c>
      <c r="AY255">
        <v>0</v>
      </c>
      <c r="AZ255">
        <v>0</v>
      </c>
      <c r="BA255">
        <v>0</v>
      </c>
      <c r="BC255">
        <v>1</v>
      </c>
      <c r="BE255">
        <v>1</v>
      </c>
      <c r="BG255">
        <v>1</v>
      </c>
      <c r="BH255">
        <v>1</v>
      </c>
      <c r="BI255">
        <v>4</v>
      </c>
      <c r="BJ255">
        <v>2</v>
      </c>
      <c r="BL255">
        <v>2</v>
      </c>
      <c r="BM255">
        <v>1</v>
      </c>
      <c r="BN255">
        <v>1</v>
      </c>
      <c r="BO255">
        <v>0</v>
      </c>
      <c r="BP255">
        <v>0</v>
      </c>
      <c r="BQ255">
        <v>0</v>
      </c>
      <c r="BR255">
        <v>0</v>
      </c>
      <c r="BS255">
        <v>0</v>
      </c>
      <c r="BT255">
        <v>1</v>
      </c>
      <c r="BU255" t="s">
        <v>1284</v>
      </c>
      <c r="BV255">
        <v>0</v>
      </c>
      <c r="BW255">
        <v>1</v>
      </c>
      <c r="BX255">
        <v>0</v>
      </c>
      <c r="BY255">
        <v>0</v>
      </c>
      <c r="BZ255">
        <v>0</v>
      </c>
      <c r="CA255">
        <v>0</v>
      </c>
      <c r="CB255">
        <v>0</v>
      </c>
      <c r="CC255">
        <v>0</v>
      </c>
      <c r="CD255">
        <v>0</v>
      </c>
      <c r="CE255">
        <v>0</v>
      </c>
      <c r="CF255">
        <v>0</v>
      </c>
      <c r="CG255">
        <v>0</v>
      </c>
      <c r="CH255">
        <v>0</v>
      </c>
      <c r="CI255">
        <v>1</v>
      </c>
      <c r="CJ255">
        <v>0</v>
      </c>
      <c r="CK255">
        <v>0</v>
      </c>
      <c r="CL255">
        <v>0</v>
      </c>
      <c r="CN255">
        <v>1</v>
      </c>
      <c r="CO255">
        <v>4</v>
      </c>
      <c r="CQ255">
        <v>4</v>
      </c>
      <c r="CR255">
        <v>4</v>
      </c>
      <c r="EB255">
        <v>0</v>
      </c>
      <c r="EC255">
        <v>0</v>
      </c>
      <c r="ED255">
        <v>1</v>
      </c>
      <c r="EE255">
        <v>1</v>
      </c>
      <c r="EF255">
        <v>1</v>
      </c>
      <c r="EG255">
        <v>0</v>
      </c>
      <c r="EH255">
        <v>0</v>
      </c>
      <c r="EI255">
        <v>0</v>
      </c>
      <c r="EJ255">
        <v>0</v>
      </c>
      <c r="EK255">
        <v>0</v>
      </c>
      <c r="EM255">
        <v>0</v>
      </c>
      <c r="EN255">
        <v>0</v>
      </c>
      <c r="EO255">
        <v>0</v>
      </c>
      <c r="EP255">
        <v>0</v>
      </c>
      <c r="EQ255">
        <v>1</v>
      </c>
      <c r="ER255">
        <v>0</v>
      </c>
      <c r="ES255">
        <v>0</v>
      </c>
      <c r="ET255">
        <v>0</v>
      </c>
      <c r="EU255">
        <v>0</v>
      </c>
      <c r="EV255">
        <v>1</v>
      </c>
      <c r="EW255">
        <v>1</v>
      </c>
      <c r="EX255">
        <v>0</v>
      </c>
      <c r="EY255">
        <v>0</v>
      </c>
      <c r="HC255" t="s">
        <v>1285</v>
      </c>
      <c r="HD255">
        <v>0</v>
      </c>
      <c r="HE255">
        <v>0</v>
      </c>
      <c r="HF255">
        <v>0</v>
      </c>
      <c r="HG255">
        <v>0</v>
      </c>
      <c r="HH255">
        <v>0</v>
      </c>
      <c r="HI255">
        <v>0</v>
      </c>
      <c r="HJ255">
        <v>0</v>
      </c>
      <c r="HK255">
        <v>0</v>
      </c>
      <c r="HL255">
        <v>0</v>
      </c>
      <c r="HM255">
        <v>0</v>
      </c>
      <c r="HN255">
        <v>0</v>
      </c>
      <c r="HO255">
        <v>0</v>
      </c>
      <c r="HP255">
        <v>0</v>
      </c>
      <c r="HQ255">
        <v>0</v>
      </c>
      <c r="HR255">
        <v>0</v>
      </c>
      <c r="HS255">
        <v>0</v>
      </c>
      <c r="HT255">
        <v>0</v>
      </c>
      <c r="HU255">
        <v>0</v>
      </c>
      <c r="HV255">
        <v>0</v>
      </c>
      <c r="HW255">
        <v>0</v>
      </c>
      <c r="HX255">
        <v>0</v>
      </c>
      <c r="HY255">
        <v>0</v>
      </c>
      <c r="HZ255">
        <v>0</v>
      </c>
      <c r="IA255">
        <v>0</v>
      </c>
      <c r="IB255">
        <v>0</v>
      </c>
      <c r="IC255">
        <v>0</v>
      </c>
      <c r="ID255">
        <v>0</v>
      </c>
      <c r="IE255">
        <v>0</v>
      </c>
      <c r="IF255">
        <v>0</v>
      </c>
      <c r="IG255">
        <v>0</v>
      </c>
      <c r="IH255">
        <v>0</v>
      </c>
      <c r="II255">
        <v>0</v>
      </c>
      <c r="IJ255">
        <v>0</v>
      </c>
      <c r="IK255">
        <v>0</v>
      </c>
      <c r="IL255">
        <v>0</v>
      </c>
      <c r="IM255">
        <v>0</v>
      </c>
      <c r="IN255">
        <v>0</v>
      </c>
      <c r="IO255">
        <v>0</v>
      </c>
      <c r="IP255">
        <v>0</v>
      </c>
      <c r="IQ255">
        <v>0</v>
      </c>
      <c r="IR255">
        <v>0</v>
      </c>
      <c r="IS255">
        <v>0</v>
      </c>
      <c r="IT255">
        <v>0</v>
      </c>
      <c r="IU255">
        <v>1</v>
      </c>
      <c r="IV255">
        <v>0</v>
      </c>
      <c r="IW255">
        <v>0</v>
      </c>
      <c r="IZ255">
        <v>1</v>
      </c>
      <c r="JA255">
        <v>0</v>
      </c>
      <c r="JB255">
        <v>1</v>
      </c>
      <c r="JC255">
        <v>0</v>
      </c>
      <c r="JD255">
        <v>0</v>
      </c>
      <c r="JE255">
        <v>0</v>
      </c>
      <c r="JF255">
        <v>0</v>
      </c>
      <c r="JG255">
        <v>0</v>
      </c>
      <c r="JH255">
        <v>0</v>
      </c>
      <c r="JI255">
        <v>0</v>
      </c>
      <c r="JJ255">
        <v>0</v>
      </c>
      <c r="JL255">
        <v>1</v>
      </c>
      <c r="JM255" cm="1">
        <f t="array" ref="JM255">IF(OR(JN255:JQ255 &lt;&gt; ""), 1, 0)</f>
        <v>1</v>
      </c>
      <c r="JN255">
        <v>0</v>
      </c>
      <c r="JO255">
        <v>1</v>
      </c>
      <c r="JP255">
        <v>0</v>
      </c>
      <c r="JQ255">
        <v>0</v>
      </c>
    </row>
    <row r="256" spans="1:278" x14ac:dyDescent="0.35">
      <c r="A256">
        <v>372944</v>
      </c>
      <c r="C256">
        <v>1</v>
      </c>
      <c r="D256" t="s">
        <v>1286</v>
      </c>
      <c r="E256" t="str">
        <f>_xlfn.XLOOKUP(I256, [1]SchoolDistrictStudyWODuplicates!$K:$K, [1]SchoolDistrictStudyWODuplicates!$E:$E, "")</f>
        <v>School District of Greenfield Wisconsin</v>
      </c>
      <c r="G256" t="s">
        <v>1287</v>
      </c>
      <c r="H256" s="7">
        <v>5505940</v>
      </c>
      <c r="I256" s="7">
        <v>5505940</v>
      </c>
      <c r="J256" s="5" t="e">
        <f>_xlfn.XLOOKUP(I256,#REF!,#REF!,"Not Determined")</f>
        <v>#REF!</v>
      </c>
      <c r="K256" s="5" t="s">
        <v>1265</v>
      </c>
      <c r="L256" t="s">
        <v>1274</v>
      </c>
      <c r="M256" s="13" t="e">
        <f>_xlfn.XLOOKUP(I256,#REF!,#REF!, "No")</f>
        <v>#REF!</v>
      </c>
      <c r="N256" s="5" t="str">
        <f t="shared" si="55"/>
        <v>No</v>
      </c>
      <c r="O256" s="5" t="str">
        <f t="shared" si="56"/>
        <v>Yes</v>
      </c>
      <c r="P256" s="5" t="str">
        <f t="shared" si="57"/>
        <v>Yes</v>
      </c>
      <c r="Q256" s="5" t="str">
        <f t="shared" si="58"/>
        <v>Yes</v>
      </c>
      <c r="R256" s="5" t="str">
        <f t="shared" si="59"/>
        <v>Yes</v>
      </c>
      <c r="S256" s="5" t="str">
        <f t="shared" si="60"/>
        <v>Yes</v>
      </c>
      <c r="T256" s="5" t="str">
        <f t="shared" si="61"/>
        <v>Yes</v>
      </c>
      <c r="U256" s="5" t="str">
        <f t="shared" si="62"/>
        <v>Yes</v>
      </c>
      <c r="V256" s="5" t="str" cm="1">
        <f t="array" ref="V256">IF(OR(DB256:DG256 =1), "Yes", "No")</f>
        <v>No</v>
      </c>
      <c r="W256" s="5" t="str">
        <f t="shared" si="63"/>
        <v>No</v>
      </c>
      <c r="X256" s="5" t="str">
        <f t="shared" si="64"/>
        <v>No</v>
      </c>
      <c r="Y256" s="5" t="str">
        <f t="shared" si="65"/>
        <v>No</v>
      </c>
      <c r="Z256">
        <v>3</v>
      </c>
      <c r="AB256">
        <v>0</v>
      </c>
      <c r="AC256">
        <v>0</v>
      </c>
      <c r="AD256">
        <v>1</v>
      </c>
      <c r="AE256">
        <v>0</v>
      </c>
      <c r="AF256">
        <v>0</v>
      </c>
      <c r="AG256">
        <v>0</v>
      </c>
      <c r="AH256">
        <v>0</v>
      </c>
      <c r="AI256">
        <v>0</v>
      </c>
      <c r="AJ256">
        <v>0</v>
      </c>
      <c r="AK256">
        <v>1</v>
      </c>
      <c r="AM256">
        <v>1</v>
      </c>
      <c r="AN256">
        <v>1</v>
      </c>
      <c r="AO256">
        <v>0</v>
      </c>
      <c r="AP256">
        <v>6</v>
      </c>
      <c r="AQ256">
        <v>14</v>
      </c>
      <c r="AS256">
        <v>6</v>
      </c>
      <c r="AT256">
        <v>14</v>
      </c>
      <c r="AV256">
        <v>0</v>
      </c>
      <c r="AW256">
        <v>1</v>
      </c>
      <c r="AX256">
        <v>0</v>
      </c>
      <c r="AY256">
        <v>0</v>
      </c>
      <c r="AZ256">
        <v>0</v>
      </c>
      <c r="BA256">
        <v>0</v>
      </c>
      <c r="BC256">
        <v>2</v>
      </c>
      <c r="BE256">
        <v>2</v>
      </c>
      <c r="BG256">
        <v>1</v>
      </c>
      <c r="BH256">
        <v>1</v>
      </c>
      <c r="BI256">
        <v>4</v>
      </c>
      <c r="BJ256">
        <v>1</v>
      </c>
      <c r="BK256">
        <v>4</v>
      </c>
      <c r="BL256">
        <v>1</v>
      </c>
      <c r="BM256">
        <v>1</v>
      </c>
      <c r="BN256">
        <v>2</v>
      </c>
      <c r="BV256">
        <v>0</v>
      </c>
      <c r="BW256">
        <v>0</v>
      </c>
      <c r="BX256">
        <v>0</v>
      </c>
      <c r="BY256">
        <v>0</v>
      </c>
      <c r="BZ256">
        <v>0</v>
      </c>
      <c r="CA256">
        <v>0</v>
      </c>
      <c r="CB256">
        <v>0</v>
      </c>
      <c r="CC256">
        <v>0</v>
      </c>
      <c r="CD256">
        <v>0</v>
      </c>
      <c r="CE256">
        <v>0</v>
      </c>
      <c r="CF256">
        <v>0</v>
      </c>
      <c r="CG256">
        <v>0</v>
      </c>
      <c r="CH256">
        <v>0</v>
      </c>
      <c r="CI256">
        <v>0</v>
      </c>
      <c r="CJ256">
        <v>0</v>
      </c>
      <c r="CK256">
        <v>1</v>
      </c>
      <c r="CL256">
        <v>0</v>
      </c>
      <c r="CN256">
        <v>16</v>
      </c>
      <c r="CO256">
        <v>4</v>
      </c>
      <c r="CQ256">
        <v>5</v>
      </c>
      <c r="CR256">
        <v>5</v>
      </c>
      <c r="EB256">
        <v>0</v>
      </c>
      <c r="EC256">
        <v>0</v>
      </c>
      <c r="ED256">
        <v>0</v>
      </c>
      <c r="EE256">
        <v>0</v>
      </c>
      <c r="EF256">
        <v>0</v>
      </c>
      <c r="EG256">
        <v>0</v>
      </c>
      <c r="EH256">
        <v>0</v>
      </c>
      <c r="EI256">
        <v>0</v>
      </c>
      <c r="EJ256">
        <v>1</v>
      </c>
      <c r="EK256">
        <v>0</v>
      </c>
      <c r="EL256" t="s">
        <v>1288</v>
      </c>
      <c r="EM256">
        <v>0</v>
      </c>
      <c r="EN256">
        <v>1</v>
      </c>
      <c r="EO256">
        <v>0</v>
      </c>
      <c r="EP256">
        <v>1</v>
      </c>
      <c r="EQ256">
        <v>0</v>
      </c>
      <c r="ER256">
        <v>0</v>
      </c>
      <c r="ES256">
        <v>0</v>
      </c>
      <c r="ET256">
        <v>0</v>
      </c>
      <c r="EU256">
        <v>0</v>
      </c>
      <c r="EV256">
        <v>0</v>
      </c>
      <c r="EW256">
        <v>1</v>
      </c>
      <c r="EX256">
        <v>0</v>
      </c>
      <c r="EY256">
        <v>0</v>
      </c>
      <c r="FB256" t="s">
        <v>760</v>
      </c>
      <c r="FC256">
        <v>1</v>
      </c>
      <c r="FD256">
        <v>0</v>
      </c>
      <c r="FE256">
        <v>0</v>
      </c>
      <c r="FF256">
        <v>0</v>
      </c>
      <c r="FG256">
        <v>0</v>
      </c>
      <c r="FH256">
        <v>0</v>
      </c>
      <c r="FI256">
        <v>0</v>
      </c>
      <c r="FJ256">
        <v>0</v>
      </c>
      <c r="FK256">
        <v>0</v>
      </c>
      <c r="FL256">
        <v>0</v>
      </c>
      <c r="FM256">
        <v>0</v>
      </c>
      <c r="FN256">
        <v>0</v>
      </c>
      <c r="FO256">
        <v>0</v>
      </c>
      <c r="FP256">
        <v>0</v>
      </c>
      <c r="FQ256">
        <v>0</v>
      </c>
      <c r="FR256">
        <v>0</v>
      </c>
      <c r="FS256">
        <v>0</v>
      </c>
      <c r="FT256">
        <v>0</v>
      </c>
      <c r="FU256">
        <v>0</v>
      </c>
      <c r="FV256">
        <v>0</v>
      </c>
      <c r="FW256">
        <v>0</v>
      </c>
      <c r="FX256">
        <v>0</v>
      </c>
      <c r="IZ256">
        <v>0</v>
      </c>
      <c r="JA256">
        <v>0</v>
      </c>
      <c r="JB256">
        <v>0</v>
      </c>
      <c r="JC256">
        <v>0</v>
      </c>
      <c r="JD256">
        <v>0</v>
      </c>
      <c r="JE256">
        <v>0</v>
      </c>
      <c r="JF256">
        <v>0</v>
      </c>
      <c r="JG256">
        <v>0</v>
      </c>
      <c r="JH256">
        <v>0</v>
      </c>
      <c r="JI256">
        <v>1</v>
      </c>
      <c r="JJ256">
        <v>0</v>
      </c>
      <c r="JK256" t="s">
        <v>1289</v>
      </c>
      <c r="JL256">
        <v>2</v>
      </c>
      <c r="JM256" cm="1">
        <f t="array" ref="JM256">IF(OR(JN256:JQ256 &lt;&gt; ""), 1, 0)</f>
        <v>0</v>
      </c>
    </row>
    <row r="257" spans="1:277" x14ac:dyDescent="0.35">
      <c r="A257">
        <v>276979</v>
      </c>
      <c r="C257">
        <v>1</v>
      </c>
      <c r="D257" t="s">
        <v>1290</v>
      </c>
      <c r="E257" t="str">
        <f>_xlfn.XLOOKUP(I257, [1]SchoolDistrictStudyWODuplicates!$K:$K, [1]SchoolDistrictStudyWODuplicates!$E:$E, "")</f>
        <v/>
      </c>
      <c r="G257" t="s">
        <v>1291</v>
      </c>
      <c r="H257" s="7">
        <v>5514490</v>
      </c>
      <c r="I257" s="7">
        <v>5514490</v>
      </c>
      <c r="J257" s="5" t="e">
        <f>_xlfn.XLOOKUP(I257,#REF!,#REF!,"Not Determined")</f>
        <v>#REF!</v>
      </c>
      <c r="K257" s="5" t="s">
        <v>1265</v>
      </c>
      <c r="L257" t="s">
        <v>1274</v>
      </c>
      <c r="M257" s="13" t="e">
        <f>_xlfn.XLOOKUP(I257,#REF!,#REF!, "No")</f>
        <v>#REF!</v>
      </c>
      <c r="N257" s="5" t="str">
        <f t="shared" si="55"/>
        <v>No</v>
      </c>
      <c r="O257" s="5" t="str">
        <f t="shared" si="56"/>
        <v>Yes</v>
      </c>
      <c r="P257" s="5" t="str">
        <f t="shared" si="57"/>
        <v>Yes</v>
      </c>
      <c r="Q257" s="5" t="str">
        <f t="shared" si="58"/>
        <v>Yes</v>
      </c>
      <c r="R257" s="5" t="str">
        <f t="shared" si="59"/>
        <v>No</v>
      </c>
      <c r="S257" s="5" t="str">
        <f t="shared" si="60"/>
        <v>No</v>
      </c>
      <c r="T257" s="5" t="str">
        <f t="shared" si="61"/>
        <v>No</v>
      </c>
      <c r="U257" s="5" t="str">
        <f t="shared" si="62"/>
        <v>No</v>
      </c>
      <c r="V257" s="5" t="str" cm="1">
        <f t="array" ref="V257">IF(OR(DB257:DG257 =1), "Yes", "No")</f>
        <v>No</v>
      </c>
      <c r="W257" s="5" t="str">
        <f t="shared" si="63"/>
        <v>No</v>
      </c>
      <c r="X257" s="5" t="str">
        <f t="shared" si="64"/>
        <v>No</v>
      </c>
      <c r="Y257" s="5" t="str">
        <f t="shared" si="65"/>
        <v>No</v>
      </c>
      <c r="Z257">
        <v>6</v>
      </c>
      <c r="AB257">
        <v>0</v>
      </c>
      <c r="AC257">
        <v>0</v>
      </c>
      <c r="AD257">
        <v>0</v>
      </c>
      <c r="AE257">
        <v>1</v>
      </c>
      <c r="AF257">
        <v>0</v>
      </c>
      <c r="AG257">
        <v>0</v>
      </c>
      <c r="AH257">
        <v>1</v>
      </c>
      <c r="AI257">
        <v>0</v>
      </c>
      <c r="AJ257">
        <v>0</v>
      </c>
      <c r="AK257">
        <v>1</v>
      </c>
      <c r="AM257">
        <v>1</v>
      </c>
      <c r="AN257">
        <v>1</v>
      </c>
      <c r="AO257">
        <v>0</v>
      </c>
      <c r="AP257">
        <v>10</v>
      </c>
      <c r="AQ257">
        <v>65</v>
      </c>
      <c r="AS257">
        <v>10</v>
      </c>
      <c r="AT257">
        <v>65</v>
      </c>
      <c r="AV257">
        <v>1</v>
      </c>
      <c r="AW257">
        <v>1</v>
      </c>
      <c r="AX257">
        <v>0</v>
      </c>
      <c r="AY257">
        <v>1</v>
      </c>
      <c r="AZ257">
        <v>0</v>
      </c>
      <c r="BA257">
        <v>0</v>
      </c>
      <c r="BC257">
        <v>1</v>
      </c>
      <c r="BE257">
        <v>1</v>
      </c>
      <c r="BG257">
        <v>1</v>
      </c>
      <c r="BH257">
        <v>1</v>
      </c>
      <c r="BI257">
        <v>3</v>
      </c>
      <c r="BJ257">
        <v>1</v>
      </c>
      <c r="BK257">
        <v>4</v>
      </c>
      <c r="BL257">
        <v>1</v>
      </c>
      <c r="BM257">
        <v>1</v>
      </c>
      <c r="BN257">
        <v>1</v>
      </c>
      <c r="BO257">
        <v>1</v>
      </c>
      <c r="BP257">
        <v>1</v>
      </c>
      <c r="BQ257">
        <v>1</v>
      </c>
      <c r="BR257">
        <v>1</v>
      </c>
      <c r="BS257">
        <v>1</v>
      </c>
      <c r="BT257">
        <v>0</v>
      </c>
      <c r="BV257">
        <v>0</v>
      </c>
      <c r="BW257">
        <v>0</v>
      </c>
      <c r="BX257">
        <v>1</v>
      </c>
      <c r="BY257">
        <v>1</v>
      </c>
      <c r="BZ257">
        <v>1</v>
      </c>
      <c r="CA257">
        <v>0</v>
      </c>
      <c r="CB257">
        <v>0</v>
      </c>
      <c r="CC257">
        <v>0</v>
      </c>
      <c r="CD257">
        <v>1</v>
      </c>
      <c r="CE257">
        <v>0</v>
      </c>
      <c r="CF257">
        <v>0</v>
      </c>
      <c r="CG257">
        <v>0</v>
      </c>
      <c r="CH257">
        <v>0</v>
      </c>
      <c r="CI257">
        <v>1</v>
      </c>
      <c r="CJ257">
        <v>0</v>
      </c>
      <c r="CK257">
        <v>0</v>
      </c>
      <c r="CL257">
        <v>0</v>
      </c>
      <c r="CN257">
        <v>3</v>
      </c>
      <c r="CO257">
        <v>3</v>
      </c>
      <c r="JM257" cm="1">
        <f t="array" ref="JM257">IF(OR(JN257:JQ257 &lt;&gt; ""), 1, 0)</f>
        <v>0</v>
      </c>
    </row>
    <row r="258" spans="1:277" x14ac:dyDescent="0.35">
      <c r="A258">
        <v>396984</v>
      </c>
      <c r="C258">
        <v>1</v>
      </c>
      <c r="D258" t="s">
        <v>1292</v>
      </c>
      <c r="E258" t="str">
        <f>_xlfn.XLOOKUP(I258, [1]SchoolDistrictStudyWODuplicates!$K:$K, [1]SchoolDistrictStudyWODuplicates!$E:$E, "")</f>
        <v/>
      </c>
      <c r="G258" t="s">
        <v>1293</v>
      </c>
      <c r="H258" s="7">
        <v>5400660</v>
      </c>
      <c r="I258" s="7">
        <v>5400660</v>
      </c>
      <c r="J258" s="5" t="e">
        <f>_xlfn.XLOOKUP(I258,#REF!,#REF!,"Not Determined")</f>
        <v>#REF!</v>
      </c>
      <c r="K258" s="5" t="s">
        <v>1294</v>
      </c>
      <c r="L258" t="s">
        <v>1294</v>
      </c>
      <c r="M258" s="13" t="e">
        <f>_xlfn.XLOOKUP(I258,#REF!,#REF!, "No")</f>
        <v>#REF!</v>
      </c>
      <c r="N258" s="5" t="str">
        <f t="shared" si="55"/>
        <v>No</v>
      </c>
      <c r="O258" s="5" t="str">
        <f t="shared" si="56"/>
        <v>Yes</v>
      </c>
      <c r="P258" s="5" t="str">
        <f t="shared" si="57"/>
        <v>Yes</v>
      </c>
      <c r="Q258" s="5" t="str">
        <f t="shared" si="58"/>
        <v>Yes</v>
      </c>
      <c r="R258" s="5" t="str">
        <f t="shared" si="59"/>
        <v>Yes</v>
      </c>
      <c r="S258" s="5" t="str">
        <f t="shared" si="60"/>
        <v>Yes</v>
      </c>
      <c r="T258" s="5" t="str">
        <f t="shared" si="61"/>
        <v>Yes</v>
      </c>
      <c r="U258" s="5" t="str">
        <f t="shared" si="62"/>
        <v>Yes</v>
      </c>
      <c r="V258" s="5" t="str" cm="1">
        <f t="array" ref="V258">IF(OR(DB258:DG258 =1), "Yes", "No")</f>
        <v>No</v>
      </c>
      <c r="W258" s="5" t="str">
        <f t="shared" si="63"/>
        <v>Yes</v>
      </c>
      <c r="X258" s="5" t="str">
        <f t="shared" si="64"/>
        <v>No</v>
      </c>
      <c r="Y258" s="5" t="str">
        <f t="shared" si="65"/>
        <v>No</v>
      </c>
      <c r="Z258">
        <v>3</v>
      </c>
      <c r="AB258">
        <v>0</v>
      </c>
      <c r="AC258">
        <v>0</v>
      </c>
      <c r="AD258">
        <v>1</v>
      </c>
      <c r="AE258">
        <v>0</v>
      </c>
      <c r="AF258">
        <v>0</v>
      </c>
      <c r="AG258">
        <v>0</v>
      </c>
      <c r="AH258">
        <v>0</v>
      </c>
      <c r="AI258">
        <v>0</v>
      </c>
      <c r="AJ258">
        <v>0</v>
      </c>
      <c r="AK258">
        <v>1</v>
      </c>
      <c r="AM258">
        <v>0</v>
      </c>
      <c r="AN258">
        <v>1</v>
      </c>
      <c r="AO258">
        <v>1</v>
      </c>
      <c r="AQ258">
        <v>52</v>
      </c>
      <c r="AR258">
        <v>5</v>
      </c>
      <c r="AT258">
        <v>52</v>
      </c>
      <c r="AU258">
        <v>5</v>
      </c>
      <c r="AV258">
        <v>1</v>
      </c>
      <c r="AW258">
        <v>1</v>
      </c>
      <c r="AX258">
        <v>0</v>
      </c>
      <c r="AY258">
        <v>0</v>
      </c>
      <c r="AZ258">
        <v>0</v>
      </c>
      <c r="BA258">
        <v>0</v>
      </c>
      <c r="BC258">
        <v>1</v>
      </c>
      <c r="BE258">
        <v>1</v>
      </c>
      <c r="BG258">
        <v>1</v>
      </c>
      <c r="BH258">
        <v>1</v>
      </c>
      <c r="BI258">
        <v>1</v>
      </c>
      <c r="BJ258">
        <v>2</v>
      </c>
      <c r="BL258">
        <v>2</v>
      </c>
      <c r="BM258">
        <v>1</v>
      </c>
      <c r="BN258">
        <v>1</v>
      </c>
      <c r="BO258">
        <v>1</v>
      </c>
      <c r="BP258">
        <v>0</v>
      </c>
      <c r="BQ258">
        <v>0</v>
      </c>
      <c r="BR258">
        <v>0</v>
      </c>
      <c r="BS258">
        <v>0</v>
      </c>
      <c r="BT258">
        <v>0</v>
      </c>
      <c r="BV258">
        <v>0</v>
      </c>
      <c r="BW258">
        <v>0</v>
      </c>
      <c r="BX258">
        <v>0</v>
      </c>
      <c r="BY258">
        <v>0</v>
      </c>
      <c r="BZ258">
        <v>0</v>
      </c>
      <c r="CA258">
        <v>1</v>
      </c>
      <c r="CB258">
        <v>0</v>
      </c>
      <c r="CC258">
        <v>0</v>
      </c>
      <c r="CD258">
        <v>0</v>
      </c>
      <c r="CE258">
        <v>0</v>
      </c>
      <c r="CF258">
        <v>0</v>
      </c>
      <c r="CG258">
        <v>0</v>
      </c>
      <c r="CH258">
        <v>0</v>
      </c>
      <c r="CI258">
        <v>0</v>
      </c>
      <c r="CJ258">
        <v>0</v>
      </c>
      <c r="CK258">
        <v>0</v>
      </c>
      <c r="CL258">
        <v>0</v>
      </c>
      <c r="CN258">
        <v>6</v>
      </c>
      <c r="CO258">
        <v>4</v>
      </c>
      <c r="CQ258">
        <v>4</v>
      </c>
      <c r="CR258">
        <v>4</v>
      </c>
      <c r="EB258">
        <v>0</v>
      </c>
      <c r="EC258">
        <v>0</v>
      </c>
      <c r="ED258">
        <v>1</v>
      </c>
      <c r="EE258">
        <v>0</v>
      </c>
      <c r="EF258">
        <v>0</v>
      </c>
      <c r="EG258">
        <v>0</v>
      </c>
      <c r="EH258">
        <v>0</v>
      </c>
      <c r="EI258">
        <v>1</v>
      </c>
      <c r="EJ258">
        <v>1</v>
      </c>
      <c r="EK258">
        <v>0</v>
      </c>
      <c r="EL258" t="s">
        <v>374</v>
      </c>
      <c r="EM258">
        <v>0</v>
      </c>
      <c r="EN258">
        <v>1</v>
      </c>
      <c r="EO258">
        <v>0</v>
      </c>
      <c r="EP258">
        <v>0</v>
      </c>
      <c r="EQ258">
        <v>1</v>
      </c>
      <c r="ER258">
        <v>0</v>
      </c>
      <c r="ES258">
        <v>1</v>
      </c>
      <c r="ET258">
        <v>0</v>
      </c>
      <c r="EU258">
        <v>0</v>
      </c>
      <c r="EV258">
        <v>1</v>
      </c>
      <c r="EW258">
        <v>1</v>
      </c>
      <c r="EX258">
        <v>0</v>
      </c>
      <c r="EY258">
        <v>0</v>
      </c>
      <c r="FB258" t="s">
        <v>1295</v>
      </c>
      <c r="FC258">
        <v>0</v>
      </c>
      <c r="FD258">
        <v>0</v>
      </c>
      <c r="FE258">
        <v>0</v>
      </c>
      <c r="FF258">
        <v>0</v>
      </c>
      <c r="FG258">
        <v>0</v>
      </c>
      <c r="FH258">
        <v>0</v>
      </c>
      <c r="FI258">
        <v>0</v>
      </c>
      <c r="FJ258">
        <v>0</v>
      </c>
      <c r="FK258">
        <v>0</v>
      </c>
      <c r="FL258">
        <v>0</v>
      </c>
      <c r="FM258">
        <v>0</v>
      </c>
      <c r="FN258">
        <v>0</v>
      </c>
      <c r="FO258">
        <v>0</v>
      </c>
      <c r="FP258">
        <v>0</v>
      </c>
      <c r="FQ258">
        <v>0</v>
      </c>
      <c r="FR258">
        <v>1</v>
      </c>
      <c r="FS258">
        <v>0</v>
      </c>
      <c r="FT258">
        <v>0</v>
      </c>
      <c r="FU258">
        <v>0</v>
      </c>
      <c r="FV258">
        <v>0</v>
      </c>
      <c r="FW258">
        <v>0</v>
      </c>
      <c r="FX258">
        <v>0</v>
      </c>
      <c r="GS258" t="s">
        <v>1296</v>
      </c>
      <c r="GT258">
        <v>0</v>
      </c>
      <c r="GU258">
        <v>0</v>
      </c>
      <c r="GV258">
        <v>0</v>
      </c>
      <c r="GW258">
        <v>0</v>
      </c>
      <c r="GX258">
        <v>0</v>
      </c>
      <c r="GY258">
        <v>0</v>
      </c>
      <c r="GZ258">
        <v>0</v>
      </c>
      <c r="HA258">
        <v>1</v>
      </c>
      <c r="HB258">
        <v>0</v>
      </c>
      <c r="HC258" t="s">
        <v>1297</v>
      </c>
      <c r="HD258">
        <v>0</v>
      </c>
      <c r="HE258">
        <v>0</v>
      </c>
      <c r="HF258">
        <v>0</v>
      </c>
      <c r="HG258">
        <v>0</v>
      </c>
      <c r="HH258">
        <v>0</v>
      </c>
      <c r="HI258">
        <v>0</v>
      </c>
      <c r="HJ258">
        <v>0</v>
      </c>
      <c r="HK258">
        <v>0</v>
      </c>
      <c r="HL258">
        <v>0</v>
      </c>
      <c r="HM258">
        <v>0</v>
      </c>
      <c r="HN258">
        <v>0</v>
      </c>
      <c r="HO258">
        <v>0</v>
      </c>
      <c r="HP258">
        <v>0</v>
      </c>
      <c r="HQ258">
        <v>0</v>
      </c>
      <c r="HR258">
        <v>0</v>
      </c>
      <c r="HS258">
        <v>0</v>
      </c>
      <c r="HT258">
        <v>0</v>
      </c>
      <c r="HU258">
        <v>0</v>
      </c>
      <c r="HV258">
        <v>1</v>
      </c>
      <c r="HW258">
        <v>0</v>
      </c>
      <c r="HX258">
        <v>0</v>
      </c>
      <c r="HY258">
        <v>0</v>
      </c>
      <c r="HZ258">
        <v>0</v>
      </c>
      <c r="IA258">
        <v>0</v>
      </c>
      <c r="IB258">
        <v>0</v>
      </c>
      <c r="IC258">
        <v>0</v>
      </c>
      <c r="ID258">
        <v>0</v>
      </c>
      <c r="IE258">
        <v>0</v>
      </c>
      <c r="IF258">
        <v>0</v>
      </c>
      <c r="IG258">
        <v>0</v>
      </c>
      <c r="IH258">
        <v>0</v>
      </c>
      <c r="II258">
        <v>0</v>
      </c>
      <c r="IJ258">
        <v>0</v>
      </c>
      <c r="IK258">
        <v>0</v>
      </c>
      <c r="IL258">
        <v>0</v>
      </c>
      <c r="IM258">
        <v>0</v>
      </c>
      <c r="IN258">
        <v>0</v>
      </c>
      <c r="IO258">
        <v>0</v>
      </c>
      <c r="IP258">
        <v>0</v>
      </c>
      <c r="IQ258">
        <v>0</v>
      </c>
      <c r="IR258">
        <v>1</v>
      </c>
      <c r="IS258">
        <v>0</v>
      </c>
      <c r="IT258">
        <v>0</v>
      </c>
      <c r="IU258">
        <v>0</v>
      </c>
      <c r="IV258">
        <v>0</v>
      </c>
      <c r="IW258">
        <v>0</v>
      </c>
      <c r="IZ258">
        <v>1</v>
      </c>
      <c r="JA258">
        <v>0</v>
      </c>
      <c r="JB258">
        <v>1</v>
      </c>
      <c r="JC258">
        <v>0</v>
      </c>
      <c r="JD258">
        <v>0</v>
      </c>
      <c r="JE258">
        <v>0</v>
      </c>
      <c r="JF258">
        <v>0</v>
      </c>
      <c r="JG258">
        <v>0</v>
      </c>
      <c r="JH258">
        <v>0</v>
      </c>
      <c r="JI258">
        <v>0</v>
      </c>
      <c r="JJ258">
        <v>0</v>
      </c>
      <c r="JL258">
        <v>1</v>
      </c>
      <c r="JM258" cm="1">
        <f t="array" ref="JM258">IF(OR(JN258:JQ258 &lt;&gt; ""), 1, 0)</f>
        <v>1</v>
      </c>
      <c r="JN258">
        <v>1</v>
      </c>
      <c r="JO258">
        <v>1</v>
      </c>
      <c r="JP258">
        <v>0</v>
      </c>
      <c r="JQ258">
        <v>0</v>
      </c>
    </row>
    <row r="259" spans="1:277" x14ac:dyDescent="0.35">
      <c r="A259">
        <v>370223</v>
      </c>
      <c r="C259">
        <v>1</v>
      </c>
      <c r="D259" t="s">
        <v>1298</v>
      </c>
      <c r="E259" t="str">
        <f>_xlfn.XLOOKUP(I259, [1]SchoolDistrictStudyWODuplicates!$K:$K, [1]SchoolDistrictStudyWODuplicates!$E:$E, "")</f>
        <v>Carbon County School District #1</v>
      </c>
      <c r="G259" t="s">
        <v>1299</v>
      </c>
      <c r="H259" s="5" t="e">
        <f>_xlfn.XLOOKUP(A259,#REF!,#REF!, "No")</f>
        <v>#REF!</v>
      </c>
      <c r="I259" s="7">
        <v>5601030</v>
      </c>
      <c r="J259" s="5" t="e">
        <f>_xlfn.XLOOKUP(I259,#REF!,#REF!,"Not Determined")</f>
        <v>#REF!</v>
      </c>
      <c r="K259" s="5" t="s">
        <v>1361</v>
      </c>
      <c r="L259" t="s">
        <v>1300</v>
      </c>
      <c r="M259" s="13" t="e">
        <f>_xlfn.XLOOKUP(I259,#REF!,#REF!, "No")</f>
        <v>#REF!</v>
      </c>
      <c r="N259" s="5" t="str">
        <f t="shared" si="55"/>
        <v>No</v>
      </c>
      <c r="O259" s="5" t="str">
        <f t="shared" si="56"/>
        <v>Yes</v>
      </c>
      <c r="P259" s="5" t="str">
        <f t="shared" si="57"/>
        <v>Yes</v>
      </c>
      <c r="Q259" s="5" t="str">
        <f t="shared" si="58"/>
        <v>Yes</v>
      </c>
      <c r="R259" s="5" t="str">
        <f t="shared" si="59"/>
        <v>Yes</v>
      </c>
      <c r="S259" s="5" t="str">
        <f t="shared" si="60"/>
        <v>Yes</v>
      </c>
      <c r="T259" s="5" t="str">
        <f t="shared" si="61"/>
        <v>Yes</v>
      </c>
      <c r="U259" s="5" t="str">
        <f t="shared" si="62"/>
        <v>No</v>
      </c>
      <c r="V259" s="5" t="str" cm="1">
        <f t="array" ref="V259">IF(OR(DB259:DG259 =1), "Yes", "No")</f>
        <v>No</v>
      </c>
      <c r="W259" s="5" t="str">
        <f t="shared" si="63"/>
        <v>No</v>
      </c>
      <c r="X259" s="5" t="str">
        <f t="shared" si="64"/>
        <v>No</v>
      </c>
      <c r="Y259" s="5" t="str">
        <f t="shared" si="65"/>
        <v>No</v>
      </c>
      <c r="Z259">
        <v>6</v>
      </c>
      <c r="AB259">
        <v>1</v>
      </c>
      <c r="AC259">
        <v>0</v>
      </c>
      <c r="AD259">
        <v>1</v>
      </c>
      <c r="AE259">
        <v>0</v>
      </c>
      <c r="AF259">
        <v>1</v>
      </c>
      <c r="AG259">
        <v>1</v>
      </c>
      <c r="AH259">
        <v>0</v>
      </c>
      <c r="AI259">
        <v>1</v>
      </c>
      <c r="AJ259">
        <v>0</v>
      </c>
      <c r="AK259">
        <v>1</v>
      </c>
      <c r="AM259">
        <v>1</v>
      </c>
      <c r="AN259">
        <v>1</v>
      </c>
      <c r="AO259">
        <v>1</v>
      </c>
      <c r="AP259">
        <v>5</v>
      </c>
      <c r="AQ259">
        <v>3</v>
      </c>
      <c r="AR259">
        <v>28</v>
      </c>
      <c r="AS259">
        <v>5</v>
      </c>
      <c r="AT259">
        <v>3</v>
      </c>
      <c r="AU259">
        <v>28</v>
      </c>
      <c r="AV259">
        <v>1</v>
      </c>
      <c r="AW259">
        <v>1</v>
      </c>
      <c r="AX259">
        <v>0</v>
      </c>
      <c r="AY259">
        <v>0</v>
      </c>
      <c r="AZ259">
        <v>0</v>
      </c>
      <c r="BA259">
        <v>0</v>
      </c>
      <c r="BC259">
        <v>1</v>
      </c>
      <c r="BE259">
        <v>1</v>
      </c>
      <c r="BG259">
        <v>1</v>
      </c>
      <c r="BH259">
        <v>1</v>
      </c>
      <c r="BI259">
        <v>4</v>
      </c>
      <c r="BJ259">
        <v>1</v>
      </c>
      <c r="BK259">
        <v>5</v>
      </c>
      <c r="BL259">
        <v>2</v>
      </c>
      <c r="BM259">
        <v>1</v>
      </c>
      <c r="BN259">
        <v>1</v>
      </c>
      <c r="BO259">
        <v>0</v>
      </c>
      <c r="BP259">
        <v>0</v>
      </c>
      <c r="BQ259">
        <v>0</v>
      </c>
      <c r="BR259">
        <v>0</v>
      </c>
      <c r="BS259">
        <v>0</v>
      </c>
      <c r="BT259">
        <v>1</v>
      </c>
      <c r="BU259" t="s">
        <v>1301</v>
      </c>
      <c r="BV259">
        <v>0</v>
      </c>
      <c r="BW259">
        <v>0</v>
      </c>
      <c r="BX259">
        <v>1</v>
      </c>
      <c r="BY259">
        <v>1</v>
      </c>
      <c r="BZ259">
        <v>0</v>
      </c>
      <c r="CA259">
        <v>1</v>
      </c>
      <c r="CB259">
        <v>0</v>
      </c>
      <c r="CC259">
        <v>0</v>
      </c>
      <c r="CD259">
        <v>1</v>
      </c>
      <c r="CE259">
        <v>0</v>
      </c>
      <c r="CF259">
        <v>0</v>
      </c>
      <c r="CG259">
        <v>0</v>
      </c>
      <c r="CH259">
        <v>0</v>
      </c>
      <c r="CI259">
        <v>0</v>
      </c>
      <c r="CJ259">
        <v>0</v>
      </c>
      <c r="CK259">
        <v>0</v>
      </c>
      <c r="CL259">
        <v>0</v>
      </c>
      <c r="CN259">
        <v>8</v>
      </c>
      <c r="CO259">
        <v>4</v>
      </c>
      <c r="CQ259">
        <v>4</v>
      </c>
      <c r="CR259">
        <v>2</v>
      </c>
      <c r="EB259">
        <v>0</v>
      </c>
      <c r="EC259">
        <v>0</v>
      </c>
      <c r="ED259">
        <v>1</v>
      </c>
      <c r="EE259">
        <v>0</v>
      </c>
      <c r="EF259">
        <v>0</v>
      </c>
      <c r="EG259">
        <v>0</v>
      </c>
      <c r="EH259">
        <v>0</v>
      </c>
      <c r="EI259">
        <v>0</v>
      </c>
      <c r="EJ259">
        <v>0</v>
      </c>
      <c r="EK259">
        <v>0</v>
      </c>
      <c r="EM259">
        <v>0</v>
      </c>
      <c r="EN259">
        <v>1</v>
      </c>
      <c r="EO259">
        <v>0</v>
      </c>
      <c r="EP259">
        <v>0</v>
      </c>
      <c r="EQ259">
        <v>0</v>
      </c>
      <c r="ER259">
        <v>0</v>
      </c>
      <c r="ES259">
        <v>0</v>
      </c>
      <c r="ET259">
        <v>1</v>
      </c>
      <c r="EU259">
        <v>1</v>
      </c>
      <c r="EV259">
        <v>0</v>
      </c>
      <c r="EW259">
        <v>1</v>
      </c>
      <c r="EX259">
        <v>0</v>
      </c>
      <c r="EY259">
        <v>0</v>
      </c>
      <c r="FB259" t="s">
        <v>274</v>
      </c>
      <c r="FC259">
        <v>1</v>
      </c>
      <c r="FD259">
        <v>0</v>
      </c>
      <c r="FE259">
        <v>0</v>
      </c>
      <c r="FF259">
        <v>0</v>
      </c>
      <c r="FG259">
        <v>0</v>
      </c>
      <c r="FH259">
        <v>0</v>
      </c>
      <c r="FI259">
        <v>0</v>
      </c>
      <c r="FJ259">
        <v>0</v>
      </c>
      <c r="FK259">
        <v>0</v>
      </c>
      <c r="FL259">
        <v>0</v>
      </c>
      <c r="FM259">
        <v>0</v>
      </c>
      <c r="FN259">
        <v>0</v>
      </c>
      <c r="FO259">
        <v>0</v>
      </c>
      <c r="FP259">
        <v>0</v>
      </c>
      <c r="FQ259">
        <v>0</v>
      </c>
      <c r="FR259">
        <v>0</v>
      </c>
      <c r="FS259">
        <v>0</v>
      </c>
      <c r="FT259">
        <v>0</v>
      </c>
      <c r="FU259">
        <v>0</v>
      </c>
      <c r="FV259">
        <v>0</v>
      </c>
      <c r="FW259">
        <v>0</v>
      </c>
      <c r="FX259">
        <v>0</v>
      </c>
      <c r="IZ259">
        <v>1</v>
      </c>
      <c r="JA259">
        <v>0</v>
      </c>
      <c r="JB259">
        <v>0</v>
      </c>
      <c r="JC259">
        <v>0</v>
      </c>
      <c r="JD259">
        <v>0</v>
      </c>
      <c r="JE259">
        <v>0</v>
      </c>
      <c r="JF259">
        <v>0</v>
      </c>
      <c r="JG259">
        <v>0</v>
      </c>
      <c r="JH259">
        <v>0</v>
      </c>
      <c r="JI259">
        <v>0</v>
      </c>
      <c r="JJ259">
        <v>0</v>
      </c>
      <c r="JL259">
        <v>2</v>
      </c>
      <c r="JM259" cm="1">
        <f t="array" ref="JM259">IF(OR(JN259:JQ259 &lt;&gt; ""), 1, 0)</f>
        <v>0</v>
      </c>
    </row>
    <row r="260" spans="1:277" x14ac:dyDescent="0.35">
      <c r="A260">
        <v>370133</v>
      </c>
      <c r="C260">
        <v>1</v>
      </c>
      <c r="D260" s="2" t="s">
        <v>1302</v>
      </c>
      <c r="E260" t="str">
        <f>_xlfn.XLOOKUP(I260, [1]SchoolDistrictStudyWODuplicates!$K:$K, [1]SchoolDistrictStudyWODuplicates!$E:$E, "")</f>
        <v/>
      </c>
      <c r="F260" s="6"/>
      <c r="G260" s="2" t="s">
        <v>1303</v>
      </c>
      <c r="H260" s="7">
        <v>6900002</v>
      </c>
      <c r="I260" s="7">
        <v>6900002</v>
      </c>
      <c r="J260" s="5" t="e">
        <f>_xlfn.XLOOKUP(I260,#REF!,#REF!,"Not Determined")</f>
        <v>#REF!</v>
      </c>
      <c r="K260" s="6" t="s">
        <v>1362</v>
      </c>
      <c r="L260" s="2" t="s">
        <v>1304</v>
      </c>
      <c r="M260" s="13" t="e">
        <f>_xlfn.XLOOKUP(I260,#REF!,#REF!, "No")</f>
        <v>#REF!</v>
      </c>
      <c r="N260" s="5" t="str">
        <f t="shared" si="55"/>
        <v>No</v>
      </c>
      <c r="O260" s="5" t="str">
        <f t="shared" si="56"/>
        <v>Yes</v>
      </c>
      <c r="P260" s="5" t="str">
        <f t="shared" si="57"/>
        <v>No</v>
      </c>
      <c r="Q260" s="5" t="str">
        <f t="shared" si="58"/>
        <v>Yes</v>
      </c>
      <c r="R260" s="5" t="str">
        <f t="shared" si="59"/>
        <v>No</v>
      </c>
      <c r="S260" s="5" t="str">
        <f t="shared" si="60"/>
        <v>No</v>
      </c>
      <c r="T260" s="5" t="str">
        <f t="shared" si="61"/>
        <v>No</v>
      </c>
      <c r="U260" s="5" t="str">
        <f t="shared" si="62"/>
        <v>No</v>
      </c>
      <c r="V260" s="5" t="str" cm="1">
        <f t="array" ref="V260">IF(OR(DB260:DG260 =1), "Yes", "No")</f>
        <v>No</v>
      </c>
      <c r="W260" s="5" t="str">
        <f t="shared" si="63"/>
        <v>No</v>
      </c>
      <c r="X260" s="5" t="str">
        <f t="shared" si="64"/>
        <v>No</v>
      </c>
      <c r="Y260" s="5" t="str">
        <f t="shared" si="65"/>
        <v>No</v>
      </c>
      <c r="Z260">
        <v>3</v>
      </c>
      <c r="AB260">
        <v>0</v>
      </c>
      <c r="AC260">
        <v>0</v>
      </c>
      <c r="AD260">
        <v>1</v>
      </c>
      <c r="AE260">
        <v>0</v>
      </c>
      <c r="AF260">
        <v>0</v>
      </c>
      <c r="AG260">
        <v>0</v>
      </c>
      <c r="AH260">
        <v>0</v>
      </c>
      <c r="AI260">
        <v>0</v>
      </c>
      <c r="AJ260">
        <v>0</v>
      </c>
      <c r="AK260">
        <v>1</v>
      </c>
      <c r="AM260">
        <v>1</v>
      </c>
      <c r="AN260">
        <v>1</v>
      </c>
      <c r="AO260">
        <v>0</v>
      </c>
      <c r="AP260">
        <v>10</v>
      </c>
      <c r="AQ260">
        <v>26</v>
      </c>
      <c r="AS260">
        <v>10</v>
      </c>
      <c r="AT260">
        <v>26</v>
      </c>
      <c r="AV260">
        <v>1</v>
      </c>
      <c r="AW260">
        <v>1</v>
      </c>
      <c r="AX260">
        <v>0</v>
      </c>
      <c r="AY260">
        <v>0</v>
      </c>
      <c r="AZ260">
        <v>0</v>
      </c>
      <c r="BA260">
        <v>0</v>
      </c>
      <c r="BC260">
        <v>1</v>
      </c>
      <c r="BE260">
        <v>1</v>
      </c>
      <c r="BG260">
        <v>1</v>
      </c>
      <c r="BH260">
        <v>1</v>
      </c>
      <c r="BI260">
        <v>1</v>
      </c>
      <c r="BJ260">
        <v>2</v>
      </c>
      <c r="BL260">
        <v>2</v>
      </c>
    </row>
  </sheetData>
  <autoFilter ref="A1:JR260" xr:uid="{5A737F98-3D19-46EB-A50E-669AE635BC94}"/>
  <hyperlinks>
    <hyperlink ref="AK1" location="QsCodebook!A20" display="Q3_SchoolType" xr:uid="{C6CDA1E9-433A-4FDE-BE40-41890B9C167C}"/>
    <hyperlink ref="Z1" location="QsCodebook!A3" display="Q2_JobTitle" xr:uid="{BE824E59-6432-4579-B1CD-BDCC9EA3DFD4}"/>
    <hyperlink ref="BC1" location="QsCodebook!A25" display="Q41_FuelType_Preferred" xr:uid="{1FFB52BC-AC18-4506-933D-A02CA485BF34}"/>
    <hyperlink ref="BE1" location="QsCodebook!A33" display="Q6_OperationalModel" xr:uid="{5916F733-244B-421A-8599-A10C2B69DFBA}"/>
    <hyperlink ref="DK1" location="QsCodebook!A63" display="Q46_UtilityComm_Beneficial" xr:uid="{88FD518E-F847-4C80-A497-FA36A04F0EB1}"/>
    <hyperlink ref="DL1" location="QsCodebook!A68" display="Q24_ChargingSystemInstall" xr:uid="{8E950171-B15D-4C88-A941-BA644BCED451}"/>
    <hyperlink ref="DN1" location="QsCodebook!A74" display="Q25_ChargingSystemAvail" xr:uid="{8BFFE3F2-1EF5-4174-A25C-E8FA8A91A267}"/>
    <hyperlink ref="DP1" location="QsCodebook!A80" display="Q26_AnyChargingSystemProb" xr:uid="{CDBDAF61-0484-4ACB-96FE-8D0ED17196AF}"/>
    <hyperlink ref="DU1" location="QsCodebook!A86" display="Q29_ChargerProvider" xr:uid="{AD60517B-ECF6-411F-B25C-C45C33C01723}"/>
    <hyperlink ref="CN1" location="QsCodebook!A120" display="Q18_ESB_Barrier_Biggest" xr:uid="{A8678B9A-ED2D-4FE5-8FCE-BF65F5038B02}"/>
    <hyperlink ref="CO1" location="QsCodebook!A139" display="Q19_EquityPrinciples_NonESB" xr:uid="{7192E0E0-136A-47C8-9FA9-47C501D97C58}"/>
    <hyperlink ref="JL1" location="QsCodebook!A149" display="Q38_ESBI_Contact" xr:uid="{AB7FA903-5658-4C2E-9995-0393F0D4239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38DDE-8370-48E6-B7E4-95B1ED392D9F}">
  <dimension ref="A1:B153"/>
  <sheetViews>
    <sheetView topLeftCell="A66" workbookViewId="0">
      <selection activeCell="A68" sqref="A68"/>
    </sheetView>
  </sheetViews>
  <sheetFormatPr defaultRowHeight="14.5" x14ac:dyDescent="0.35"/>
  <cols>
    <col min="1" max="1" width="19.453125" customWidth="1"/>
    <col min="2" max="2" width="60.1796875" customWidth="1"/>
  </cols>
  <sheetData>
    <row r="1" spans="1:2" s="11" customFormat="1" x14ac:dyDescent="0.35">
      <c r="A1" s="11" t="s">
        <v>1424</v>
      </c>
    </row>
    <row r="2" spans="1:2" s="11" customFormat="1" x14ac:dyDescent="0.35"/>
    <row r="3" spans="1:2" x14ac:dyDescent="0.35">
      <c r="A3" s="3" t="s">
        <v>6</v>
      </c>
      <c r="B3" s="9" t="s">
        <v>1425</v>
      </c>
    </row>
    <row r="4" spans="1:2" x14ac:dyDescent="0.35">
      <c r="A4">
        <v>1</v>
      </c>
      <c r="B4" t="s">
        <v>1414</v>
      </c>
    </row>
    <row r="5" spans="1:2" x14ac:dyDescent="0.35">
      <c r="A5">
        <v>2</v>
      </c>
      <c r="B5" t="s">
        <v>1415</v>
      </c>
    </row>
    <row r="6" spans="1:2" x14ac:dyDescent="0.35">
      <c r="A6">
        <v>3</v>
      </c>
      <c r="B6" t="s">
        <v>1417</v>
      </c>
    </row>
    <row r="7" spans="1:2" x14ac:dyDescent="0.35">
      <c r="A7">
        <v>4</v>
      </c>
      <c r="B7" t="s">
        <v>1419</v>
      </c>
    </row>
    <row r="8" spans="1:2" x14ac:dyDescent="0.35">
      <c r="A8">
        <v>5</v>
      </c>
      <c r="B8" t="s">
        <v>1418</v>
      </c>
    </row>
    <row r="9" spans="1:2" x14ac:dyDescent="0.35">
      <c r="A9">
        <v>6</v>
      </c>
      <c r="B9" t="s">
        <v>1426</v>
      </c>
    </row>
    <row r="10" spans="1:2" x14ac:dyDescent="0.35">
      <c r="A10">
        <v>7</v>
      </c>
      <c r="B10" t="s">
        <v>1416</v>
      </c>
    </row>
    <row r="11" spans="1:2" x14ac:dyDescent="0.35">
      <c r="A11">
        <v>8</v>
      </c>
      <c r="B11" t="s">
        <v>1427</v>
      </c>
    </row>
    <row r="12" spans="1:2" x14ac:dyDescent="0.35">
      <c r="A12">
        <v>9</v>
      </c>
      <c r="B12" t="s">
        <v>1420</v>
      </c>
    </row>
    <row r="13" spans="1:2" x14ac:dyDescent="0.35">
      <c r="A13">
        <v>10</v>
      </c>
      <c r="B13" t="s">
        <v>1428</v>
      </c>
    </row>
    <row r="14" spans="1:2" x14ac:dyDescent="0.35">
      <c r="A14">
        <v>11</v>
      </c>
      <c r="B14" t="s">
        <v>1429</v>
      </c>
    </row>
    <row r="15" spans="1:2" x14ac:dyDescent="0.35">
      <c r="A15">
        <v>12</v>
      </c>
      <c r="B15" t="s">
        <v>1421</v>
      </c>
    </row>
    <row r="16" spans="1:2" x14ac:dyDescent="0.35">
      <c r="A16">
        <v>13</v>
      </c>
      <c r="B16" t="s">
        <v>1422</v>
      </c>
    </row>
    <row r="17" spans="1:2" x14ac:dyDescent="0.35">
      <c r="A17">
        <v>14</v>
      </c>
      <c r="B17" t="s">
        <v>1423</v>
      </c>
    </row>
    <row r="18" spans="1:2" x14ac:dyDescent="0.35">
      <c r="A18">
        <v>15</v>
      </c>
      <c r="B18" t="s">
        <v>1392</v>
      </c>
    </row>
    <row r="20" spans="1:2" x14ac:dyDescent="0.35">
      <c r="A20" s="9" t="s">
        <v>17</v>
      </c>
      <c r="B20" s="9" t="s">
        <v>1430</v>
      </c>
    </row>
    <row r="21" spans="1:2" x14ac:dyDescent="0.35">
      <c r="A21">
        <v>1</v>
      </c>
      <c r="B21" t="s">
        <v>1431</v>
      </c>
    </row>
    <row r="22" spans="1:2" x14ac:dyDescent="0.35">
      <c r="A22">
        <v>2</v>
      </c>
      <c r="B22" t="s">
        <v>1432</v>
      </c>
    </row>
    <row r="23" spans="1:2" x14ac:dyDescent="0.35">
      <c r="A23">
        <v>3</v>
      </c>
      <c r="B23" t="s">
        <v>1433</v>
      </c>
    </row>
    <row r="25" spans="1:2" x14ac:dyDescent="0.35">
      <c r="A25" s="9" t="s">
        <v>1434</v>
      </c>
      <c r="B25" s="9" t="s">
        <v>1435</v>
      </c>
    </row>
    <row r="26" spans="1:2" x14ac:dyDescent="0.35">
      <c r="A26">
        <v>1</v>
      </c>
      <c r="B26" t="s">
        <v>1409</v>
      </c>
    </row>
    <row r="27" spans="1:2" x14ac:dyDescent="0.35">
      <c r="A27">
        <v>2</v>
      </c>
      <c r="B27" t="s">
        <v>1410</v>
      </c>
    </row>
    <row r="28" spans="1:2" x14ac:dyDescent="0.35">
      <c r="A28">
        <v>3</v>
      </c>
      <c r="B28" t="s">
        <v>1411</v>
      </c>
    </row>
    <row r="29" spans="1:2" x14ac:dyDescent="0.35">
      <c r="A29">
        <v>4</v>
      </c>
      <c r="B29" t="s">
        <v>1412</v>
      </c>
    </row>
    <row r="30" spans="1:2" x14ac:dyDescent="0.35">
      <c r="A30">
        <v>5</v>
      </c>
      <c r="B30" t="s">
        <v>1413</v>
      </c>
    </row>
    <row r="31" spans="1:2" x14ac:dyDescent="0.35">
      <c r="A31">
        <v>6</v>
      </c>
      <c r="B31" t="s">
        <v>1366</v>
      </c>
    </row>
    <row r="33" spans="1:2" x14ac:dyDescent="0.35">
      <c r="A33" s="9" t="s">
        <v>1436</v>
      </c>
      <c r="B33" s="9" t="s">
        <v>1437</v>
      </c>
    </row>
    <row r="34" spans="1:2" x14ac:dyDescent="0.35">
      <c r="A34">
        <v>1</v>
      </c>
      <c r="B34" t="s">
        <v>1438</v>
      </c>
    </row>
    <row r="35" spans="1:2" x14ac:dyDescent="0.35">
      <c r="A35">
        <v>2</v>
      </c>
      <c r="B35" t="s">
        <v>1439</v>
      </c>
    </row>
    <row r="36" spans="1:2" x14ac:dyDescent="0.35">
      <c r="A36">
        <v>3</v>
      </c>
      <c r="B36" t="s">
        <v>1440</v>
      </c>
    </row>
    <row r="37" spans="1:2" x14ac:dyDescent="0.35">
      <c r="A37">
        <v>4</v>
      </c>
      <c r="B37" t="s">
        <v>1441</v>
      </c>
    </row>
    <row r="38" spans="1:2" x14ac:dyDescent="0.35">
      <c r="A38">
        <v>5</v>
      </c>
      <c r="B38" t="s">
        <v>1366</v>
      </c>
    </row>
    <row r="40" spans="1:2" x14ac:dyDescent="0.35">
      <c r="A40" s="9" t="s">
        <v>39</v>
      </c>
      <c r="B40" s="9" t="s">
        <v>1442</v>
      </c>
    </row>
    <row r="41" spans="1:2" x14ac:dyDescent="0.35">
      <c r="A41">
        <v>1</v>
      </c>
      <c r="B41" t="s">
        <v>1443</v>
      </c>
    </row>
    <row r="42" spans="1:2" x14ac:dyDescent="0.35">
      <c r="A42">
        <v>2</v>
      </c>
      <c r="B42" t="s">
        <v>1444</v>
      </c>
    </row>
    <row r="43" spans="1:2" x14ac:dyDescent="0.35">
      <c r="A43">
        <v>3</v>
      </c>
      <c r="B43" t="s">
        <v>1405</v>
      </c>
    </row>
    <row r="45" spans="1:2" x14ac:dyDescent="0.35">
      <c r="A45" s="9" t="s">
        <v>40</v>
      </c>
      <c r="B45" s="9" t="s">
        <v>1445</v>
      </c>
    </row>
    <row r="46" spans="1:2" x14ac:dyDescent="0.35">
      <c r="A46">
        <v>1</v>
      </c>
      <c r="B46" t="s">
        <v>1443</v>
      </c>
    </row>
    <row r="47" spans="1:2" x14ac:dyDescent="0.35">
      <c r="A47">
        <v>2</v>
      </c>
      <c r="B47" t="s">
        <v>1444</v>
      </c>
    </row>
    <row r="48" spans="1:2" x14ac:dyDescent="0.35">
      <c r="A48">
        <v>3</v>
      </c>
      <c r="B48" t="s">
        <v>1405</v>
      </c>
    </row>
    <row r="50" spans="1:2" s="9" customFormat="1" x14ac:dyDescent="0.35">
      <c r="A50" s="9" t="s">
        <v>1407</v>
      </c>
      <c r="B50" s="9" t="s">
        <v>1446</v>
      </c>
    </row>
    <row r="51" spans="1:2" x14ac:dyDescent="0.35">
      <c r="A51">
        <v>1</v>
      </c>
      <c r="B51" t="s">
        <v>1443</v>
      </c>
    </row>
    <row r="52" spans="1:2" x14ac:dyDescent="0.35">
      <c r="A52">
        <v>2</v>
      </c>
      <c r="B52" t="s">
        <v>1444</v>
      </c>
    </row>
    <row r="54" spans="1:2" x14ac:dyDescent="0.35">
      <c r="A54" s="9" t="s">
        <v>44</v>
      </c>
      <c r="B54" s="9" t="s">
        <v>1447</v>
      </c>
    </row>
    <row r="55" spans="1:2" x14ac:dyDescent="0.35">
      <c r="A55">
        <v>1</v>
      </c>
      <c r="B55" t="s">
        <v>1443</v>
      </c>
    </row>
    <row r="56" spans="1:2" x14ac:dyDescent="0.35">
      <c r="A56">
        <v>2</v>
      </c>
      <c r="B56" t="s">
        <v>1444</v>
      </c>
    </row>
    <row r="58" spans="1:2" x14ac:dyDescent="0.35">
      <c r="A58" s="9" t="s">
        <v>1408</v>
      </c>
      <c r="B58" s="9" t="s">
        <v>1448</v>
      </c>
    </row>
    <row r="59" spans="1:2" x14ac:dyDescent="0.35">
      <c r="A59">
        <v>1</v>
      </c>
      <c r="B59" t="s">
        <v>1443</v>
      </c>
    </row>
    <row r="60" spans="1:2" x14ac:dyDescent="0.35">
      <c r="A60">
        <v>2</v>
      </c>
      <c r="B60" t="s">
        <v>1444</v>
      </c>
    </row>
    <row r="61" spans="1:2" x14ac:dyDescent="0.35">
      <c r="A61">
        <v>3</v>
      </c>
      <c r="B61" t="s">
        <v>1405</v>
      </c>
    </row>
    <row r="63" spans="1:2" x14ac:dyDescent="0.35">
      <c r="A63" s="9" t="s">
        <v>95</v>
      </c>
      <c r="B63" s="9" t="s">
        <v>1449</v>
      </c>
    </row>
    <row r="64" spans="1:2" x14ac:dyDescent="0.35">
      <c r="A64">
        <v>1</v>
      </c>
      <c r="B64" t="s">
        <v>1357</v>
      </c>
    </row>
    <row r="65" spans="1:2" x14ac:dyDescent="0.35">
      <c r="A65">
        <v>2</v>
      </c>
      <c r="B65" t="s">
        <v>1406</v>
      </c>
    </row>
    <row r="66" spans="1:2" x14ac:dyDescent="0.35">
      <c r="A66">
        <v>3</v>
      </c>
      <c r="B66" t="s">
        <v>1353</v>
      </c>
    </row>
    <row r="68" spans="1:2" x14ac:dyDescent="0.35">
      <c r="A68" s="9" t="s">
        <v>1363</v>
      </c>
      <c r="B68" s="9" t="s">
        <v>1450</v>
      </c>
    </row>
    <row r="69" spans="1:2" x14ac:dyDescent="0.35">
      <c r="A69">
        <v>1</v>
      </c>
      <c r="B69" t="s">
        <v>1443</v>
      </c>
    </row>
    <row r="70" spans="1:2" x14ac:dyDescent="0.35">
      <c r="A70">
        <v>2</v>
      </c>
      <c r="B70" t="s">
        <v>1444</v>
      </c>
    </row>
    <row r="71" spans="1:2" x14ac:dyDescent="0.35">
      <c r="A71">
        <v>3</v>
      </c>
      <c r="B71" t="s">
        <v>1366</v>
      </c>
    </row>
    <row r="72" spans="1:2" x14ac:dyDescent="0.35">
      <c r="A72">
        <v>4</v>
      </c>
      <c r="B72" t="s">
        <v>1405</v>
      </c>
    </row>
    <row r="74" spans="1:2" x14ac:dyDescent="0.35">
      <c r="A74" s="9" t="s">
        <v>1364</v>
      </c>
      <c r="B74" s="9" t="s">
        <v>1451</v>
      </c>
    </row>
    <row r="75" spans="1:2" x14ac:dyDescent="0.35">
      <c r="A75">
        <v>1</v>
      </c>
      <c r="B75" t="s">
        <v>1443</v>
      </c>
    </row>
    <row r="76" spans="1:2" x14ac:dyDescent="0.35">
      <c r="A76">
        <v>2</v>
      </c>
      <c r="B76" t="s">
        <v>1444</v>
      </c>
    </row>
    <row r="77" spans="1:2" x14ac:dyDescent="0.35">
      <c r="A77">
        <v>3</v>
      </c>
      <c r="B77" t="s">
        <v>1366</v>
      </c>
    </row>
    <row r="78" spans="1:2" x14ac:dyDescent="0.35">
      <c r="A78">
        <v>4</v>
      </c>
      <c r="B78" t="s">
        <v>1405</v>
      </c>
    </row>
    <row r="80" spans="1:2" x14ac:dyDescent="0.35">
      <c r="A80" s="9" t="s">
        <v>1393</v>
      </c>
      <c r="B80" s="9" t="s">
        <v>1452</v>
      </c>
    </row>
    <row r="81" spans="1:2" x14ac:dyDescent="0.35">
      <c r="A81">
        <v>1</v>
      </c>
      <c r="B81" t="s">
        <v>1443</v>
      </c>
    </row>
    <row r="82" spans="1:2" x14ac:dyDescent="0.35">
      <c r="A82">
        <v>2</v>
      </c>
      <c r="B82" t="s">
        <v>1444</v>
      </c>
    </row>
    <row r="83" spans="1:2" x14ac:dyDescent="0.35">
      <c r="A83">
        <v>3</v>
      </c>
      <c r="B83" t="s">
        <v>1366</v>
      </c>
    </row>
    <row r="84" spans="1:2" x14ac:dyDescent="0.35">
      <c r="A84">
        <v>4</v>
      </c>
      <c r="B84" t="s">
        <v>1405</v>
      </c>
    </row>
    <row r="86" spans="1:2" x14ac:dyDescent="0.35">
      <c r="A86" s="9" t="s">
        <v>105</v>
      </c>
      <c r="B86" s="9" t="s">
        <v>1453</v>
      </c>
    </row>
    <row r="87" spans="1:2" x14ac:dyDescent="0.35">
      <c r="A87">
        <v>1</v>
      </c>
      <c r="B87" t="s">
        <v>1394</v>
      </c>
    </row>
    <row r="88" spans="1:2" x14ac:dyDescent="0.35">
      <c r="A88">
        <v>2</v>
      </c>
      <c r="B88" t="s">
        <v>1395</v>
      </c>
    </row>
    <row r="89" spans="1:2" x14ac:dyDescent="0.35">
      <c r="A89">
        <v>3</v>
      </c>
      <c r="B89" t="s">
        <v>1396</v>
      </c>
    </row>
    <row r="90" spans="1:2" x14ac:dyDescent="0.35">
      <c r="A90">
        <v>4</v>
      </c>
      <c r="B90" t="s">
        <v>1397</v>
      </c>
    </row>
    <row r="91" spans="1:2" x14ac:dyDescent="0.35">
      <c r="A91">
        <v>5</v>
      </c>
      <c r="B91" t="s">
        <v>1398</v>
      </c>
    </row>
    <row r="92" spans="1:2" x14ac:dyDescent="0.35">
      <c r="A92">
        <v>6</v>
      </c>
      <c r="B92" t="s">
        <v>1399</v>
      </c>
    </row>
    <row r="93" spans="1:2" x14ac:dyDescent="0.35">
      <c r="A93">
        <v>7</v>
      </c>
      <c r="B93" t="s">
        <v>1400</v>
      </c>
    </row>
    <row r="94" spans="1:2" x14ac:dyDescent="0.35">
      <c r="A94">
        <v>8</v>
      </c>
      <c r="B94" t="s">
        <v>1401</v>
      </c>
    </row>
    <row r="95" spans="1:2" x14ac:dyDescent="0.35">
      <c r="A95">
        <v>9</v>
      </c>
      <c r="B95" t="s">
        <v>1402</v>
      </c>
    </row>
    <row r="96" spans="1:2" x14ac:dyDescent="0.35">
      <c r="A96">
        <v>10</v>
      </c>
      <c r="B96" t="s">
        <v>1403</v>
      </c>
    </row>
    <row r="97" spans="1:2" x14ac:dyDescent="0.35">
      <c r="A97">
        <v>11</v>
      </c>
      <c r="B97" t="s">
        <v>1404</v>
      </c>
    </row>
    <row r="98" spans="1:2" x14ac:dyDescent="0.35">
      <c r="A98">
        <v>12</v>
      </c>
      <c r="B98" t="s">
        <v>1366</v>
      </c>
    </row>
    <row r="99" spans="1:2" x14ac:dyDescent="0.35">
      <c r="A99">
        <v>13</v>
      </c>
      <c r="B99" t="s">
        <v>1405</v>
      </c>
    </row>
    <row r="101" spans="1:2" x14ac:dyDescent="0.35">
      <c r="A101" s="9" t="s">
        <v>1373</v>
      </c>
      <c r="B101" s="9" t="s">
        <v>1454</v>
      </c>
    </row>
    <row r="102" spans="1:2" x14ac:dyDescent="0.35">
      <c r="A102">
        <v>1</v>
      </c>
      <c r="B102" t="s">
        <v>1374</v>
      </c>
    </row>
    <row r="103" spans="1:2" x14ac:dyDescent="0.35">
      <c r="A103">
        <v>2</v>
      </c>
      <c r="B103" t="s">
        <v>1375</v>
      </c>
    </row>
    <row r="104" spans="1:2" x14ac:dyDescent="0.35">
      <c r="A104">
        <v>3</v>
      </c>
      <c r="B104" t="s">
        <v>1376</v>
      </c>
    </row>
    <row r="105" spans="1:2" x14ac:dyDescent="0.35">
      <c r="A105">
        <v>4</v>
      </c>
      <c r="B105" t="s">
        <v>1377</v>
      </c>
    </row>
    <row r="106" spans="1:2" x14ac:dyDescent="0.35">
      <c r="A106">
        <v>5</v>
      </c>
      <c r="B106" t="s">
        <v>1378</v>
      </c>
    </row>
    <row r="107" spans="1:2" x14ac:dyDescent="0.35">
      <c r="A107">
        <v>6</v>
      </c>
      <c r="B107" t="s">
        <v>1379</v>
      </c>
    </row>
    <row r="108" spans="1:2" x14ac:dyDescent="0.35">
      <c r="A108">
        <v>7</v>
      </c>
      <c r="B108" t="s">
        <v>1380</v>
      </c>
    </row>
    <row r="109" spans="1:2" x14ac:dyDescent="0.35">
      <c r="A109">
        <v>8</v>
      </c>
      <c r="B109" t="s">
        <v>1381</v>
      </c>
    </row>
    <row r="110" spans="1:2" x14ac:dyDescent="0.35">
      <c r="A110">
        <v>9</v>
      </c>
      <c r="B110" t="s">
        <v>1382</v>
      </c>
    </row>
    <row r="111" spans="1:2" x14ac:dyDescent="0.35">
      <c r="A111">
        <v>10</v>
      </c>
      <c r="B111" t="s">
        <v>1383</v>
      </c>
    </row>
    <row r="112" spans="1:2" x14ac:dyDescent="0.35">
      <c r="A112">
        <v>11</v>
      </c>
      <c r="B112" t="s">
        <v>1384</v>
      </c>
    </row>
    <row r="113" spans="1:2" x14ac:dyDescent="0.35">
      <c r="A113">
        <v>12</v>
      </c>
      <c r="B113" t="s">
        <v>1385</v>
      </c>
    </row>
    <row r="114" spans="1:2" x14ac:dyDescent="0.35">
      <c r="A114">
        <v>13</v>
      </c>
      <c r="B114" t="s">
        <v>1386</v>
      </c>
    </row>
    <row r="115" spans="1:2" x14ac:dyDescent="0.35">
      <c r="A115">
        <v>14</v>
      </c>
      <c r="B115" t="s">
        <v>1387</v>
      </c>
    </row>
    <row r="116" spans="1:2" x14ac:dyDescent="0.35">
      <c r="A116">
        <v>15</v>
      </c>
      <c r="B116" t="s">
        <v>1388</v>
      </c>
    </row>
    <row r="117" spans="1:2" x14ac:dyDescent="0.35">
      <c r="A117">
        <v>16</v>
      </c>
      <c r="B117" t="s">
        <v>1389</v>
      </c>
    </row>
    <row r="118" spans="1:2" x14ac:dyDescent="0.35">
      <c r="A118">
        <v>17</v>
      </c>
      <c r="B118" t="s">
        <v>1390</v>
      </c>
    </row>
    <row r="120" spans="1:2" x14ac:dyDescent="0.35">
      <c r="A120" s="9" t="s">
        <v>1391</v>
      </c>
      <c r="B120" s="9" t="s">
        <v>1455</v>
      </c>
    </row>
    <row r="121" spans="1:2" x14ac:dyDescent="0.35">
      <c r="A121">
        <v>1</v>
      </c>
      <c r="B121" t="s">
        <v>1374</v>
      </c>
    </row>
    <row r="122" spans="1:2" x14ac:dyDescent="0.35">
      <c r="A122">
        <v>2</v>
      </c>
      <c r="B122" t="s">
        <v>1375</v>
      </c>
    </row>
    <row r="123" spans="1:2" x14ac:dyDescent="0.35">
      <c r="A123">
        <v>3</v>
      </c>
      <c r="B123" t="s">
        <v>1376</v>
      </c>
    </row>
    <row r="124" spans="1:2" x14ac:dyDescent="0.35">
      <c r="A124">
        <v>4</v>
      </c>
      <c r="B124" t="s">
        <v>1377</v>
      </c>
    </row>
    <row r="125" spans="1:2" x14ac:dyDescent="0.35">
      <c r="A125">
        <v>5</v>
      </c>
      <c r="B125" t="s">
        <v>1378</v>
      </c>
    </row>
    <row r="126" spans="1:2" x14ac:dyDescent="0.35">
      <c r="A126">
        <v>6</v>
      </c>
      <c r="B126" t="s">
        <v>1379</v>
      </c>
    </row>
    <row r="127" spans="1:2" x14ac:dyDescent="0.35">
      <c r="A127">
        <v>7</v>
      </c>
      <c r="B127" t="s">
        <v>1380</v>
      </c>
    </row>
    <row r="128" spans="1:2" x14ac:dyDescent="0.35">
      <c r="A128">
        <v>8</v>
      </c>
      <c r="B128" t="s">
        <v>1381</v>
      </c>
    </row>
    <row r="129" spans="1:2" x14ac:dyDescent="0.35">
      <c r="A129">
        <v>9</v>
      </c>
      <c r="B129" t="s">
        <v>1382</v>
      </c>
    </row>
    <row r="130" spans="1:2" x14ac:dyDescent="0.35">
      <c r="A130">
        <v>10</v>
      </c>
      <c r="B130" t="s">
        <v>1383</v>
      </c>
    </row>
    <row r="131" spans="1:2" x14ac:dyDescent="0.35">
      <c r="A131">
        <v>11</v>
      </c>
      <c r="B131" t="s">
        <v>1384</v>
      </c>
    </row>
    <row r="132" spans="1:2" x14ac:dyDescent="0.35">
      <c r="A132">
        <v>12</v>
      </c>
      <c r="B132" t="s">
        <v>1385</v>
      </c>
    </row>
    <row r="133" spans="1:2" x14ac:dyDescent="0.35">
      <c r="A133">
        <v>13</v>
      </c>
      <c r="B133" t="s">
        <v>1386</v>
      </c>
    </row>
    <row r="134" spans="1:2" x14ac:dyDescent="0.35">
      <c r="A134">
        <v>14</v>
      </c>
      <c r="B134" t="s">
        <v>1387</v>
      </c>
    </row>
    <row r="135" spans="1:2" x14ac:dyDescent="0.35">
      <c r="A135">
        <v>15</v>
      </c>
      <c r="B135" t="s">
        <v>1388</v>
      </c>
    </row>
    <row r="136" spans="1:2" x14ac:dyDescent="0.35">
      <c r="A136">
        <v>16</v>
      </c>
      <c r="B136" t="s">
        <v>1389</v>
      </c>
    </row>
    <row r="137" spans="1:2" x14ac:dyDescent="0.35">
      <c r="A137">
        <v>17</v>
      </c>
      <c r="B137" t="s">
        <v>1390</v>
      </c>
    </row>
    <row r="139" spans="1:2" x14ac:dyDescent="0.35">
      <c r="A139" s="9" t="s">
        <v>1372</v>
      </c>
      <c r="B139" s="9" t="s">
        <v>1456</v>
      </c>
    </row>
    <row r="140" spans="1:2" x14ac:dyDescent="0.35">
      <c r="A140">
        <v>1</v>
      </c>
      <c r="B140" t="s">
        <v>1457</v>
      </c>
    </row>
    <row r="141" spans="1:2" x14ac:dyDescent="0.35">
      <c r="A141">
        <v>2</v>
      </c>
      <c r="B141" t="s">
        <v>1458</v>
      </c>
    </row>
    <row r="142" spans="1:2" x14ac:dyDescent="0.35">
      <c r="A142">
        <v>3</v>
      </c>
      <c r="B142" t="s">
        <v>1459</v>
      </c>
    </row>
    <row r="143" spans="1:2" x14ac:dyDescent="0.35">
      <c r="A143">
        <v>4</v>
      </c>
      <c r="B143" t="s">
        <v>1444</v>
      </c>
    </row>
    <row r="145" spans="1:2" x14ac:dyDescent="0.35">
      <c r="A145" s="9" t="s">
        <v>252</v>
      </c>
      <c r="B145" s="9" t="s">
        <v>1365</v>
      </c>
    </row>
    <row r="146" spans="1:2" x14ac:dyDescent="0.35">
      <c r="A146">
        <v>1</v>
      </c>
      <c r="B146" t="s">
        <v>1357</v>
      </c>
    </row>
    <row r="147" spans="1:2" x14ac:dyDescent="0.35">
      <c r="A147">
        <v>2</v>
      </c>
      <c r="B147" t="s">
        <v>1353</v>
      </c>
    </row>
    <row r="149" spans="1:2" x14ac:dyDescent="0.35">
      <c r="A149" s="9" t="s">
        <v>1367</v>
      </c>
      <c r="B149" s="9" t="s">
        <v>1368</v>
      </c>
    </row>
    <row r="150" spans="1:2" x14ac:dyDescent="0.35">
      <c r="A150">
        <v>1</v>
      </c>
      <c r="B150" t="s">
        <v>1460</v>
      </c>
    </row>
    <row r="151" spans="1:2" x14ac:dyDescent="0.35">
      <c r="A151">
        <v>2</v>
      </c>
      <c r="B151" t="s">
        <v>1369</v>
      </c>
    </row>
    <row r="152" spans="1:2" x14ac:dyDescent="0.35">
      <c r="A152">
        <v>3</v>
      </c>
      <c r="B152" t="s">
        <v>1370</v>
      </c>
    </row>
    <row r="153" spans="1:2" x14ac:dyDescent="0.35">
      <c r="A153">
        <v>4</v>
      </c>
      <c r="B153" t="s">
        <v>1371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75f981a7-23dc-40a7-a4a4-2b3b55694f88" xsi:nil="true"/>
    <IconOverlay xmlns="http://schemas.microsoft.com/sharepoint/v4" xsi:nil="true"/>
    <_ip_UnifiedCompliancePolicyProperties xmlns="http://schemas.microsoft.com/sharepoint/v3" xsi:nil="true"/>
    <lcf76f155ced4ddcb4097134ff3c332f xmlns="0ae751c7-c84d-4e5e-bdfa-ba58d750902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C32674071E8124E8D9BDE8D57EB69C3" ma:contentTypeVersion="22" ma:contentTypeDescription="Create a new document." ma:contentTypeScope="" ma:versionID="0f7ad6bc42378ffc2f93bb082cdcca6a">
  <xsd:schema xmlns:xsd="http://www.w3.org/2001/XMLSchema" xmlns:xs="http://www.w3.org/2001/XMLSchema" xmlns:p="http://schemas.microsoft.com/office/2006/metadata/properties" xmlns:ns1="http://schemas.microsoft.com/sharepoint/v3" xmlns:ns2="0ae751c7-c84d-4e5e-bdfa-ba58d750902c" xmlns:ns3="75f981a7-23dc-40a7-a4a4-2b3b55694f88" xmlns:ns4="http://schemas.microsoft.com/sharepoint/v4" targetNamespace="http://schemas.microsoft.com/office/2006/metadata/properties" ma:root="true" ma:fieldsID="65f2e9b11c512fa1c292076173c5f43b" ns1:_="" ns2:_="" ns3:_="" ns4:_="">
    <xsd:import namespace="http://schemas.microsoft.com/sharepoint/v3"/>
    <xsd:import namespace="0ae751c7-c84d-4e5e-bdfa-ba58d750902c"/>
    <xsd:import namespace="75f981a7-23dc-40a7-a4a4-2b3b55694f8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1:_ip_UnifiedCompliancePolicyProperties" minOccurs="0"/>
                <xsd:element ref="ns1:_ip_UnifiedCompliancePolicyUIAction" minOccurs="0"/>
                <xsd:element ref="ns2:lcf76f155ced4ddcb4097134ff3c332f" minOccurs="0"/>
                <xsd:element ref="ns3:TaxCatchAll" minOccurs="0"/>
                <xsd:element ref="ns4:IconOverlay"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e751c7-c84d-4e5e-bdfa-ba58d75090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f981a7-23dc-40a7-a4a4-2b3b55694f8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fccb704-fc3d-4c81-ae8f-cb35393d897a}" ma:internalName="TaxCatchAll" ma:showField="CatchAllData" ma:web="75f981a7-23dc-40a7-a4a4-2b3b55694f8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6"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22123E-0292-42BE-9694-9C5C21272003}">
  <ds:schemaRefs>
    <ds:schemaRef ds:uri="http://schemas.microsoft.com/office/2006/metadata/properties"/>
    <ds:schemaRef ds:uri="http://schemas.microsoft.com/office/infopath/2007/PartnerControls"/>
    <ds:schemaRef ds:uri="http://schemas.microsoft.com/sharepoint/v3"/>
    <ds:schemaRef ds:uri="75f981a7-23dc-40a7-a4a4-2b3b55694f88"/>
    <ds:schemaRef ds:uri="http://schemas.microsoft.com/sharepoint/v4"/>
    <ds:schemaRef ds:uri="0ae751c7-c84d-4e5e-bdfa-ba58d750902c"/>
  </ds:schemaRefs>
</ds:datastoreItem>
</file>

<file path=customXml/itemProps2.xml><?xml version="1.0" encoding="utf-8"?>
<ds:datastoreItem xmlns:ds="http://schemas.openxmlformats.org/officeDocument/2006/customXml" ds:itemID="{EDFAA2A4-58B4-4D4E-8C60-8A450F45D6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ae751c7-c84d-4e5e-bdfa-ba58d750902c"/>
    <ds:schemaRef ds:uri="75f981a7-23dc-40a7-a4a4-2b3b55694f8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915B34-6553-423B-BBE5-3EDC59919D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2024WRISchoolDistrictStudyRaw </vt:lpstr>
      <vt:lpstr>2024WRISchoolDistrictAnalysis</vt:lpstr>
      <vt:lpstr>QsCodebook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Larry Druth</dc:creator>
  <cp:keywords/>
  <dc:description/>
  <cp:lastModifiedBy>Brian Zepka</cp:lastModifiedBy>
  <cp:revision/>
  <dcterms:created xsi:type="dcterms:W3CDTF">2025-01-24T12:18:50Z</dcterms:created>
  <dcterms:modified xsi:type="dcterms:W3CDTF">2025-11-18T16:31:54Z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0x010100FC32674071E8124E8D9BDE8D57EB69C3</vt:lpwstr>
  </property>
  <property fmtid="{D5CDD505-2E9C-101B-9397-08002B2CF9AE}" pid="3" name="MediaServiceImageTags">
    <vt:lpwstr/>
  </property>
</Properties>
</file>